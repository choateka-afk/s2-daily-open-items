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tables/table2.xml" ContentType="application/vnd.openxmlformats-officedocument.spreadsheetml.table+xml"/>
  <Override PartName="/xl/comments2.xml" ContentType="application/vnd.openxmlformats-officedocument.spreadsheetml.comments+xml"/>
  <Override PartName="/xl/threadedComments/threadedComment2.xml" ContentType="application/vnd.ms-excel.threadedcomments+xml"/>
  <Override PartName="/xl/tables/table3.xml" ContentType="application/vnd.openxmlformats-officedocument.spreadsheetml.table+xml"/>
  <Override PartName="/xl/comments3.xml" ContentType="application/vnd.openxmlformats-officedocument.spreadsheetml.comments+xml"/>
  <Override PartName="/xl/threadedComments/threadedComment3.xml" ContentType="application/vnd.ms-excel.threadedcomments+xml"/>
  <Override PartName="/xl/comments4.xml" ContentType="application/vnd.openxmlformats-officedocument.spreadsheetml.comments+xml"/>
  <Override PartName="/xl/threadedComments/threadedComment4.xml" ContentType="application/vnd.ms-excel.threadedcomments+xml"/>
  <Override PartName="/xl/documenttasks/documenttask1.xml" ContentType="application/vnd.ms-excel.documenttasks+xml"/>
  <Override PartName="/xl/namedSheetViews/namedSheetView1.xml" ContentType="application/vnd.ms-excel.namedsheetviews+xml"/>
  <Override PartName="/xl/comments5.xml" ContentType="application/vnd.openxmlformats-officedocument.spreadsheetml.comments+xml"/>
  <Override PartName="/xl/threadedComments/threadedComment5.xml" ContentType="application/vnd.ms-excel.threadedcomments+xml"/>
  <Override PartName="/xl/persons/person.xml" ContentType="application/vnd.ms-excel.person+xml"/>
  <Override PartName="/xl/featurePropertyBag/featurePropertyBag.xml" ContentType="application/vnd.ms-excel.featurepropertybag+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02"/>
  <workbookPr hidePivotFieldList="1" defaultThemeVersion="166925"/>
  <mc:AlternateContent xmlns:mc="http://schemas.openxmlformats.org/markup-compatibility/2006">
    <mc:Choice Requires="x15">
      <x15ac:absPath xmlns:x15ac="http://schemas.microsoft.com/office/spreadsheetml/2010/11/ac" url="https://s2advisors-my.sharepoint.com/personal/harold_s2advisors_com/Documents/MSFT_Project_Folder/01_Admin/Project Management/"/>
    </mc:Choice>
  </mc:AlternateContent>
  <xr:revisionPtr revIDLastSave="0" documentId="8_{16C41268-42CF-431B-B4B9-FDF524F8031B}" xr6:coauthVersionLast="47" xr6:coauthVersionMax="47" xr10:uidLastSave="{00000000-0000-0000-0000-000000000000}"/>
  <bookViews>
    <workbookView xWindow="-108" yWindow="-108" windowWidth="23256" windowHeight="12456" firstSheet="7" activeTab="7" xr2:uid="{DF771E0C-1097-4516-ACF5-61C7A37A6D67}"/>
  </bookViews>
  <sheets>
    <sheet name="Dashboard" sheetId="4" r:id="rId1"/>
    <sheet name="Info Needed" sheetId="3" r:id="rId2"/>
    <sheet name="Design-formattingv2" sheetId="6" state="hidden" r:id="rId3"/>
    <sheet name="Design-formattingv1" sheetId="5" state="hidden" r:id="rId4"/>
    <sheet name="Design" sheetId="1" r:id="rId5"/>
    <sheet name="Site Visit Schedule" sheetId="14" r:id="rId6"/>
    <sheet name="2026 Meeting Schedule" sheetId="17" r:id="rId7"/>
    <sheet name="Delivereable_Tracker" sheetId="11" r:id="rId8"/>
    <sheet name="RFI_Submitals" sheetId="7" r:id="rId9"/>
    <sheet name="Billing Issue Log" sheetId="16" r:id="rId10"/>
    <sheet name="Travel-Project Close Out" sheetId="8" r:id="rId11"/>
    <sheet name="Centerline-OpenPO" sheetId="10" r:id="rId12"/>
    <sheet name="Program Management" sheetId="15" r:id="rId13"/>
    <sheet name="CA" sheetId="2" state="hidden" r:id="rId14"/>
    <sheet name="Sheet1" sheetId="12" r:id="rId15"/>
  </sheets>
  <definedNames>
    <definedName name="_xlnm._FilterDatabase" localSheetId="13" hidden="1">CA!$B$1:$W$38</definedName>
    <definedName name="_xlnm._FilterDatabase" localSheetId="11" hidden="1">'Centerline-OpenPO'!$A$3:$P$20</definedName>
    <definedName name="_xlnm._FilterDatabase" localSheetId="4" hidden="1">Design!$A$1:$Y$130</definedName>
    <definedName name="_xlnm._FilterDatabase" localSheetId="3" hidden="1">Design!$A$1:$Y$130</definedName>
    <definedName name="_xlnm._FilterDatabase" localSheetId="2" hidden="1">Design!$A$1:$Y$130</definedName>
    <definedName name="_xlnm._FilterDatabase" localSheetId="5" hidden="1">'Site Visit Schedule'!$A$1:$G$23</definedName>
    <definedName name="_xlnm._FilterDatabase" localSheetId="7" hidden="1">Delivereable_Tracker!$A$1:$I$158</definedName>
    <definedName name="_xlnm._FilterDatabase" localSheetId="8" hidden="1">RFI_Submitals!$A$5:$XFC$5</definedName>
    <definedName name="_xlnm.Print_Area" localSheetId="11">'Centerline-OpenPO'!$A$1:$N$35</definedName>
    <definedName name="_xlnm.Print_Area" localSheetId="7">Delivereable_Tracker!$A$1:$G$116</definedName>
    <definedName name="_xlnm.Print_Area" localSheetId="3">'Design-formattingv1'!$A$1:$X$83</definedName>
    <definedName name="_xlnm.Print_Area" localSheetId="5">'Site Visit Schedule'!$A$1:$F$12</definedName>
    <definedName name="_xlnm.Print_Area" localSheetId="8">RFI_Submitals!$A$5:$G$837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9" i="16" l="1"/>
  <c r="F9" i="16"/>
  <c r="P8" i="16"/>
  <c r="H8" i="16"/>
  <c r="F8" i="16" s="1"/>
  <c r="P7" i="16"/>
  <c r="M7" i="16"/>
  <c r="J7" i="16"/>
  <c r="G7" i="16"/>
  <c r="P6" i="16"/>
  <c r="F6" i="16"/>
  <c r="P5" i="16"/>
  <c r="F5" i="16"/>
  <c r="E5" i="16"/>
  <c r="P4" i="16"/>
  <c r="F4" i="16"/>
  <c r="P3" i="16"/>
  <c r="F3" i="16"/>
  <c r="G3" i="16" s="1"/>
  <c r="P2" i="16"/>
  <c r="F2" i="16"/>
  <c r="B1" i="10"/>
  <c r="K1" i="10"/>
  <c r="J65" i="1"/>
  <c r="K24" i="10"/>
  <c r="K25" i="10"/>
  <c r="K23" i="10"/>
  <c r="E1" i="10"/>
  <c r="K22" i="10"/>
  <c r="M3" i="16" l="1"/>
  <c r="H1" i="10"/>
  <c r="M9" i="16"/>
  <c r="G9" i="16"/>
  <c r="M8" i="16"/>
  <c r="G8" i="16"/>
  <c r="M6" i="16"/>
  <c r="G6" i="16"/>
  <c r="M5" i="16"/>
  <c r="G5" i="16"/>
  <c r="M4" i="16"/>
  <c r="G4" i="16"/>
  <c r="M2" i="16"/>
  <c r="G2" i="16"/>
  <c r="K19" i="10"/>
  <c r="J100" i="1" l="1"/>
  <c r="J101" i="1"/>
  <c r="J73" i="1" l="1"/>
  <c r="K6" i="10"/>
  <c r="K7" i="10"/>
  <c r="K18" i="10"/>
  <c r="K17" i="10"/>
  <c r="K16" i="10"/>
  <c r="K15" i="10"/>
  <c r="K14" i="10"/>
  <c r="K13" i="10"/>
  <c r="J75" i="1"/>
  <c r="K9" i="10"/>
  <c r="K8" i="10"/>
  <c r="K12" i="10"/>
  <c r="K11" i="10"/>
  <c r="K5" i="10"/>
  <c r="K10" i="10"/>
  <c r="K4" i="10"/>
  <c r="J133" i="1"/>
  <c r="J131" i="1"/>
  <c r="J20" i="1"/>
  <c r="J99" i="1"/>
  <c r="J52" i="1"/>
  <c r="J22" i="1"/>
  <c r="J126" i="1" l="1"/>
  <c r="J127" i="1"/>
  <c r="J128" i="1"/>
  <c r="J17" i="1"/>
  <c r="J18" i="1"/>
  <c r="J83" i="1"/>
  <c r="J71" i="1"/>
  <c r="J90" i="1"/>
  <c r="J115" i="1"/>
  <c r="J59" i="1"/>
  <c r="J86" i="1"/>
  <c r="J79" i="1"/>
  <c r="J10" i="1"/>
  <c r="J16" i="1"/>
  <c r="J74" i="1"/>
  <c r="J68" i="1"/>
  <c r="J69" i="1"/>
  <c r="J61" i="1"/>
  <c r="J45" i="1"/>
  <c r="J37" i="1"/>
  <c r="J102" i="1" l="1"/>
  <c r="J134" i="6"/>
  <c r="J133" i="6"/>
  <c r="J132" i="6"/>
  <c r="J131" i="6"/>
  <c r="J130" i="6"/>
  <c r="J129" i="6"/>
  <c r="J128" i="6"/>
  <c r="J127" i="6"/>
  <c r="J126" i="6"/>
  <c r="J125" i="6"/>
  <c r="J124" i="6"/>
  <c r="J123" i="6"/>
  <c r="J122" i="6"/>
  <c r="J121" i="6"/>
  <c r="J120" i="6"/>
  <c r="J119" i="6"/>
  <c r="J118" i="6"/>
  <c r="J117" i="6"/>
  <c r="J116" i="6"/>
  <c r="J115" i="6"/>
  <c r="J114" i="6"/>
  <c r="J113" i="6"/>
  <c r="J112" i="6"/>
  <c r="J111" i="6"/>
  <c r="J110" i="6"/>
  <c r="J109" i="6"/>
  <c r="J108" i="6"/>
  <c r="J107" i="6"/>
  <c r="J106" i="6"/>
  <c r="J105" i="6"/>
  <c r="J104" i="6"/>
  <c r="J103" i="6"/>
  <c r="J102" i="6"/>
  <c r="J101" i="6"/>
  <c r="J100" i="6"/>
  <c r="J99" i="6"/>
  <c r="J98" i="6"/>
  <c r="J97" i="6"/>
  <c r="J96" i="6"/>
  <c r="J95" i="6"/>
  <c r="J94" i="6"/>
  <c r="J93" i="6"/>
  <c r="J92" i="6"/>
  <c r="J91" i="6"/>
  <c r="J90" i="6"/>
  <c r="J89" i="6"/>
  <c r="J88" i="6"/>
  <c r="J87" i="6"/>
  <c r="J86" i="6"/>
  <c r="J85" i="6"/>
  <c r="J84" i="6"/>
  <c r="J83" i="6"/>
  <c r="J82" i="6"/>
  <c r="J81" i="6"/>
  <c r="J80" i="6"/>
  <c r="J79" i="6"/>
  <c r="J78" i="6"/>
  <c r="J77" i="6"/>
  <c r="J76" i="6"/>
  <c r="J75" i="6"/>
  <c r="J74" i="6"/>
  <c r="J73" i="6"/>
  <c r="J72" i="6"/>
  <c r="J71" i="6"/>
  <c r="J70" i="6"/>
  <c r="J69" i="6"/>
  <c r="J68" i="6"/>
  <c r="M67" i="6"/>
  <c r="J67" i="6"/>
  <c r="J66" i="6"/>
  <c r="J65" i="6"/>
  <c r="J64" i="6"/>
  <c r="J63" i="6"/>
  <c r="J62" i="6"/>
  <c r="J61" i="6"/>
  <c r="J60" i="6"/>
  <c r="J59" i="6"/>
  <c r="J58" i="6"/>
  <c r="J57" i="6"/>
  <c r="J56" i="6"/>
  <c r="J55" i="6"/>
  <c r="J54" i="6"/>
  <c r="J53" i="6"/>
  <c r="M52" i="6"/>
  <c r="J52" i="6"/>
  <c r="J51" i="6"/>
  <c r="J50" i="6"/>
  <c r="J49" i="6"/>
  <c r="J48" i="6"/>
  <c r="J47" i="6"/>
  <c r="J46" i="6"/>
  <c r="J45" i="6"/>
  <c r="M44" i="6"/>
  <c r="J44" i="6"/>
  <c r="J43" i="6"/>
  <c r="J42" i="6"/>
  <c r="J41" i="6"/>
  <c r="J40" i="6"/>
  <c r="J39" i="6"/>
  <c r="J38" i="6"/>
  <c r="J37" i="6"/>
  <c r="J36" i="6"/>
  <c r="J35" i="6"/>
  <c r="J34" i="6"/>
  <c r="J33" i="6"/>
  <c r="J32" i="6"/>
  <c r="J31" i="6"/>
  <c r="J30" i="6"/>
  <c r="J29" i="6"/>
  <c r="J28" i="6"/>
  <c r="J27" i="6"/>
  <c r="J26" i="6"/>
  <c r="J25" i="6"/>
  <c r="J24" i="6"/>
  <c r="J23" i="6"/>
  <c r="J22" i="6"/>
  <c r="J21" i="6"/>
  <c r="J20" i="6"/>
  <c r="J19" i="6"/>
  <c r="J18" i="6"/>
  <c r="J17" i="6"/>
  <c r="J16" i="6"/>
  <c r="J15" i="6"/>
  <c r="J14" i="6"/>
  <c r="J13" i="6"/>
  <c r="J12" i="6"/>
  <c r="J11" i="6"/>
  <c r="J10" i="6"/>
  <c r="J9" i="6"/>
  <c r="J8" i="6"/>
  <c r="J7" i="6"/>
  <c r="J6" i="6"/>
  <c r="J5" i="6"/>
  <c r="J4" i="6"/>
  <c r="J2" i="6"/>
  <c r="J63" i="5"/>
  <c r="J134" i="5"/>
  <c r="J133" i="5"/>
  <c r="J132" i="5"/>
  <c r="J131" i="5"/>
  <c r="J130" i="5"/>
  <c r="J129" i="5"/>
  <c r="J128" i="5"/>
  <c r="J127" i="5"/>
  <c r="J126" i="5"/>
  <c r="J125" i="5"/>
  <c r="J124" i="5"/>
  <c r="J123" i="5"/>
  <c r="J122" i="5"/>
  <c r="J121" i="5"/>
  <c r="J120" i="5"/>
  <c r="J119" i="5"/>
  <c r="J118" i="5"/>
  <c r="J117" i="5"/>
  <c r="J116" i="5"/>
  <c r="J115" i="5"/>
  <c r="J114" i="5"/>
  <c r="J113" i="5"/>
  <c r="J112" i="5"/>
  <c r="J111" i="5"/>
  <c r="J110" i="5"/>
  <c r="J109" i="5"/>
  <c r="J108" i="5"/>
  <c r="J107" i="5"/>
  <c r="J106" i="5"/>
  <c r="J105" i="5"/>
  <c r="J104" i="5"/>
  <c r="J103" i="5"/>
  <c r="J102" i="5"/>
  <c r="J101" i="5"/>
  <c r="J100" i="5"/>
  <c r="J99" i="5"/>
  <c r="J98" i="5"/>
  <c r="J97" i="5"/>
  <c r="J96" i="5"/>
  <c r="J95" i="5"/>
  <c r="J94" i="5"/>
  <c r="J93" i="5"/>
  <c r="J92" i="5"/>
  <c r="J91" i="5"/>
  <c r="J90" i="5"/>
  <c r="J89" i="5"/>
  <c r="J88" i="5"/>
  <c r="J87" i="5"/>
  <c r="J86" i="5"/>
  <c r="J85" i="5"/>
  <c r="J84" i="5"/>
  <c r="J83" i="5"/>
  <c r="J82" i="5"/>
  <c r="J81" i="5"/>
  <c r="J80" i="5"/>
  <c r="J79" i="5"/>
  <c r="J78" i="5"/>
  <c r="J77" i="5"/>
  <c r="J76" i="5"/>
  <c r="J75" i="5"/>
  <c r="J74" i="5"/>
  <c r="J73" i="5"/>
  <c r="J72" i="5"/>
  <c r="J71" i="5"/>
  <c r="J70" i="5"/>
  <c r="J69" i="5"/>
  <c r="J68" i="5"/>
  <c r="M67" i="5"/>
  <c r="J67" i="5"/>
  <c r="J66" i="5"/>
  <c r="J65" i="5"/>
  <c r="J64" i="5"/>
  <c r="J62" i="5"/>
  <c r="J61" i="5"/>
  <c r="J60" i="5"/>
  <c r="J59" i="5"/>
  <c r="J58" i="5"/>
  <c r="J57" i="5"/>
  <c r="J56" i="5"/>
  <c r="J55" i="5"/>
  <c r="J54" i="5"/>
  <c r="J53" i="5"/>
  <c r="M52" i="5"/>
  <c r="J52" i="5"/>
  <c r="J51" i="5"/>
  <c r="J50" i="5"/>
  <c r="J49" i="5"/>
  <c r="J48" i="5"/>
  <c r="J47" i="5"/>
  <c r="J46" i="5"/>
  <c r="J45" i="5"/>
  <c r="M44" i="5"/>
  <c r="J44" i="5"/>
  <c r="J43" i="5"/>
  <c r="J42" i="5"/>
  <c r="J41" i="5"/>
  <c r="J40" i="5"/>
  <c r="J39" i="5"/>
  <c r="J38" i="5"/>
  <c r="J37" i="5"/>
  <c r="J36" i="5"/>
  <c r="J35" i="5"/>
  <c r="J34" i="5"/>
  <c r="J33" i="5"/>
  <c r="J32" i="5"/>
  <c r="J31" i="5"/>
  <c r="J30" i="5"/>
  <c r="J29" i="5"/>
  <c r="J28" i="5"/>
  <c r="J27" i="5"/>
  <c r="J26" i="5"/>
  <c r="J25" i="5"/>
  <c r="J24" i="5"/>
  <c r="J23" i="5"/>
  <c r="J22" i="5"/>
  <c r="J21" i="5"/>
  <c r="J20" i="5"/>
  <c r="J19" i="5"/>
  <c r="J18" i="5"/>
  <c r="J17" i="5"/>
  <c r="J16" i="5"/>
  <c r="J15" i="5"/>
  <c r="J14" i="5"/>
  <c r="J13" i="5"/>
  <c r="J12" i="5"/>
  <c r="J11" i="5"/>
  <c r="J10" i="5"/>
  <c r="J9" i="5"/>
  <c r="J8" i="5"/>
  <c r="J7" i="5"/>
  <c r="J6" i="5"/>
  <c r="J5" i="5"/>
  <c r="J4" i="5"/>
  <c r="J2" i="5"/>
  <c r="J110" i="1"/>
  <c r="J60" i="1"/>
  <c r="J57" i="1"/>
  <c r="J55" i="1"/>
  <c r="J91" i="1"/>
  <c r="J23" i="1"/>
  <c r="J24" i="1"/>
  <c r="J112" i="1"/>
  <c r="J5" i="1"/>
  <c r="M112" i="1"/>
  <c r="M89" i="1"/>
  <c r="M77" i="1"/>
  <c r="J88" i="1"/>
  <c r="J87" i="1"/>
  <c r="J39" i="1"/>
  <c r="J111" i="1"/>
  <c r="C26" i="4" l="1"/>
  <c r="J89" i="1"/>
  <c r="C32" i="4" l="1"/>
  <c r="C30" i="4"/>
  <c r="C31" i="4"/>
  <c r="C28" i="4"/>
  <c r="K7" i="4" s="1"/>
  <c r="C29" i="4"/>
  <c r="L7" i="4" s="1"/>
  <c r="J77" i="1"/>
  <c r="J80" i="1"/>
  <c r="J95" i="1"/>
  <c r="J35" i="1"/>
  <c r="J106" i="1"/>
  <c r="J93" i="1"/>
  <c r="J92" i="1"/>
  <c r="J118" i="1"/>
  <c r="J113" i="1"/>
  <c r="J2" i="1"/>
  <c r="J8" i="1"/>
  <c r="J9" i="1"/>
  <c r="J14" i="1"/>
  <c r="J19" i="1"/>
  <c r="J25" i="1"/>
  <c r="J26" i="1"/>
  <c r="J28" i="1"/>
  <c r="J30" i="1"/>
  <c r="J32" i="1"/>
  <c r="J34" i="1"/>
  <c r="J36" i="1"/>
  <c r="J38" i="1"/>
  <c r="J40" i="1"/>
  <c r="J41" i="1"/>
  <c r="J42" i="1"/>
  <c r="J43" i="1"/>
  <c r="J44" i="1"/>
  <c r="J46" i="1"/>
  <c r="J47" i="1"/>
  <c r="J48" i="1"/>
  <c r="J49" i="1"/>
  <c r="J51" i="1"/>
  <c r="J53" i="1"/>
  <c r="J54" i="1"/>
  <c r="J56" i="1"/>
  <c r="J62" i="1"/>
  <c r="J66" i="1"/>
  <c r="J67" i="1"/>
  <c r="J70" i="1"/>
  <c r="J72" i="1"/>
  <c r="J76" i="1"/>
  <c r="J81" i="1"/>
  <c r="J82" i="1"/>
  <c r="J84" i="1"/>
  <c r="J85" i="1"/>
  <c r="J96" i="1"/>
  <c r="J97" i="1"/>
  <c r="J103" i="1"/>
  <c r="J104" i="1"/>
  <c r="J105" i="1"/>
  <c r="J114" i="1"/>
  <c r="J116" i="1"/>
  <c r="J117" i="1"/>
  <c r="J119" i="1"/>
  <c r="J120" i="1"/>
  <c r="J122" i="1"/>
  <c r="J123" i="1"/>
  <c r="J124" i="1"/>
  <c r="J125" i="1"/>
  <c r="J129" i="1"/>
  <c r="J130" i="1"/>
  <c r="J132" i="1"/>
  <c r="J136" i="1"/>
  <c r="J137" i="1"/>
  <c r="J138" i="1"/>
  <c r="J139" i="1"/>
  <c r="J140" i="1"/>
  <c r="J141" i="1"/>
  <c r="J142" i="1"/>
  <c r="J143" i="1"/>
  <c r="J144" i="1"/>
  <c r="J145" i="1"/>
  <c r="J146" i="1"/>
  <c r="J147" i="1"/>
  <c r="J148" i="1"/>
  <c r="J149" i="1"/>
  <c r="J150" i="1"/>
  <c r="J151" i="1"/>
  <c r="J152" i="1"/>
  <c r="J153" i="1"/>
  <c r="J154" i="1"/>
  <c r="J155" i="1"/>
  <c r="J156" i="1"/>
  <c r="J157" i="1"/>
  <c r="J158" i="1"/>
  <c r="J159" i="1"/>
  <c r="J160" i="1"/>
  <c r="J161" i="1"/>
  <c r="J162" i="1"/>
  <c r="J163" i="1"/>
  <c r="J164" i="1"/>
  <c r="J165" i="1"/>
  <c r="J166" i="1"/>
  <c r="J167" i="1"/>
  <c r="J168" i="1"/>
  <c r="J169" i="1"/>
  <c r="J170" i="1"/>
  <c r="J171" i="1"/>
  <c r="J172" i="1"/>
  <c r="J173" i="1"/>
  <c r="J174" i="1"/>
  <c r="J175" i="1"/>
  <c r="J176" i="1"/>
  <c r="J177" i="1"/>
  <c r="J178" i="1"/>
  <c r="J179" i="1"/>
  <c r="J180" i="1"/>
  <c r="J181" i="1"/>
  <c r="J182" i="1"/>
  <c r="J183" i="1"/>
  <c r="J184" i="1"/>
  <c r="J185" i="1"/>
  <c r="J186" i="1"/>
  <c r="D24" i="4"/>
  <c r="D26" i="4" s="1"/>
  <c r="D13" i="4"/>
  <c r="D15" i="4" s="1"/>
  <c r="D19" i="4" s="1"/>
  <c r="C15" i="4"/>
  <c r="L4" i="4"/>
  <c r="D4" i="4"/>
  <c r="D36" i="4" l="1"/>
  <c r="C19" i="4"/>
  <c r="C16" i="4"/>
  <c r="C27" i="4"/>
  <c r="D32" i="4"/>
  <c r="D27" i="4"/>
  <c r="N36" i="4"/>
  <c r="M36" i="4"/>
  <c r="L36" i="4"/>
  <c r="K36" i="4"/>
  <c r="J36" i="4"/>
  <c r="I36" i="4"/>
  <c r="H36" i="4"/>
  <c r="G36" i="4"/>
  <c r="F36" i="4"/>
  <c r="E36" i="4"/>
  <c r="C36" i="4"/>
  <c r="D30" i="4"/>
  <c r="D31" i="4"/>
  <c r="D28" i="4"/>
  <c r="D29" i="4"/>
  <c r="D18" i="4"/>
  <c r="D16" i="4"/>
  <c r="D17" i="4"/>
  <c r="E15" i="4"/>
  <c r="E19" i="4" s="1"/>
  <c r="C17" i="4"/>
  <c r="E7" i="4" s="1"/>
  <c r="C18" i="4"/>
  <c r="F7" i="4" s="1"/>
  <c r="F8" i="4"/>
  <c r="E8" i="4"/>
  <c r="D8" i="4"/>
  <c r="N8" i="4"/>
  <c r="M8" i="4"/>
  <c r="K8" i="4"/>
  <c r="L8" i="4"/>
  <c r="N7" i="4"/>
  <c r="M7" i="4"/>
  <c r="E26" i="4"/>
  <c r="B8" i="4"/>
  <c r="B7" i="4"/>
  <c r="E32" i="4" l="1"/>
  <c r="E27" i="4"/>
  <c r="E16" i="4"/>
  <c r="E30" i="4"/>
  <c r="E31" i="4"/>
  <c r="E28" i="4"/>
  <c r="E29" i="4"/>
  <c r="E17" i="4"/>
  <c r="E18" i="4"/>
  <c r="F15" i="4"/>
  <c r="F19" i="4" s="1"/>
  <c r="D7" i="4"/>
  <c r="F26" i="4"/>
  <c r="F27" i="4" l="1"/>
  <c r="F17" i="4"/>
  <c r="F18" i="4"/>
  <c r="F30" i="4"/>
  <c r="F31" i="4"/>
  <c r="F28" i="4"/>
  <c r="F29" i="4"/>
  <c r="F16" i="4"/>
  <c r="G15" i="4"/>
  <c r="G19" i="4" s="1"/>
  <c r="G26" i="4"/>
  <c r="G32" i="4" l="1"/>
  <c r="G27" i="4"/>
  <c r="G17" i="4"/>
  <c r="G18" i="4"/>
  <c r="G30" i="4"/>
  <c r="G31" i="4"/>
  <c r="G28" i="4"/>
  <c r="G29" i="4"/>
  <c r="G16" i="4"/>
  <c r="H15" i="4"/>
  <c r="H19" i="4" s="1"/>
  <c r="H26" i="4"/>
  <c r="H32" i="4" l="1"/>
  <c r="H27" i="4"/>
  <c r="H18" i="4"/>
  <c r="H31" i="4"/>
  <c r="H30" i="4"/>
  <c r="H28" i="4"/>
  <c r="H29" i="4"/>
  <c r="H17" i="4"/>
  <c r="H16" i="4"/>
  <c r="I15" i="4"/>
  <c r="I19" i="4" s="1"/>
  <c r="I26" i="4"/>
  <c r="I32" i="4" l="1"/>
  <c r="I27" i="4"/>
  <c r="I16" i="4"/>
  <c r="I31" i="4"/>
  <c r="I30" i="4"/>
  <c r="I28" i="4"/>
  <c r="I29" i="4"/>
  <c r="I17" i="4"/>
  <c r="I18" i="4"/>
  <c r="J15" i="4"/>
  <c r="J19" i="4" s="1"/>
  <c r="J26" i="4"/>
  <c r="J32" i="4" l="1"/>
  <c r="J27" i="4"/>
  <c r="J16" i="4"/>
  <c r="J31" i="4"/>
  <c r="J30" i="4"/>
  <c r="J28" i="4"/>
  <c r="J29" i="4"/>
  <c r="J17" i="4"/>
  <c r="J18" i="4"/>
  <c r="K15" i="4"/>
  <c r="K19" i="4" s="1"/>
  <c r="K26" i="4"/>
  <c r="K32" i="4" l="1"/>
  <c r="K27" i="4"/>
  <c r="K31" i="4"/>
  <c r="K30" i="4"/>
  <c r="K28" i="4"/>
  <c r="K29" i="4"/>
  <c r="K16" i="4"/>
  <c r="K18" i="4"/>
  <c r="K17" i="4"/>
  <c r="L15" i="4"/>
  <c r="L19" i="4" s="1"/>
  <c r="L26" i="4"/>
  <c r="L32" i="4" l="1"/>
  <c r="L27" i="4"/>
  <c r="L30" i="4"/>
  <c r="L31" i="4"/>
  <c r="L28" i="4"/>
  <c r="L29" i="4"/>
  <c r="L16" i="4"/>
  <c r="L18" i="4"/>
  <c r="L17" i="4"/>
  <c r="M15" i="4"/>
  <c r="M19" i="4" s="1"/>
  <c r="M26" i="4"/>
  <c r="M32" i="4" l="1"/>
  <c r="M27" i="4"/>
  <c r="M30" i="4"/>
  <c r="M31" i="4"/>
  <c r="M28" i="4"/>
  <c r="M29" i="4"/>
  <c r="M16" i="4"/>
  <c r="M18" i="4"/>
  <c r="M17" i="4"/>
  <c r="N15" i="4"/>
  <c r="N19" i="4" s="1"/>
  <c r="N26" i="4"/>
  <c r="N32" i="4" l="1"/>
  <c r="N27" i="4"/>
  <c r="N30" i="4"/>
  <c r="N31" i="4"/>
  <c r="N28" i="4"/>
  <c r="N29" i="4"/>
  <c r="N16" i="4"/>
  <c r="N18" i="4"/>
  <c r="N17" i="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tc={EBEAEB26-2C19-4ECC-9793-5188E170670E}</author>
  </authors>
  <commentList>
    <comment ref="E23" authorId="0" shapeId="0" xr:uid="{EBEAEB26-2C19-4ECC-9793-5188E170670E}">
      <text>
        <t>[Threaded comment]
Your version of Excel allows you to read this threaded comment; however, any edits to it will get removed if the file is opened in a newer version of Excel. Learn more: https://go.microsoft.com/fwlink/?linkid=870924
Comment:
    FYI... per emails in March, I think Brandi Sauter took over as PM.</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tc={017742FC-1889-4946-BAC4-EFD4F5F36138}</author>
  </authors>
  <commentList>
    <comment ref="E23" authorId="0" shapeId="0" xr:uid="{017742FC-1889-4946-BAC4-EFD4F5F36138}">
      <text>
        <t>[Threaded comment]
Your version of Excel allows you to read this threaded comment; however, any edits to it will get removed if the file is opened in a newer version of Excel. Learn more: https://go.microsoft.com/fwlink/?linkid=870924
Comment:
    FYI... per emails in March, I think Brandi Sauter took over as PM.</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tc={57BB29FA-21EA-429D-93E6-6DF4E17A4BA3}</author>
    <author>Kristen Pearcy</author>
    <author>tc={ED40ACBB-3EFD-4E77-87F4-8DAABA44821F}</author>
    <author>tc={8254C5E3-AB84-4901-90C5-BBC767F46FC9}</author>
    <author>tc={438B7309-11F1-44FB-90BF-4092B35AB686}</author>
    <author>tc={7549B053-E90B-4F3A-895D-4C1F4849A49E}</author>
    <author>tc={4407EE12-846F-4C86-9860-70312ED890A2}</author>
    <author>tc={E3398B03-AC13-41FC-AFA5-8BCD949EA4CA}</author>
    <author>tc={88861234-F35E-4D39-B8D0-99718C58C6F2}</author>
    <author>tc={F1596307-5D4F-4A0A-B80A-BFCEF516B801}</author>
    <author>tc={0237376A-B9C5-46B9-9B7F-E2AC0A7FC606}</author>
    <author>tc={0C8827DE-9528-44DF-977C-1FF7BCDBA796}</author>
    <author>tc={60D0F648-C96F-4C44-A9D7-F0EF24ADC419}</author>
    <author>tc={D994EA7F-0FEC-4C4C-8214-6CC490DA12CA}</author>
    <author>tc={9C259C21-289E-4FD9-AC3B-0819D4CC8D90}</author>
    <author>tc={413DF0AF-F7ED-4288-ABF5-A9D4A1A8045C}</author>
    <author>tc={6B86ED3F-4E61-42BC-9009-A714D566C9BA}</author>
    <author>tc={6FDDB6D4-ABD3-446F-931D-8159D31CB49D}</author>
    <author>tc={DEBD2EEC-3C25-495B-A1F7-F49C01C790F3}</author>
    <author>tc={3FF2F593-8598-4F43-8148-6503A2EE5A53}</author>
    <author>tc={39E4BD3F-577E-469F-938B-55B77DD9BBF9}</author>
    <author>tc={35247391-F2EB-4485-8A7B-D907C7E0BE77}</author>
    <author>tc={727F5189-0ADB-4818-85D5-CB872CDEF866}</author>
    <author>tc={4A51118B-86A7-4568-A77E-8BABE8AC3A91}</author>
    <author>tc={A08BE3D8-9626-40BB-A608-2AE1F46A9827}</author>
    <author>tc={B9D5C2AA-93B6-41CA-90B3-54D577A6BBBA}</author>
    <author>tc={01A08598-483D-4593-8B09-7284F946FAAC}</author>
    <author>tc={B8218A53-9420-4AE7-820A-2C82F6037709}</author>
    <author>tc={7E7E74B3-4495-4846-A21E-411DE3E8B38F}</author>
    <author>tc={A83BAD5F-972C-44C2-B85B-FF7D36ED6C46}</author>
    <author>tc={CC2F7D21-457C-4F29-BD94-685FE00ED97B}</author>
    <author>tc={EA2593A5-7EBC-47C3-842F-74CE09EE115A}</author>
    <author>tc={52DEC792-8890-4744-9D28-AF5B5D4AE32F}</author>
    <author>tc={7634E280-BFF6-4693-AC60-FC5E93C09197}</author>
    <author>tc={276656CF-6607-4A4F-A56A-99084A173A9C}</author>
    <author>tc={5274464F-57E5-45D2-BC79-93F752D1F1B1}</author>
    <author>tc={DD97663C-E75B-4E7B-A3C6-C9402951F526}</author>
    <author>tc={257C2166-C174-405A-AE07-44BF79A96511}</author>
    <author>tc={BBB51B6C-257F-457A-8BF0-5331505E1107}</author>
    <author>tc={05E5BEFF-6EBB-4E0E-902C-DE12357552E6}</author>
    <author>tc={84B6D307-AD81-422E-8C73-69839CAEAC57}</author>
    <author>tc={91053BBF-9C59-41F9-B23B-6DD67FD174C4}</author>
  </authors>
  <commentList>
    <comment ref="A6" authorId="0" shapeId="0" xr:uid="{57BB29FA-21EA-429D-93E6-6DF4E17A4BA3}">
      <text>
        <t>[Threaded comment]
Your version of Excel allows you to read this threaded comment; however, any edits to it will get removed if the file is opened in a newer version of Excel. Learn more: https://go.microsoft.com/fwlink/?linkid=870924
Comment:
    see emailed NTP from Hector 12/6.
Per Bram 12/6 this is still in proposal stage (?).</t>
      </text>
    </comment>
    <comment ref="Q7" authorId="1" shapeId="0" xr:uid="{DC268A18-3665-4279-8137-C69D8B8C10C0}">
      <text>
        <r>
          <rPr>
            <sz val="11"/>
            <color theme="1"/>
            <rFont val="Calibri"/>
            <family val="2"/>
            <scheme val="minor"/>
          </rPr>
          <t xml:space="preserve">KP 1/14/25:
Refer to the following emails with requirements.
Paul Duffy email 1/8 with requirements. 
Chistopher Ritchie email 1/13 with requirements. 
</t>
        </r>
      </text>
    </comment>
    <comment ref="A10" authorId="2" shapeId="0" xr:uid="{ED40ACBB-3EFD-4E77-87F4-8DAABA44821F}">
      <text>
        <t>[Threaded comment]
Your version of Excel allows you to read this threaded comment; however, any edits to it will get removed if the file is opened in a newer version of Excel. Learn more: https://go.microsoft.com/fwlink/?linkid=870924
Comment:
    11/18: NTP from A/E and NT po received/sent</t>
      </text>
    </comment>
    <comment ref="A11" authorId="1" shapeId="0" xr:uid="{1F647B6F-A14B-4BB3-8069-60DCDDB5D255}">
      <text>
        <r>
          <rPr>
            <sz val="11"/>
            <color theme="1"/>
            <rFont val="Calibri"/>
            <family val="2"/>
            <scheme val="minor"/>
          </rPr>
          <t xml:space="preserve">Kristen Pearcy:
project cancelled March 2025.
</t>
        </r>
      </text>
    </comment>
    <comment ref="A12" authorId="1" shapeId="0" xr:uid="{D33E8E19-CD42-4F10-8BF2-2B6644B66BE9}">
      <text>
        <r>
          <rPr>
            <sz val="11"/>
            <color theme="1"/>
            <rFont val="Calibri"/>
            <family val="2"/>
            <scheme val="minor"/>
          </rPr>
          <t xml:space="preserve">Kristen Pearcy:
project cancelled March 2025.
</t>
        </r>
      </text>
    </comment>
    <comment ref="A13" authorId="1" shapeId="0" xr:uid="{C4B60776-37EA-416C-B9AB-4F8CDD7A166A}">
      <text>
        <r>
          <rPr>
            <sz val="11"/>
            <color theme="1"/>
            <rFont val="Calibri"/>
            <family val="2"/>
            <scheme val="minor"/>
          </rPr>
          <t xml:space="preserve">Kristen Pearcy:
project cancelled March 2025.
</t>
        </r>
      </text>
    </comment>
    <comment ref="A14" authorId="3" shapeId="0" xr:uid="{8254C5E3-AB84-4901-90C5-BBC767F46FC9}">
      <text>
        <t>[Threaded comment]
Your version of Excel allows you to read this threaded comment; however, any edits to it will get removed if the file is opened in a newer version of Excel. Learn more: https://go.microsoft.com/fwlink/?linkid=870924
Comment:
    11/7: AVC43 Boydton Area ISP changes requested - need to confirm how to reflect dates on tracker.
12/6: AVC43DRB07 agreement signed with A/E.  need to confirm how to reflect this in tracker</t>
      </text>
    </comment>
    <comment ref="N15" authorId="4" shapeId="0" xr:uid="{438B7309-11F1-44FB-90BF-4092B35AB686}">
      <text>
        <t>[Threaded comment]
Your version of Excel allows you to read this threaded comment; however, any edits to it will get removed if the file is opened in a newer version of Excel. Learn more: https://go.microsoft.com/fwlink/?linkid=870924
Comment:
    updated from 4/21 to 4/25</t>
      </text>
    </comment>
    <comment ref="A16" authorId="5" shapeId="0" xr:uid="{7549B053-E90B-4F3A-895D-4C1F4849A49E}">
      <text>
        <t xml:space="preserve">[Threaded comment]
Your version of Excel allows you to read this threaded comment; however, any edits to it will get removed if the file is opened in a newer version of Excel. Learn more: https://go.microsoft.com/fwlink/?linkid=870924
Comment:
    added 11/7 - Boydton Area ISP changes coming. </t>
      </text>
    </comment>
    <comment ref="A17" authorId="6" shapeId="0" xr:uid="{4407EE12-846F-4C86-9860-70312ED890A2}">
      <text>
        <t>[Threaded comment]
Your version of Excel allows you to read this threaded comment; however, any edits to it will get removed if the file is opened in a newer version of Excel. Learn more: https://go.microsoft.com/fwlink/?linkid=870924
Comment:
    Added 4/21/25 and PO sent to CL
Reply:
    Design revisions to be billed to MS PO 101207897</t>
      </text>
    </comment>
    <comment ref="A18" authorId="1" shapeId="0" xr:uid="{7039B835-0EFC-4546-BBD6-D7C58CD6DE51}">
      <text>
        <r>
          <rPr>
            <sz val="11"/>
            <color theme="1"/>
            <rFont val="Calibri"/>
            <family val="2"/>
            <scheme val="minor"/>
          </rPr>
          <t xml:space="preserve">Kristen Pearcy:
4/18: Update to PSDAS needed.    </t>
        </r>
      </text>
    </comment>
    <comment ref="A20" authorId="7" shapeId="0" xr:uid="{E3398B03-AC13-41FC-AFA5-8BCD949EA4CA}">
      <text>
        <t xml:space="preserve">[Threaded comment]
Your version of Excel allows you to read this threaded comment; however, any edits to it will get removed if the file is opened in a newer version of Excel. Learn more: https://go.microsoft.com/fwlink/?linkid=870924
Comment:
    PSDAS Code update - </t>
      </text>
    </comment>
    <comment ref="Q20" authorId="8" shapeId="0" xr:uid="{88861234-F35E-4D39-B8D0-99718C58C6F2}">
      <text>
        <t>[Threaded comment]
Your version of Excel allows you to read this threaded comment; however, any edits to it will get removed if the file is opened in a newer version of Excel. Learn more: https://go.microsoft.com/fwlink/?linkid=870924
Comment:
     DRB 06 IFC (PSDAS Code Update)</t>
      </text>
    </comment>
    <comment ref="A21" authorId="9" shapeId="0" xr:uid="{F1596307-5D4F-4A0A-B80A-BFCEF516B801}">
      <text>
        <t>[Threaded comment]
Your version of Excel allows you to read this threaded comment; however, any edits to it will get removed if the file is opened in a newer version of Excel. Learn more: https://go.microsoft.com/fwlink/?linkid=870924
Comment:
    4/15/25 -   IFC put on hold. Project being descoped.  Date TBD</t>
      </text>
    </comment>
    <comment ref="M21" authorId="10" shapeId="0" xr:uid="{0237376A-B9C5-46B9-9B7F-E2AC0A7FC606}">
      <text>
        <t>[Threaded comment]
Your version of Excel allows you to read this threaded comment; however, any edits to it will get removed if the file is opened in a newer version of Excel. Learn more: https://go.microsoft.com/fwlink/?linkid=870924
Comment:
    was due 8/28.  NT delivered 8/23.</t>
      </text>
    </comment>
    <comment ref="A22" authorId="1" shapeId="0" xr:uid="{009A4E39-143D-407A-A746-EE49023C9471}">
      <text>
        <r>
          <rPr>
            <sz val="11"/>
            <color theme="1"/>
            <rFont val="Calibri"/>
            <family val="2"/>
            <scheme val="minor"/>
          </rPr>
          <t>Kristen Pearcy:
design revision - 
‘shell space’ that will essentially be a steel shell with exposed beams. requires fully functional ERRCS system in place, with addressing near-far concerns.
CADS required</t>
        </r>
      </text>
    </comment>
    <comment ref="A27" authorId="11" shapeId="0" xr:uid="{0C8827DE-9528-44DF-977C-1FF7BCDBA796}">
      <text>
        <t>[Threaded comment]
Your version of Excel allows you to read this threaded comment; however, any edits to it will get removed if the file is opened in a newer version of Excel. Learn more: https://go.microsoft.com/fwlink/?linkid=870924
Comment:
    project cancelled March 2025</t>
      </text>
    </comment>
    <comment ref="A29" authorId="12" shapeId="0" xr:uid="{60D0F648-C96F-4C44-A9D7-F0EF24ADC419}">
      <text>
        <t>[Threaded comment]
Your version of Excel allows you to read this threaded comment; however, any edits to it will get removed if the file is opened in a newer version of Excel. Learn more: https://go.microsoft.com/fwlink/?linkid=870924
Comment:
    12/19 - waiting on contract from A/E
Reply:
    All contracts in place
Reply:
    Project cancelled March 2025</t>
      </text>
    </comment>
    <comment ref="K29" authorId="1" shapeId="0" xr:uid="{5B63B563-1B2E-4CE9-AD42-79BDE8ECADEE}">
      <text>
        <r>
          <rPr>
            <sz val="11"/>
            <color theme="1"/>
            <rFont val="Calibri"/>
            <family val="2"/>
            <scheme val="minor"/>
          </rPr>
          <t xml:space="preserve">Kristen Pearcy:
1/23/25: Per email from JHussey, NT confirmed date delivery date of 2/3. </t>
        </r>
      </text>
    </comment>
    <comment ref="L29" authorId="1" shapeId="0" xr:uid="{219DE100-4256-4BD6-AACF-BBDF0EB24048}">
      <text>
        <r>
          <rPr>
            <sz val="11"/>
            <color theme="1"/>
            <rFont val="Calibri"/>
            <family val="2"/>
            <scheme val="minor"/>
          </rPr>
          <t>Kristen Pearcy:
1/23/25: 
A/E QC period starts 1/28 but we'll miss that delivery due to floor plans being provided so late.  Target to deliver 2/4.  A/E issues 50% IFR on 2/5.</t>
        </r>
      </text>
    </comment>
    <comment ref="A31" authorId="13" shapeId="0" xr:uid="{D994EA7F-0FEC-4C4C-8214-6CC490DA12CA}">
      <text>
        <t>[Threaded comment]
Your version of Excel allows you to read this threaded comment; however, any edits to it will get removed if the file is opened in a newer version of Excel. Learn more: https://go.microsoft.com/fwlink/?linkid=870924
Comment:
    project cancelled March 2025</t>
      </text>
    </comment>
    <comment ref="L33" authorId="14" shapeId="0" xr:uid="{9C259C21-289E-4FD9-AC3B-0819D4CC8D90}">
      <text>
        <t>[Threaded comment]
Your version of Excel allows you to read this threaded comment; however, any edits to it will get removed if the file is opened in a newer version of Excel. Learn more: https://go.microsoft.com/fwlink/?linkid=870924
Comment:
    09/24: BW to follow up with Deens to confirm date.</t>
      </text>
    </comment>
    <comment ref="U38" authorId="15" shapeId="0" xr:uid="{413DF0AF-F7ED-4288-ABF5-A9D4A1A8045C}">
      <text>
        <t>[Threaded comment]
Your version of Excel allows you to read this threaded comment; however, any edits to it will get removed if the file is opened in a newer version of Excel. Learn more: https://go.microsoft.com/fwlink/?linkid=870924
Comment:
    first round delivered 9/10/24 - per email from Kristin McCue 4/23 - targeting to have redline drawings available by 5/8 and final Issue for Record drawing sets delivered by end of May 
Reply:
    Per Brandon Gilyard, redlines ETA by 5/9/25</t>
      </text>
    </comment>
    <comment ref="E41" authorId="16" shapeId="0" xr:uid="{6B86ED3F-4E61-42BC-9009-A714D566C9BA}">
      <text>
        <t>[Threaded comment]
Your version of Excel allows you to read this threaded comment; however, any edits to it will get removed if the file is opened in a newer version of Excel. Learn more: https://go.microsoft.com/fwlink/?linkid=870924
Comment:
    FYI... per emails in March, I think Brandi Sauter took over as PM.</t>
      </text>
    </comment>
    <comment ref="A50" authorId="17" shapeId="0" xr:uid="{6FDDB6D4-ABD3-446F-931D-8159D31CB49D}">
      <text>
        <t>[Threaded comment]
Your version of Excel allows you to read this threaded comment; however, any edits to it will get removed if the file is opened in a newer version of Excel. Learn more: https://go.microsoft.com/fwlink/?linkid=870924
Comment:
    Redesign to Fremont Design kick off meeting 5/19 - proposal requested from CL</t>
      </text>
    </comment>
    <comment ref="I50" authorId="18" shapeId="0" xr:uid="{DEBD2EEC-3C25-495B-A1F7-F49C01C790F3}">
      <text>
        <t>[Threaded comment]
Your version of Excel allows you to read this threaded comment; however, any edits to it will get removed if the file is opened in a newer version of Excel. Learn more: https://go.microsoft.com/fwlink/?linkid=870924
Comment:
    Kick Off Meeting 5/19</t>
      </text>
    </comment>
    <comment ref="A52" authorId="19" shapeId="0" xr:uid="{3FF2F593-8598-4F43-8148-6503A2EE5A53}">
      <text>
        <t>[Threaded comment]
Your version of Excel allows you to read this threaded comment; however, any edits to it will get removed if the file is opened in a newer version of Excel. Learn more: https://go.microsoft.com/fwlink/?linkid=870924
Comment:
    Move PS Antenna - bill to CA</t>
      </text>
    </comment>
    <comment ref="A59" authorId="1" shapeId="0" xr:uid="{5B775274-810D-4235-B1C9-35A6FAC88C58}">
      <text>
        <r>
          <rPr>
            <sz val="11"/>
            <color theme="1"/>
            <rFont val="Calibri"/>
            <family val="2"/>
            <scheme val="minor"/>
          </rPr>
          <t>Kristen Pearcy:
2/13/25: ISP Headend Mod</t>
        </r>
      </text>
    </comment>
    <comment ref="A63" authorId="1" shapeId="0" xr:uid="{DF6E33E3-87EA-4B49-AB1F-AABB988CCF27}">
      <text>
        <r>
          <rPr>
            <sz val="11"/>
            <color theme="1"/>
            <rFont val="Calibri"/>
            <family val="2"/>
            <scheme val="minor"/>
          </rPr>
          <t>Kristen Pearcy:
2/13/25: ISP Headend Mod
DCN08</t>
        </r>
      </text>
    </comment>
    <comment ref="A64" authorId="1" shapeId="0" xr:uid="{8EE7E685-D9A4-474C-A804-CF67AE1280CA}">
      <text>
        <r>
          <rPr>
            <sz val="11"/>
            <color theme="1"/>
            <rFont val="Calibri"/>
            <family val="2"/>
            <scheme val="minor"/>
          </rPr>
          <t xml:space="preserve">Kristen Pearcy:
AHJ requiring occupancy.
PSDAS/ERRCS required.
CADS required.
</t>
        </r>
      </text>
    </comment>
    <comment ref="A68" authorId="20" shapeId="0" xr:uid="{39E4BD3F-577E-469F-938B-55B77DD9BBF9}">
      <text>
        <t>[Threaded comment]
Your version of Excel allows you to read this threaded comment; however, any edits to it will get removed if the file is opened in a newer version of Excel. Learn more: https://go.microsoft.com/fwlink/?linkid=870924
Comment:
    on project tracker/shared folders as LVL06DRB06</t>
      </text>
    </comment>
    <comment ref="U69" authorId="21" shapeId="0" xr:uid="{35247391-F2EB-4485-8A7B-D907C7E0BE77}">
      <text>
        <t>[Threaded comment]
Your version of Excel allows you to read this threaded comment; however, any edits to it will get removed if the file is opened in a newer version of Excel. Learn more: https://go.microsoft.com/fwlink/?linkid=870924
Comment:
    LVL04/05 - see email from Mira 4/17 with requirements.</t>
      </text>
    </comment>
    <comment ref="A73" authorId="22" shapeId="0" xr:uid="{727F5189-0ADB-4818-85D5-CB872CDEF866}">
      <text>
        <t>[Threaded comment]
Your version of Excel allows you to read this threaded comment; however, any edits to it will get removed if the file is opened in a newer version of Excel. Learn more: https://go.microsoft.com/fwlink/?linkid=870924
Comment:
    Kick off meeting 8/12/25</t>
      </text>
    </comment>
    <comment ref="A74" authorId="23" shapeId="0" xr:uid="{4A51118B-86A7-4568-A77E-8BABE8AC3A91}">
      <text>
        <t>[Threaded comment]
Your version of Excel allows you to read this threaded comment; however, any edits to it will get removed if the file is opened in a newer version of Excel. Learn more: https://go.microsoft.com/fwlink/?linkid=870924
Comment:
    on project tracker/shared drive as LVL11DRB04</t>
      </text>
    </comment>
    <comment ref="A78" authorId="24" shapeId="0" xr:uid="{A08BE3D8-9626-40BB-A608-2AE1F46A9827}">
      <text>
        <t>[Threaded comment]
Your version of Excel allows you to read this threaded comment; however, any edits to it will get removed if the file is opened in a newer version of Excel. Learn more: https://go.microsoft.com/fwlink/?linkid=870924
Comment:
    LVL11 to be updated to match LVL08 update to Ericsson unit. - no billing expected from Centerline side</t>
      </text>
    </comment>
    <comment ref="A79" authorId="25" shapeId="0" xr:uid="{B9D5C2AA-93B6-41CA-90B3-54D577A6BBBA}">
      <text>
        <t>[Threaded comment]
Your version of Excel allows you to read this threaded comment; however, any edits to it will get removed if the file is opened in a newer version of Excel. Learn more: https://go.microsoft.com/fwlink/?linkid=870924
Comment:
    1/7/25 - budget remaining on original LVL12-14 Design contract. Use that to cover revisions.
Reply:
    A/E canceled IFP for 2/19.  On hold pending scope revisions from MSFT.
Reply:
    A/E confirmed IFP still on hold.
Reply:
    Email from Mira Lammers advising IFC date 4/28/25 noon.</t>
      </text>
    </comment>
    <comment ref="A86" authorId="1" shapeId="0" xr:uid="{B9F63B82-A219-4C6D-98F0-B8D2F6F1C2B1}">
      <text>
        <r>
          <rPr>
            <sz val="11"/>
            <color theme="1"/>
            <rFont val="Calibri"/>
            <family val="2"/>
            <scheme val="minor"/>
          </rPr>
          <t>Kristen Pearcy:
2/13/25: ISP Headend Mod</t>
        </r>
      </text>
    </comment>
    <comment ref="A90" authorId="26" shapeId="0" xr:uid="{01A08598-483D-4593-8B09-7284F946FAAC}">
      <text>
        <t>[Threaded comment]
Your version of Excel allows you to read this threaded comment; however, any edits to it will get removed if the file is opened in a newer version of Excel. Learn more: https://go.microsoft.com/fwlink/?linkid=870924
Comment:
    HS requested update on redline drawing due date from A/E 4/7.</t>
      </text>
    </comment>
    <comment ref="U90" authorId="27" shapeId="0" xr:uid="{B8218A53-9420-4AE7-820A-2C82F6037709}">
      <text>
        <t xml:space="preserve">[Threaded comment]
Your version of Excel allows you to read this threaded comment; however, any edits to it will get removed if the file is opened in a newer version of Excel. Learn more: https://go.microsoft.com/fwlink/?linkid=870924
Comment:
    Brandon Gilyard - email 5/6 approval to work ahead on record set drawings.  </t>
      </text>
    </comment>
    <comment ref="Q96" authorId="28" shapeId="0" xr:uid="{7E7E74B3-4495-4846-A21E-411DE3E8B38F}">
      <text>
        <t>[Threaded comment]
Your version of Excel allows you to read this threaded comment; however, any edits to it will get removed if the file is opened in a newer version of Excel. Learn more: https://go.microsoft.com/fwlink/?linkid=870924
Comment:
    Per A/E, Andrea Frasier-Sanchez:  schedule will be advised.</t>
      </text>
    </comment>
    <comment ref="U96" authorId="29" shapeId="0" xr:uid="{A83BAD5F-972C-44C2-B85B-FF7D36ED6C46}">
      <text>
        <t>[Threaded comment]
Your version of Excel allows you to read this threaded comment; however, any edits to it will get removed if the file is opened in a newer version of Excel. Learn more: https://go.microsoft.com/fwlink/?linkid=870924
Comment:
    Per A/E, Andrea Frasier-Sanchez:  schedule will be advised.</t>
      </text>
    </comment>
    <comment ref="A98" authorId="1" shapeId="0" xr:uid="{98291658-0767-4B69-9440-5CF59F5DE245}">
      <text>
        <r>
          <rPr>
            <sz val="11"/>
            <color theme="1"/>
            <rFont val="Calibri"/>
            <family val="2"/>
            <scheme val="minor"/>
          </rPr>
          <t>Kristen Pearcy:
Descope to shell space.  requires full functional ERRCS system in place, with addressing near-far concerns.
CADS required.</t>
        </r>
      </text>
    </comment>
    <comment ref="K98" authorId="30" shapeId="0" xr:uid="{CC2F7D21-457C-4F29-BD94-685FE00ED97B}">
      <text>
        <t>[Threaded comment]
Your version of Excel allows you to read this threaded comment; however, any edits to it will get removed if the file is opened in a newer version of Excel. Learn more: https://go.microsoft.com/fwlink/?linkid=870924
Comment:
    BW reached out to Michael Dale at Jacobs requesting updated floor plans.</t>
      </text>
    </comment>
    <comment ref="A99" authorId="1" shapeId="0" xr:uid="{0892762E-BE7A-422D-93B7-8595E49832AE}">
      <text>
        <r>
          <rPr>
            <sz val="11"/>
            <color theme="1"/>
            <rFont val="Calibri"/>
            <family val="2"/>
            <scheme val="minor"/>
          </rPr>
          <t>Kristen Pearcy:
Descope to shell space.  requires full functional ERRCS system in place, with addressing near-far concerns.
CADS required.</t>
        </r>
      </text>
    </comment>
    <comment ref="A107" authorId="31" shapeId="0" xr:uid="{EA2593A5-7EBC-47C3-842F-74CE09EE115A}">
      <text>
        <t>[Threaded comment]
Your version of Excel allows you to read this threaded comment; however, any edits to it will get removed if the file is opened in a newer version of Excel. Learn more: https://go.microsoft.com/fwlink/?linkid=870924
Comment:
    Phase 2 - need to design remaining COLOS</t>
      </text>
    </comment>
    <comment ref="N107" authorId="32" shapeId="0" xr:uid="{52DEC792-8890-4744-9D28-AF5B5D4AE32F}">
      <text>
        <t>[Threaded comment]
Your version of Excel allows you to read this threaded comment; however, any edits to it will get removed if the file is opened in a newer version of Excel. Learn more: https://go.microsoft.com/fwlink/?linkid=870924
Comment:
    90% per HS email</t>
      </text>
    </comment>
    <comment ref="U107" authorId="33" shapeId="0" xr:uid="{7634E280-BFF6-4693-AC60-FC5E93C09197}">
      <text>
        <t>[Threaded comment]
Your version of Excel allows you to read this threaded comment; however, any edits to it will get removed if the file is opened in a newer version of Excel. Learn more: https://go.microsoft.com/fwlink/?linkid=870924
Comment:
    1/16/25:  S2A will not issue until commissioning has been completed. BW communicated this to Fernando.
Reply:
    01/29/25:  Date pushed out to a week.  Due to end client 2/7.
Reply:
    Email thread - Bram requesting details on Record Set needs</t>
      </text>
    </comment>
    <comment ref="O108" authorId="34" shapeId="0" xr:uid="{276656CF-6607-4A4F-A56A-99084A173A9C}">
      <text>
        <t>[Threaded comment]
Your version of Excel allows you to read this threaded comment; however, any edits to it will get removed if the file is opened in a newer version of Excel. Learn more: https://go.microsoft.com/fwlink/?linkid=870924
Comment:
    @Bram Wathen  - Hi Bram, this cell was blank.  I plugged in the Friday before the A/E due date.  (3 days would have been a Sunday).    Let me know if any concerns.  Thanks! KP</t>
      </text>
    </comment>
    <comment ref="K109" authorId="35" shapeId="0" xr:uid="{5274464F-57E5-45D2-BC79-93F752D1F1B1}">
      <text>
        <t>[Threaded comment]
Your version of Excel allows you to read this threaded comment; however, any edits to it will get removed if the file is opened in a newer version of Excel. Learn more: https://go.microsoft.com/fwlink/?linkid=870924
Comment:
    per 09/26 call: shooting for 10/3/24 delivery</t>
      </text>
    </comment>
    <comment ref="Q109" authorId="1" shapeId="0" xr:uid="{B7931421-C10C-47DE-86EB-B15E406D001D}">
      <text>
        <r>
          <rPr>
            <sz val="11"/>
            <color theme="1"/>
            <rFont val="Calibri"/>
            <family val="2"/>
            <scheme val="minor"/>
          </rPr>
          <t>Kristen Pearcy:
3/20/25: project scope downgraded to Colo2 FitOut only - proposal requested by 3/28 - delivery schedule TBD.
6/23/25: descope revisions and IFC delivery requested for 7/22</t>
        </r>
      </text>
    </comment>
    <comment ref="A114" authorId="36" shapeId="0" xr:uid="{DD97663C-E75B-4E7B-A3C6-C9402951F526}">
      <text>
        <t>[Threaded comment]
Your version of Excel allows you to read this threaded comment; however, any edits to it will get removed if the file is opened in a newer version of Excel. Learn more: https://go.microsoft.com/fwlink/?linkid=870924
Comment:
    12/10/24: Estimated online October 2025.</t>
      </text>
    </comment>
    <comment ref="Q116" authorId="37" shapeId="0" xr:uid="{257C2166-C174-405A-AE07-44BF79A96511}">
      <text>
        <t xml:space="preserve">[Threaded comment]
Your version of Excel allows you to read this threaded comment; however, any edits to it will get removed if the file is opened in a newer version of Excel. Learn more: https://go.microsoft.com/fwlink/?linkid=870924
Comment:
    12/17/24: BW confirmed target 1/9/25.
12/13/24: A McClung Email - fogot to loop in S2A on IFC pkg and requesting call to discuss deliverable date </t>
      </text>
    </comment>
    <comment ref="A117" authorId="38" shapeId="0" xr:uid="{BBB51B6C-257F-457A-8BF0-5331505E1107}">
      <text>
        <t>[Threaded comment]
Your version of Excel allows you to read this threaded comment; however, any edits to it will get removed if the file is opened in a newer version of Excel. Learn more: https://go.microsoft.com/fwlink/?linkid=870924
Comment:
    12/20: A/E advised project likely not to proceed to IFC stage . To be redesigned to 2 store Fremont design.</t>
      </text>
    </comment>
    <comment ref="O121" authorId="39" shapeId="0" xr:uid="{05E5BEFF-6EBB-4E0E-902C-DE12357552E6}">
      <text>
        <t>[Threaded comment]
Your version of Excel allows you to read this threaded comment; however, any edits to it will get removed if the file is opened in a newer version of Excel. Learn more: https://go.microsoft.com/fwlink/?linkid=870924
Comment:
    @Bram Wathen Hi Bram, sorry but my notes from yesterday's call are not clear on what delivery date NT is working towards for the SJC04 IFP.   I put 10/1 in as place holder but did they commit to something sooner?   Thanks for confirming.
Reply:
    Bram confirmed Stephen to delivery 10/2</t>
      </text>
    </comment>
    <comment ref="Q131" authorId="40" shapeId="0" xr:uid="{84B6D307-AD81-422E-8C73-69839CAEAC57}">
      <text>
        <t>[Threaded comment]
Your version of Excel allows you to read this threaded comment; however, any edits to it will get removed if the file is opened in a newer version of Excel. Learn more: https://go.microsoft.com/fwlink/?linkid=870924
Comment:
    DRB09 - IFC submission date TBD.  A/E target to have MS SME input by 6/6.  Probably earliest will be mid June.</t>
      </text>
    </comment>
    <comment ref="Q133" authorId="41" shapeId="0" xr:uid="{91053BBF-9C59-41F9-B23B-6DD67FD174C4}">
      <text>
        <t>[Threaded comment]
Your version of Excel allows you to read this threaded comment; however, any edits to it will get removed if the file is opened in a newer version of Excel. Learn more: https://go.microsoft.com/fwlink/?linkid=870924
Comment:
    IFC date for A/E was 5/1.  Bram has been in communication</t>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tc={0C18B90F-A42C-455B-B534-EA5C36C7752E}</author>
  </authors>
  <commentList>
    <comment ref="I23" authorId="0" shapeId="0" xr:uid="{0C18B90F-A42C-455B-B534-EA5C36C7752E}">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@Kristen Pearcy Do I typically put OpenPO for CL's work?
Reply:
    If the deliverable is being tracked against the open po then yes.  Did you add anything to the open po tab? 
Reply:
    @Katie Choate Let's cover this tomorrow and make sure column H gets filled in.</t>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tc={C21D20F5-560A-4034-BF04-3B8DE099D26E}</author>
    <author>tc={5BFA8B7C-1A46-49A7-9CCF-7B1B1BDB1EDA}</author>
    <author>Kristen Pearcy</author>
  </authors>
  <commentList>
    <comment ref="B1" authorId="0" shapeId="0" xr:uid="{C21D20F5-560A-4034-BF04-3B8DE099D26E}">
      <text>
        <t>[Threaded comment]
Your version of Excel allows you to read this threaded comment; however, any edits to it will get removed if the file is opened in a newer version of Excel. Learn more: https://go.microsoft.com/fwlink/?linkid=870924
Comment:
    Additional $25k Open PO initiated 10/8</t>
      </text>
    </comment>
    <comment ref="A6" authorId="1" shapeId="0" xr:uid="{5BFA8B7C-1A46-49A7-9CCF-7B1B1BDB1EDA}">
      <text>
        <t>[Threaded comment]
Your version of Excel allows you to read this threaded comment; however, any edits to it will get removed if the file is opened in a newer version of Excel. Learn more: https://go.microsoft.com/fwlink/?linkid=870924
Comment:
    @Kristen Pearcy I think this project name was entered wrong. It's IAD04 in the "Scope" and also IAD04 Design Revision on Jenna's list.</t>
      </text>
    </comment>
    <comment ref="G6" authorId="2" shapeId="0" xr:uid="{5F57AB2B-C66A-4FD4-851A-7E001B49E999}">
      <text>
        <r>
          <rPr>
            <sz val="11"/>
            <color theme="1"/>
            <rFont val="Calibri"/>
            <family val="2"/>
            <scheme val="minor"/>
          </rPr>
          <t>Kristen Pearcy:
estimate was originally $675</t>
        </r>
      </text>
    </comment>
    <comment ref="G7" authorId="2" shapeId="0" xr:uid="{E7BE7B60-334A-4FE0-931E-3DCB3512FDC8}">
      <text>
        <r>
          <rPr>
            <sz val="11"/>
            <color theme="1"/>
            <rFont val="Calibri"/>
            <family val="2"/>
            <scheme val="minor"/>
          </rPr>
          <t>Kristen Pearcy:
estimate was originally $675</t>
        </r>
      </text>
    </comment>
  </commentList>
</comments>
</file>

<file path=xl/sharedStrings.xml><?xml version="1.0" encoding="utf-8"?>
<sst xmlns="http://schemas.openxmlformats.org/spreadsheetml/2006/main" count="10243" uniqueCount="3196">
  <si>
    <t>Today's Notora Due Dates</t>
  </si>
  <si>
    <t>Today's S2A Due Dates</t>
  </si>
  <si>
    <t>Today's Date</t>
  </si>
  <si>
    <t>50% Design</t>
  </si>
  <si>
    <t>100% IFR</t>
  </si>
  <si>
    <t>IFP</t>
  </si>
  <si>
    <t>IFC</t>
  </si>
  <si>
    <t xml:space="preserve"> Notora Due Dates</t>
  </si>
  <si>
    <t>Todays Date</t>
  </si>
  <si>
    <t>S2A Due Dates</t>
  </si>
  <si>
    <t>Floor Plans</t>
  </si>
  <si>
    <t>Iss Record</t>
  </si>
  <si>
    <t xml:space="preserve"> </t>
  </si>
  <si>
    <t>Past Due:</t>
  </si>
  <si>
    <t>1D</t>
  </si>
  <si>
    <t>2D</t>
  </si>
  <si>
    <t>3D</t>
  </si>
  <si>
    <t>4D</t>
  </si>
  <si>
    <t>5D</t>
  </si>
  <si>
    <t>6D</t>
  </si>
  <si>
    <t>7D</t>
  </si>
  <si>
    <t>8D</t>
  </si>
  <si>
    <t>9D</t>
  </si>
  <si>
    <t>10D</t>
  </si>
  <si>
    <t>11D</t>
  </si>
  <si>
    <t>12D</t>
  </si>
  <si>
    <t xml:space="preserve">50% Design </t>
  </si>
  <si>
    <t>Address or Lat/Long</t>
  </si>
  <si>
    <t>Approved Floorplans</t>
  </si>
  <si>
    <t>Headend Location</t>
  </si>
  <si>
    <t>Parent or Child Site?</t>
  </si>
  <si>
    <t xml:space="preserve">Greenfield site? </t>
  </si>
  <si>
    <t>Project Specific Notes</t>
  </si>
  <si>
    <t>90/100% CAD Set</t>
  </si>
  <si>
    <t>Packaging Preferences</t>
  </si>
  <si>
    <t>CAD Titleblock with Client Logo Images (dwg &amp; jpgs)</t>
  </si>
  <si>
    <t>CAD Floor Plans of the building and The Site Plan or Survey (dwg files)</t>
  </si>
  <si>
    <t>Cover Sheet if/when available (dwg or pdf)</t>
  </si>
  <si>
    <t>Submission Date for Plans</t>
  </si>
  <si>
    <t>DAS Design Package in (pdf &amp; ibwave)</t>
  </si>
  <si>
    <t>PS Design Package in (pdf &amp; ibwave)</t>
  </si>
  <si>
    <t>ROIP Design Package (in pdf &amp; ibwave)</t>
  </si>
  <si>
    <t>DAS BOM – (Excel File)</t>
  </si>
  <si>
    <t>PS BOM – (Excel File)</t>
  </si>
  <si>
    <t>ROIP BOM – (Excel File)</t>
  </si>
  <si>
    <t>IFP CAD Set</t>
  </si>
  <si>
    <t>Updated Titleblock (dwg)</t>
  </si>
  <si>
    <t>Any redlines/instructions for changes</t>
  </si>
  <si>
    <t> </t>
  </si>
  <si>
    <t>IFC CAD Set</t>
  </si>
  <si>
    <t>NAME</t>
  </si>
  <si>
    <t>LOCATION</t>
  </si>
  <si>
    <t>A/E</t>
  </si>
  <si>
    <t>Phase 
(Design or CA)</t>
  </si>
  <si>
    <t>AE-PM Name</t>
  </si>
  <si>
    <t>AE-PM Contact</t>
  </si>
  <si>
    <t>S2 PM</t>
  </si>
  <si>
    <t>Project Status</t>
  </si>
  <si>
    <t xml:space="preserve">Floorplans Received </t>
  </si>
  <si>
    <t>Floor Plans Needed</t>
  </si>
  <si>
    <t>50% IFR - Notora</t>
  </si>
  <si>
    <t>50% IFR - 
AE</t>
  </si>
  <si>
    <t>100% IFR - Notora</t>
  </si>
  <si>
    <t>100% IFR - AE</t>
  </si>
  <si>
    <t>IFP - Notora</t>
  </si>
  <si>
    <t>IFP - AE</t>
  </si>
  <si>
    <t>Project Start</t>
  </si>
  <si>
    <t>Submittal</t>
  </si>
  <si>
    <t>Substantial Completion</t>
  </si>
  <si>
    <t>Issue For Record</t>
  </si>
  <si>
    <t>Completion</t>
  </si>
  <si>
    <t>Commissioning</t>
  </si>
  <si>
    <t>Action Item Needed</t>
  </si>
  <si>
    <t>Comments</t>
  </si>
  <si>
    <t>ATL06</t>
  </si>
  <si>
    <t xml:space="preserve">Atlanta </t>
  </si>
  <si>
    <t>Highland Associates</t>
  </si>
  <si>
    <t>Design</t>
  </si>
  <si>
    <t xml:space="preserve">Christopher Ritchie </t>
  </si>
  <si>
    <t>critchie@ha-ny.com</t>
  </si>
  <si>
    <t>A</t>
  </si>
  <si>
    <t>Supposed to be 4/7/2023</t>
  </si>
  <si>
    <t>Complete</t>
  </si>
  <si>
    <t>No Notora</t>
  </si>
  <si>
    <t>10/3/2023- Complete</t>
  </si>
  <si>
    <t>10/24/2023-Complete</t>
  </si>
  <si>
    <t>2/12/2024-complete</t>
  </si>
  <si>
    <t>Need to track down: Floor Plans,  AHJ (Authorities having jurisdiction contact), enforced code</t>
  </si>
  <si>
    <t xml:space="preserve">Location: East Point GA
Lat Long: 33*38'30"N, 84*30'59"W
FloorPlans to be updated Friday the 7th </t>
  </si>
  <si>
    <t>ATL07</t>
  </si>
  <si>
    <t>5/13/2024-complete</t>
  </si>
  <si>
    <t>AVC02</t>
  </si>
  <si>
    <t>3/25/2024-Complete</t>
  </si>
  <si>
    <t>4/29/2024-complete</t>
  </si>
  <si>
    <t>Need as-builts/testing for AVC01. Some weirdness w AVC01</t>
  </si>
  <si>
    <t xml:space="preserve">DAS and Public safety Proposal needed. </t>
  </si>
  <si>
    <t>AVC17</t>
  </si>
  <si>
    <t>SOUTH HILL, VA</t>
  </si>
  <si>
    <t>Hector Hernandez</t>
  </si>
  <si>
    <t>hhernandez@ha-ny.com</t>
  </si>
  <si>
    <t>Bram Wathen</t>
  </si>
  <si>
    <t>3/8/2023 - complete</t>
  </si>
  <si>
    <t>3/20/2023- complete</t>
  </si>
  <si>
    <t>4/17/2023 - complete</t>
  </si>
  <si>
    <t>4/24/2023 - complete</t>
  </si>
  <si>
    <t>6/2/2023 - complete</t>
  </si>
  <si>
    <t>6/5/2023 - complete</t>
  </si>
  <si>
    <t>8/3/2023-Complete</t>
  </si>
  <si>
    <t xml:space="preserve">Update the IFC Date </t>
  </si>
  <si>
    <t xml:space="preserve">3 Different Issues. Need to confrim if power supply for fiber optical master is required. Need ROIP specs, Site Heat map. </t>
  </si>
  <si>
    <t>AVC18</t>
  </si>
  <si>
    <t>3/15/2023 - complete</t>
  </si>
  <si>
    <t>3/20/2023 - complete</t>
  </si>
  <si>
    <t>Review Drawings prior to IFP</t>
  </si>
  <si>
    <t>AVC43</t>
  </si>
  <si>
    <t>Swanson Rink</t>
  </si>
  <si>
    <t>Ryan Sims</t>
  </si>
  <si>
    <t>RSims@swansonrink.com</t>
  </si>
  <si>
    <t>C</t>
  </si>
  <si>
    <t>11/21/2022 - Complete</t>
  </si>
  <si>
    <t>2x2 cabinet</t>
  </si>
  <si>
    <t>CCO07</t>
  </si>
  <si>
    <t>8/23/2023 - complete</t>
  </si>
  <si>
    <t>9/7/2023 - complete</t>
  </si>
  <si>
    <t>10/19/2023-Complete</t>
  </si>
  <si>
    <t>11/7/2023-Complete</t>
  </si>
  <si>
    <t>CHI05</t>
  </si>
  <si>
    <t>Chicago</t>
  </si>
  <si>
    <t>5/26/2023 - complete</t>
  </si>
  <si>
    <t>We need NT proposal</t>
  </si>
  <si>
    <t xml:space="preserve">CHI11 </t>
  </si>
  <si>
    <t>X</t>
  </si>
  <si>
    <t>3/11/2024-Complete</t>
  </si>
  <si>
    <t>CHI22</t>
  </si>
  <si>
    <t>1/11/2024-COMPLETE</t>
  </si>
  <si>
    <t>1/19/2024-complete</t>
  </si>
  <si>
    <t>IFP DRB17 Print</t>
  </si>
  <si>
    <t>CLT04</t>
  </si>
  <si>
    <t>North Carolina</t>
  </si>
  <si>
    <t>Olson</t>
  </si>
  <si>
    <t>David Barber</t>
  </si>
  <si>
    <t>dbarber@olsson.com</t>
  </si>
  <si>
    <t>2/16/2023 - complete</t>
  </si>
  <si>
    <t>4/12/2023  -complete</t>
  </si>
  <si>
    <t>4/26/2023 - complete</t>
  </si>
  <si>
    <t>2/20/2024-Complete</t>
  </si>
  <si>
    <t>2/21/2024-Complete</t>
  </si>
  <si>
    <t>Title block updates. Request sent to Stephen 5/11</t>
  </si>
  <si>
    <t>Get address and find cell towers</t>
  </si>
  <si>
    <t>CLT10</t>
  </si>
  <si>
    <t>Olsson</t>
  </si>
  <si>
    <t>Meg Plank</t>
  </si>
  <si>
    <t>mplank@olsson.com</t>
  </si>
  <si>
    <t>6/30/2023 - Complete</t>
  </si>
  <si>
    <t>7/06/2023 - Complete</t>
  </si>
  <si>
    <t>8/25/2023 - complete</t>
  </si>
  <si>
    <t>8/31/2023-Complete</t>
  </si>
  <si>
    <t>Site Plans &amp; Floor Plans</t>
  </si>
  <si>
    <t>Project Kick off June 1st.</t>
  </si>
  <si>
    <t>CLT11</t>
  </si>
  <si>
    <t>P</t>
  </si>
  <si>
    <t>CLT17</t>
  </si>
  <si>
    <t>11/16/2023-complete</t>
  </si>
  <si>
    <t>1/3/2024-Complete</t>
  </si>
  <si>
    <t>2/14/2024-Complete</t>
  </si>
  <si>
    <t>Not doing the CADs for this one</t>
  </si>
  <si>
    <t>CPQ03</t>
  </si>
  <si>
    <t>BRAZIL</t>
  </si>
  <si>
    <t>Deerns</t>
  </si>
  <si>
    <t>Gabriel Pereira</t>
  </si>
  <si>
    <t>gabriel.pereira@deerns.com</t>
  </si>
  <si>
    <t>CPQ07</t>
  </si>
  <si>
    <t>2/17/2023 - complete</t>
  </si>
  <si>
    <t>1/11/2023 - Complete</t>
  </si>
  <si>
    <t>Need updated IFR Date, if we're doing the CAD's</t>
  </si>
  <si>
    <t>1/25: emailed Kelwin asking for info</t>
  </si>
  <si>
    <t>CPQ08</t>
  </si>
  <si>
    <t>1/8/2024-Complete</t>
  </si>
  <si>
    <t>CPQ11</t>
  </si>
  <si>
    <t>CYS17</t>
  </si>
  <si>
    <t>Cheyanne</t>
  </si>
  <si>
    <t>Jacobs</t>
  </si>
  <si>
    <t>Kristin McCue</t>
  </si>
  <si>
    <t>Kristin.McCue@jacobs.com</t>
  </si>
  <si>
    <t>1/24/2023-complete</t>
  </si>
  <si>
    <t>complete</t>
  </si>
  <si>
    <t>IFP from WT</t>
  </si>
  <si>
    <t>2/6/2023: WT indicates a 2/13 delivery date. 2/6/2023: emailed WT requesting IFP update 1/24: recieved updated design fromWT, uploaded 1/20: recieved design from David. Emailed AE the drawing list and uploaded files to AE and S2 1/19: This is a 'WT' site, emailed Davide requesting design update 1/18: sent philip design pkg 4 email 1/13/23: emailed Kristen requesting update</t>
  </si>
  <si>
    <t>DFW20</t>
  </si>
  <si>
    <t>3/8/2024-complete</t>
  </si>
  <si>
    <t>DSM12</t>
  </si>
  <si>
    <t>DES MOINES</t>
  </si>
  <si>
    <t>Burns &amp; McDonnell</t>
  </si>
  <si>
    <t>Kylie Hornbeck</t>
  </si>
  <si>
    <t>khornbeck@burnsmcd.com</t>
  </si>
  <si>
    <t>Nick coordinating with AE</t>
  </si>
  <si>
    <t>DSM14</t>
  </si>
  <si>
    <t>DSM15</t>
  </si>
  <si>
    <t>Need Floorplans &amp; Schedule - Nick to follow up with AE</t>
  </si>
  <si>
    <t>DSM40</t>
  </si>
  <si>
    <t>5/8/2024-Complete</t>
  </si>
  <si>
    <t>DSM41</t>
  </si>
  <si>
    <t>EAT04</t>
  </si>
  <si>
    <t>WEANATCHEE, WA</t>
  </si>
  <si>
    <t>ESD</t>
  </si>
  <si>
    <t>Chad Mendell</t>
  </si>
  <si>
    <t>cmendell@esdglobal.com</t>
  </si>
  <si>
    <t>12/1/2022 - Complete</t>
  </si>
  <si>
    <t>1/12/2023 - Complete</t>
  </si>
  <si>
    <t>1/19/23-complete</t>
  </si>
  <si>
    <t>1/26/2023-complete</t>
  </si>
  <si>
    <t>5/31/2023-Complete</t>
  </si>
  <si>
    <t xml:space="preserve">2/6/23: IFC is TBD no update1/25: recieved updated design from Philip, uploaded to AE and S2 1/19: recieved updated design from Philip, uploaded to BIM and S2 1/19: uploaded specs, requested IFP design from Philip 1/18: sent IFP instructions to Notora </t>
  </si>
  <si>
    <t>EAT05</t>
  </si>
  <si>
    <t>Bid</t>
  </si>
  <si>
    <t>5/3/2023 - complete</t>
  </si>
  <si>
    <t>4/20/2023 - complete</t>
  </si>
  <si>
    <t>5/19/2023 - complete</t>
  </si>
  <si>
    <t>5/25/2023 - complete</t>
  </si>
  <si>
    <t>6/13/2023 - complete</t>
  </si>
  <si>
    <t>3/5/2024-Complete</t>
  </si>
  <si>
    <t>Notora Internal review return 5/1-5/2</t>
  </si>
  <si>
    <t xml:space="preserve">May </t>
  </si>
  <si>
    <t>EAT06</t>
  </si>
  <si>
    <t>8/9/2023--Complete</t>
  </si>
  <si>
    <t>8/1/2023-Complete</t>
  </si>
  <si>
    <t>9/26/2023-Complete</t>
  </si>
  <si>
    <t>EAT09</t>
  </si>
  <si>
    <t>8/16/2023?</t>
  </si>
  <si>
    <t>EAT12</t>
  </si>
  <si>
    <t>2/20/2023-complete</t>
  </si>
  <si>
    <t>2/23/2023-complete</t>
  </si>
  <si>
    <t>3/9/2023 - complete</t>
  </si>
  <si>
    <t>4/6/2023 - complete</t>
  </si>
  <si>
    <t>3/21/2024 Complete</t>
  </si>
  <si>
    <t>Change notes in the Public Safety. Cover the L1 containment unless AHJ approves alternate means and methods. Pull box detail</t>
  </si>
  <si>
    <t>2/15: in internal review 2/15: requested update from Notora 2/3/23: floor plan delivered to Notora 2/1: Harold got floorplans today; 1/18: Design is resuming with meeting 1/30</t>
  </si>
  <si>
    <t>EAT13</t>
  </si>
  <si>
    <t>6/14/2023 - complete</t>
  </si>
  <si>
    <t>6/15/2023 - complete</t>
  </si>
  <si>
    <t>7/18/2023-Complete</t>
  </si>
  <si>
    <t>7/20/2023-Complete</t>
  </si>
  <si>
    <t>8/2/2023-Complete</t>
  </si>
  <si>
    <t>4/9/2024-complete</t>
  </si>
  <si>
    <t>Starting the week of 5/8</t>
  </si>
  <si>
    <t>EAT14</t>
  </si>
  <si>
    <t>9/27/2023 - complete</t>
  </si>
  <si>
    <t>9/21/2023 - Complete</t>
  </si>
  <si>
    <t>10/27/2023-complete</t>
  </si>
  <si>
    <t>11/28/2023-Complete</t>
  </si>
  <si>
    <t>12/14/2023 - Complete</t>
  </si>
  <si>
    <t xml:space="preserve">Battery backups, near far, L1 containement? </t>
  </si>
  <si>
    <t>FTY01</t>
  </si>
  <si>
    <t>4/25/2024-Complete</t>
  </si>
  <si>
    <t>FTY02</t>
  </si>
  <si>
    <t>GEORGIA</t>
  </si>
  <si>
    <t>Morrison Hershfield</t>
  </si>
  <si>
    <t>Lee Percy</t>
  </si>
  <si>
    <t>LPercy@morrisonhershfield.com</t>
  </si>
  <si>
    <t>8/15/2023-Complete</t>
  </si>
  <si>
    <t>9/8/2023 - complete</t>
  </si>
  <si>
    <t>9/12/2023 - complete</t>
  </si>
  <si>
    <t>10/10/2023 - Complete</t>
  </si>
  <si>
    <t>10/12/2023- Complete</t>
  </si>
  <si>
    <t xml:space="preserve">Need to update the BOM to comba unit. </t>
  </si>
  <si>
    <t>FTY03</t>
  </si>
  <si>
    <t>5/9/2024-Complete</t>
  </si>
  <si>
    <t>IAD05</t>
  </si>
  <si>
    <t>TBD</t>
  </si>
  <si>
    <t>IAD12</t>
  </si>
  <si>
    <t>LEESBURG, VA</t>
  </si>
  <si>
    <t>Syska</t>
  </si>
  <si>
    <t>Liam Wall</t>
  </si>
  <si>
    <t>lwall@syska.com</t>
  </si>
  <si>
    <t>2/22/2023 - Complete</t>
  </si>
  <si>
    <t>3/29/2023 - Complete</t>
  </si>
  <si>
    <t>IAD13</t>
  </si>
  <si>
    <t>2/9/2023 - Complete</t>
  </si>
  <si>
    <t>3/24/2023 - Complete</t>
  </si>
  <si>
    <t>Riser Info - no IFR yet</t>
  </si>
  <si>
    <t>IAD14</t>
  </si>
  <si>
    <t>LVL06</t>
  </si>
  <si>
    <t>Drawing Review</t>
  </si>
  <si>
    <t>Fran Carlos</t>
  </si>
  <si>
    <t>fclaros@swansonrink.com</t>
  </si>
  <si>
    <t>3/17/2023 - complete</t>
  </si>
  <si>
    <t>3/21/2023 - complete</t>
  </si>
  <si>
    <t>4/26/2023: Need to adjust to keep equipement in cells 1-3. See email.</t>
  </si>
  <si>
    <t>Meet with Preston - make sure he updated prints with S2A changes</t>
  </si>
  <si>
    <t>LVL07</t>
  </si>
  <si>
    <t>8/21/2023-Complete</t>
  </si>
  <si>
    <t>9/29/2023--Complete</t>
  </si>
  <si>
    <t>2/19/2024-Complete</t>
  </si>
  <si>
    <t>LVL11</t>
  </si>
  <si>
    <t>BOYDTON, VA</t>
  </si>
  <si>
    <t>1/23/2023 - Complete</t>
  </si>
  <si>
    <t>2/20/2023 - Complete</t>
  </si>
  <si>
    <t>2/27/2023 - Complete</t>
  </si>
  <si>
    <t>2/1: Emailed James for desgin review &amp; emailed Preson for titleblock, etc</t>
  </si>
  <si>
    <t>LVL12</t>
  </si>
  <si>
    <t>12/21/2023-Complete</t>
  </si>
  <si>
    <t>2/5/2024-Complete</t>
  </si>
  <si>
    <t xml:space="preserve">Need to provision for off-air as a backup if needed. Need antenna structure to support it. </t>
  </si>
  <si>
    <t>LVL13-14</t>
  </si>
  <si>
    <t>3/28/2024-Complete</t>
  </si>
  <si>
    <t>Loop clark into dicusscion. We will go back to LVL08</t>
  </si>
  <si>
    <t>LYH03</t>
  </si>
  <si>
    <t>BID</t>
  </si>
  <si>
    <t>Need Floorplans &amp; Schedule</t>
  </si>
  <si>
    <t>LYH10</t>
  </si>
  <si>
    <t>11/29/2022 - Complete</t>
  </si>
  <si>
    <t>6/28/2023 - complete</t>
  </si>
  <si>
    <t>IFC Pushed to mid july--Will follow up later 04/28/2023</t>
  </si>
  <si>
    <t>4/18 Specs updated and sent to Paul Duffy for upload. Need to upload to BIM360</t>
  </si>
  <si>
    <t>MNZ01</t>
  </si>
  <si>
    <t>MANASSAS, VA</t>
  </si>
  <si>
    <t>Sysksa</t>
  </si>
  <si>
    <t>Christopher Lay</t>
  </si>
  <si>
    <t>clay@syska.com</t>
  </si>
  <si>
    <t>1/26: emailed Chris asking for info</t>
  </si>
  <si>
    <t>MNZ03</t>
  </si>
  <si>
    <t>3/3/2023 - Complete</t>
  </si>
  <si>
    <t>Mid June</t>
  </si>
  <si>
    <t>MNZ04</t>
  </si>
  <si>
    <t>4/23/2024-Complete</t>
  </si>
  <si>
    <t>MNZ05</t>
  </si>
  <si>
    <t>MWH08</t>
  </si>
  <si>
    <t>Quincy</t>
  </si>
  <si>
    <t>1/19/2024-Complete</t>
  </si>
  <si>
    <t>3/24/2024-complete</t>
  </si>
  <si>
    <t>PHX14</t>
  </si>
  <si>
    <t>PHX16</t>
  </si>
  <si>
    <t>PHOENIX, AZ</t>
  </si>
  <si>
    <t>PHX17</t>
  </si>
  <si>
    <t>PHX15</t>
  </si>
  <si>
    <t>Rough Date</t>
  </si>
  <si>
    <t>PHX61</t>
  </si>
  <si>
    <t>11/9/2023-Complete</t>
  </si>
  <si>
    <t>11/16/2023-Complete</t>
  </si>
  <si>
    <t>PHX71</t>
  </si>
  <si>
    <t>Blake Giles</t>
  </si>
  <si>
    <t>Blake.Giles@jacobs.com</t>
  </si>
  <si>
    <t>Repackaging Site</t>
  </si>
  <si>
    <t>PHX72</t>
  </si>
  <si>
    <t xml:space="preserve">QA Form, SPEC, Review A/E Sumittal </t>
  </si>
  <si>
    <t>IFP Pushed back to 5/23</t>
  </si>
  <si>
    <t>PHX73</t>
  </si>
  <si>
    <t>8/11/2023 - complete</t>
  </si>
  <si>
    <t>10/17/2023-Complete</t>
  </si>
  <si>
    <t>PHX74</t>
  </si>
  <si>
    <t>10/20/2023-Complete</t>
  </si>
  <si>
    <t>SPEC Needed</t>
  </si>
  <si>
    <t>PHX81</t>
  </si>
  <si>
    <t>11/10/2022 - Complete</t>
  </si>
  <si>
    <t>12/9/2022 - Complete</t>
  </si>
  <si>
    <t>1/25/2023-complete</t>
  </si>
  <si>
    <t>1/30/2023-complete</t>
  </si>
  <si>
    <t>Notora Needs IFC Date</t>
  </si>
  <si>
    <t xml:space="preserve">1/26: recieved package from WT, uploaded. 1/20: emailed David at WT requesting package 1/19: specs sent to PM </t>
  </si>
  <si>
    <t>PHX82</t>
  </si>
  <si>
    <t>4/18 Harold to Review Design. SPECS due June 1</t>
  </si>
  <si>
    <t>We need to review 50% set</t>
  </si>
  <si>
    <t>PHX83</t>
  </si>
  <si>
    <t>SAT14</t>
  </si>
  <si>
    <t>SAT15</t>
  </si>
  <si>
    <t>SAN ANTONIO, TX</t>
  </si>
  <si>
    <t>Page Southerland Page Inc.</t>
  </si>
  <si>
    <t>Lauren Alexander</t>
  </si>
  <si>
    <t>lalexander@pagethink.com</t>
  </si>
  <si>
    <t>12/14/2022 - Complete</t>
  </si>
  <si>
    <t>No NT</t>
  </si>
  <si>
    <t>IFC date determined after permitting</t>
  </si>
  <si>
    <t>SAT17</t>
  </si>
  <si>
    <t>3/27/2024-Complete</t>
  </si>
  <si>
    <t>SAT16</t>
  </si>
  <si>
    <t>10/26/2023 - complete</t>
  </si>
  <si>
    <t>11/29/2023-Complete</t>
  </si>
  <si>
    <t>1/9/2024-Complete</t>
  </si>
  <si>
    <t>2/15/2024-Complete</t>
  </si>
  <si>
    <t>SAT40</t>
  </si>
  <si>
    <t>11/30/2022 - Complete</t>
  </si>
  <si>
    <t>1/20/2023 - Complete</t>
  </si>
  <si>
    <t>2/15/2023 - Complete</t>
  </si>
  <si>
    <t>8/2/2023--Complete</t>
  </si>
  <si>
    <t>Notora Needs Updated IFP Titleblock</t>
  </si>
  <si>
    <t>SAT80/81</t>
  </si>
  <si>
    <t>Alan McClung</t>
  </si>
  <si>
    <t>amcclung@pagethink.com</t>
  </si>
  <si>
    <t>7/11/2023--Complete</t>
  </si>
  <si>
    <t>Notora Needs Floorplans &amp; IFC Dates</t>
  </si>
  <si>
    <t>SAT82</t>
  </si>
  <si>
    <t>10/31/2023 - complete</t>
  </si>
  <si>
    <t>12/4/2023-Complete</t>
  </si>
  <si>
    <t>1/16/2024-Complete</t>
  </si>
  <si>
    <t>2/6/2024-Complete</t>
  </si>
  <si>
    <t>SAT90</t>
  </si>
  <si>
    <t>SAT89</t>
  </si>
  <si>
    <t>10/25/2023 - complete</t>
  </si>
  <si>
    <t>11/15/2023-Complete</t>
  </si>
  <si>
    <t>Stephen To deliver</t>
  </si>
  <si>
    <t>1/4/2024-Complete</t>
  </si>
  <si>
    <t>SJC02</t>
  </si>
  <si>
    <t>SAN JOSE, CA</t>
  </si>
  <si>
    <t>9/14/2023 - complete</t>
  </si>
  <si>
    <t>Project is on hold while "they" are working through the IFP comments</t>
  </si>
  <si>
    <t>SJC04</t>
  </si>
  <si>
    <t>YQB01/02</t>
  </si>
  <si>
    <t>QUEBEC CITY</t>
  </si>
  <si>
    <t>7/11/2023-Complete</t>
  </si>
  <si>
    <t>8/7/2023 - Complete</t>
  </si>
  <si>
    <t>10/4/2023 - complete</t>
  </si>
  <si>
    <t>2/27/2024-complete</t>
  </si>
  <si>
    <t>YQB04</t>
  </si>
  <si>
    <t>3/3/2023 - complete</t>
  </si>
  <si>
    <t>3/16/2023- complete</t>
  </si>
  <si>
    <t>6/9/2023 - complete</t>
  </si>
  <si>
    <t>11/15/2023-complete</t>
  </si>
  <si>
    <t>YQB06</t>
  </si>
  <si>
    <t>5/1/2023 - complete</t>
  </si>
  <si>
    <t>6/22/2023--Complete</t>
  </si>
  <si>
    <t>6/27/2023--Complete</t>
  </si>
  <si>
    <t>9/25/2023 - Complete</t>
  </si>
  <si>
    <t>2/2/2024-Complete</t>
  </si>
  <si>
    <t xml:space="preserve">Site Plans email sent. </t>
  </si>
  <si>
    <t>YQB11</t>
  </si>
  <si>
    <t>5/8/2023 - complete</t>
  </si>
  <si>
    <t>5/12/2023 - complete</t>
  </si>
  <si>
    <t>7/1/2023 - complete</t>
  </si>
  <si>
    <t>7/25/2023--Complete</t>
  </si>
  <si>
    <t>12/12/2023-Complete</t>
  </si>
  <si>
    <t>4/9/2024-Complete</t>
  </si>
  <si>
    <t>YTO10</t>
  </si>
  <si>
    <t>Toronto</t>
  </si>
  <si>
    <t>Saeed Akbari</t>
  </si>
  <si>
    <t>SAkbari@morrisonhershfield.com</t>
  </si>
  <si>
    <t>YTO11</t>
  </si>
  <si>
    <t>9/26/2022 - Complete</t>
  </si>
  <si>
    <t>2/3/2023 - Complete</t>
  </si>
  <si>
    <t>8/8/2023 - Complete</t>
  </si>
  <si>
    <t>Need to update note &amp; Site plan</t>
  </si>
  <si>
    <t>Just the Drawings-Update Dates (7-10)</t>
  </si>
  <si>
    <t>We will not be submitting a 50% design (or 100% draft as they call it); once we get comments back from Microsoft on YTO40, then they will have us make the same changes to YTO11 and then we will submit YTO11</t>
  </si>
  <si>
    <t>YTO14</t>
  </si>
  <si>
    <t>8/26/2023- Complete</t>
  </si>
  <si>
    <t>tbd</t>
  </si>
  <si>
    <t xml:space="preserve">Set up meeting w Jim + Harold to discuss the Colo 5 Elec 3 Riser room for fiber. </t>
  </si>
  <si>
    <t>Guard house is the same as YTO11 &amp; YTO40. Talk to Mianna for updated plans. 100 % changed to October 16</t>
  </si>
  <si>
    <t>YTO40</t>
  </si>
  <si>
    <t>1/5/2023 - Complete</t>
  </si>
  <si>
    <t>2/14/2023 - Completed</t>
  </si>
  <si>
    <t>Need to update antenna note &amp; Site plan</t>
  </si>
  <si>
    <t>Need IFC Dates</t>
  </si>
  <si>
    <t>AE should receive comments back from Microsoft on 1/16 and then we will have 5 days to make changes and issue 100% design</t>
  </si>
  <si>
    <t>5/23/2024-complete</t>
  </si>
  <si>
    <t>5/24/2024-complete</t>
  </si>
  <si>
    <t>Work completed, assigned to another contractor</t>
  </si>
  <si>
    <t>AVC01-DRB13</t>
  </si>
  <si>
    <t>no</t>
  </si>
  <si>
    <t>1/3/2025-complete</t>
  </si>
  <si>
    <t>4/24/2025-Complete</t>
  </si>
  <si>
    <t>1/24/2025-complete</t>
  </si>
  <si>
    <t>1/28/2025-complete</t>
  </si>
  <si>
    <t>5/15/2024-complete</t>
  </si>
  <si>
    <t>No S2A - DayWireless</t>
  </si>
  <si>
    <t>Given to DWS. Highland associates</t>
  </si>
  <si>
    <t>AVC09-DRB10</t>
  </si>
  <si>
    <t>12/31/2024-Complete</t>
  </si>
  <si>
    <t>4/25/2025- Complete</t>
  </si>
  <si>
    <t>AVC11</t>
  </si>
  <si>
    <t>Paul Duffy (Bim Manager)</t>
  </si>
  <si>
    <t>pduffy@ha-ny.com</t>
  </si>
  <si>
    <t>6/26/24-complete</t>
  </si>
  <si>
    <t>7/16/2024-Complete</t>
  </si>
  <si>
    <t>8/21/2024-Complete</t>
  </si>
  <si>
    <t>9/10/2024-complete</t>
  </si>
  <si>
    <t>1/16/2025-completed</t>
  </si>
  <si>
    <t xml:space="preserve">Add note to drawings: Carrier coordination must occur at the beginning of the project. As soon as they are awarded contract. </t>
  </si>
  <si>
    <t>8/29: Bram emailed NT: next AVC11 Issuance (IFP) we will need to add a few items.  See email thread.</t>
  </si>
  <si>
    <t>2/24/2023 - complete</t>
  </si>
  <si>
    <t>AVC17/18-DRB</t>
  </si>
  <si>
    <t>11/25/2024-complete</t>
  </si>
  <si>
    <t>12/3/2024-complete</t>
  </si>
  <si>
    <t>4/17/2025-complete</t>
  </si>
  <si>
    <t>12/13/2024-complete</t>
  </si>
  <si>
    <t>12/18/2024-Complete</t>
  </si>
  <si>
    <t xml:space="preserve">5/6: Waiting on Commscope for ROM.    
 Proposal received from Andrews 4/30 
Waiting on OneCell BOM pricing - Wesco 
Note-need benchmark </t>
  </si>
  <si>
    <t>AVC19</t>
  </si>
  <si>
    <t>12/16/24-complete</t>
  </si>
  <si>
    <t>1/13/2025-complete</t>
  </si>
  <si>
    <t>1/22/2025-complete</t>
  </si>
  <si>
    <t>3/11/2025-cancelled</t>
  </si>
  <si>
    <t>3/12/2025-cancelled</t>
  </si>
  <si>
    <t>3/25/2024-cancelled</t>
  </si>
  <si>
    <t>AVC20</t>
  </si>
  <si>
    <t>2/26/25-complete</t>
  </si>
  <si>
    <t>3/10/2025-cancelled</t>
  </si>
  <si>
    <t>AVC21</t>
  </si>
  <si>
    <t>cancelled</t>
  </si>
  <si>
    <t>4/21/2025-cancelled</t>
  </si>
  <si>
    <t>4/24/2025-cancelled</t>
  </si>
  <si>
    <t>AVC43_DRB07</t>
  </si>
  <si>
    <t>12/31/2024-complete</t>
  </si>
  <si>
    <t>4/25/2025-Complete</t>
  </si>
  <si>
    <t>1/27/2025-complete</t>
  </si>
  <si>
    <t>BN_Campus</t>
  </si>
  <si>
    <t>BOYDTON,VA</t>
  </si>
  <si>
    <t>4/28/2025-complete</t>
  </si>
  <si>
    <t>4/4/2025-complete</t>
  </si>
  <si>
    <t xml:space="preserve">BW – schedule meeting for Thursday 5/7 
KP invoice after delivered. </t>
  </si>
  <si>
    <t>BN7-8Rev</t>
  </si>
  <si>
    <t>5/1/2025-complete</t>
  </si>
  <si>
    <t>CCO06DRB13</t>
  </si>
  <si>
    <t>5/1/2025-completed</t>
  </si>
  <si>
    <t>5/6/2025-Completed</t>
  </si>
  <si>
    <t>5/8/2025-complete</t>
  </si>
  <si>
    <t>PALMETTO, GA</t>
  </si>
  <si>
    <t>CCO07DCN07</t>
  </si>
  <si>
    <t>Steve.Baum@jacob.com</t>
  </si>
  <si>
    <t>5/23/2025-complete</t>
  </si>
  <si>
    <t>5/23/2025-Complete</t>
  </si>
  <si>
    <t>6/6/25-complete</t>
  </si>
  <si>
    <t>CCO08</t>
  </si>
  <si>
    <t>Michael Mcloone</t>
  </si>
  <si>
    <t>Michael.Mcloone@jacobs.com</t>
  </si>
  <si>
    <t>7/10/2024-Complete</t>
  </si>
  <si>
    <t>7/19/2024-Complete</t>
  </si>
  <si>
    <t>7/29/2024-Complete</t>
  </si>
  <si>
    <t>8/23/24-complete</t>
  </si>
  <si>
    <t>9/3/2024-Complete</t>
  </si>
  <si>
    <t>9/16/2024-complete</t>
  </si>
  <si>
    <t>9/18/2024-complete</t>
  </si>
  <si>
    <t xml:space="preserve">Launch(Admin&amp;Colo1) &amp; PKG3-6 Fitout. Separate packages </t>
  </si>
  <si>
    <t>8/8/24: NT requests 50%s by 8/13 in order to make the 8/22 date for 100%'s.
 8/6/24 HS – agree on a standard PSDAS approach – 4 or 3 antennas per COLO, 1 or 2 FBDAs per DC - no opinion from S2A side other than we want a uniform approach across all our projects.  Verify Centerline calculated, not guessed at, the potential of near far.   One option to calculate:
Steps to Calculate
Determine the Power Levels: Measure the power levels of the signals from both the near and far transmitters (radios).
Calculate Path Loss: Use the path loss formula to determine how much the signal strength decreases over distance. The path loss ( L ) can be calculated using: L=10⋅n⋅log10​(d)+C where ( n ) is the path loss exponent, ( d ) is the distance, and ( C ) is a constant.
Evaluate Interference: Assess the interference caused by the stronger signal on the weaker one. This can be done using the Signal-to-Interference Ratio (SIR):     SIR= ​Pfar​​/ Pnear , where ( P_{\text{far}} ) is the power of the far signal and ( P_{\text{near}} ) is the power of the near signal.</t>
  </si>
  <si>
    <t>CCO08DCN</t>
  </si>
  <si>
    <t>5/12/2025-complete</t>
  </si>
  <si>
    <t>7/17/25-complete</t>
  </si>
  <si>
    <t>8/5/2025-complete</t>
  </si>
  <si>
    <t>7/28: IFP due date changed to 8/5 per email from BW. 7/21: Draft IFP delivered to A/E, final due 8/11.</t>
  </si>
  <si>
    <t>4/2/2024-complete</t>
  </si>
  <si>
    <t>1/31/2023 - complete</t>
  </si>
  <si>
    <t>CLT05</t>
  </si>
  <si>
    <t>1/8/25-complete</t>
  </si>
  <si>
    <t>1/17/2025-completed</t>
  </si>
  <si>
    <t>1/21/2025-Complete</t>
  </si>
  <si>
    <t>2/10/2025-complete</t>
  </si>
  <si>
    <t>2/13/2025-Complete</t>
  </si>
  <si>
    <t>9/17/24: Unclear if S2A got contract or not.</t>
  </si>
  <si>
    <t>1/23/25-complete</t>
  </si>
  <si>
    <t>2/3/2025-complete</t>
  </si>
  <si>
    <t>2/4/2025-Complete</t>
  </si>
  <si>
    <t>3/14/2025-cancelled</t>
  </si>
  <si>
    <t>3/18/2025-cancelled</t>
  </si>
  <si>
    <t>4/8/2025-cancelled</t>
  </si>
  <si>
    <t>11/10/2023 - complete</t>
  </si>
  <si>
    <t>12/20/2023 - complete</t>
  </si>
  <si>
    <t>CLT18</t>
  </si>
  <si>
    <t>2/17/25-completed</t>
  </si>
  <si>
    <t>2/25/2025-completed</t>
  </si>
  <si>
    <t>2/27/2025-complete</t>
  </si>
  <si>
    <t>4/11/2025-cancelled</t>
  </si>
  <si>
    <t>4/15/2025-cancelled</t>
  </si>
  <si>
    <t>5/6/2025-cancelled</t>
  </si>
  <si>
    <t>10/16/2023-complete</t>
  </si>
  <si>
    <t>CPQ04</t>
  </si>
  <si>
    <t>9/13/2024-complete</t>
  </si>
  <si>
    <t>9/19/24-complete</t>
  </si>
  <si>
    <t>9/24/2024-complete</t>
  </si>
  <si>
    <t>10/7/2024-complete</t>
  </si>
  <si>
    <t>10/14/2024-complete</t>
  </si>
  <si>
    <t xml:space="preserve">8/29/24: added to list.  project coming up.  </t>
  </si>
  <si>
    <t>CYS13</t>
  </si>
  <si>
    <t>9/10/2024-completed</t>
  </si>
  <si>
    <t>7/29/24: Bram follow up with Kristin McCue for details/confirmed schedule</t>
  </si>
  <si>
    <t>7/17/24: CYS13 Record Drawings (Admin and COLOs 1 through 5) to close out the project. The latest federated model is available in Navisworks and all disciplines should have final approved redlines (with the exception of Mechanical, where we are tracking down some last info). Please begin working on Record Drawings with the idea to submit as early as possible in August (date TBC once we receive final Mech info). The client has asked us to submit these as soon as possible, so we’re being asked to advance what we can.</t>
  </si>
  <si>
    <t>7/11/2025-complete</t>
  </si>
  <si>
    <t>6/10/25: Redlines expected end of June(?)</t>
  </si>
  <si>
    <t>Irving, TX</t>
  </si>
  <si>
    <t>9/4/2024-Complete</t>
  </si>
  <si>
    <t>DSM44</t>
  </si>
  <si>
    <t>Andrew Kalaani</t>
  </si>
  <si>
    <t xml:space="preserve">akalaani@burnsmcd.com </t>
  </si>
  <si>
    <t>N/A</t>
  </si>
  <si>
    <t>9/18/2024-Complete</t>
  </si>
  <si>
    <t>10/7/2024-Complete</t>
  </si>
  <si>
    <t>8/5/24: HS – we will want to look at the campus layout as part of the evaluation.</t>
  </si>
  <si>
    <t>No Notora.  S2A engaged to review designs.</t>
  </si>
  <si>
    <t>WENATCHEE, WA</t>
  </si>
  <si>
    <t>8/16/2023 - complete</t>
  </si>
  <si>
    <t>EAT06-09Revision</t>
  </si>
  <si>
    <t>Stantec</t>
  </si>
  <si>
    <t>Michael Clements</t>
  </si>
  <si>
    <t>Michael.Clements@stantec.com</t>
  </si>
  <si>
    <t>YES</t>
  </si>
  <si>
    <t>8/29/2025?</t>
  </si>
  <si>
    <t>EAT12Revision</t>
  </si>
  <si>
    <t xml:space="preserve">Per Call 5/6: Survey scheduled for Friday. Waiting on DW benchmark; waiting on Stantec approval.  Covered by CA. </t>
  </si>
  <si>
    <t>Douglassville, GA</t>
  </si>
  <si>
    <t>8/22/2023 - complete</t>
  </si>
  <si>
    <t>Atlanta, GA</t>
  </si>
  <si>
    <t>6/6/2024-Complete</t>
  </si>
  <si>
    <t>7/1/2024-Complete</t>
  </si>
  <si>
    <t>FTY04</t>
  </si>
  <si>
    <t>7/22/24-complete</t>
  </si>
  <si>
    <t>8/5/2024-complete</t>
  </si>
  <si>
    <t>8/28/2024-Complete</t>
  </si>
  <si>
    <t>9/5/2024-Complete</t>
  </si>
  <si>
    <t>9/27/2024-Complete</t>
  </si>
  <si>
    <t>8/5/24: HS – LINX has installed a ONECELL – we need to make sure that the FTY04 design captures fiber requirements.</t>
  </si>
  <si>
    <t>8/23: NT target delivery 8/26.</t>
  </si>
  <si>
    <t>IAD04DRB</t>
  </si>
  <si>
    <t>6/27/2025-complete</t>
  </si>
  <si>
    <t xml:space="preserve">No Notora </t>
  </si>
  <si>
    <t>5/20/2024-complete</t>
  </si>
  <si>
    <t>Bram requesting CAD contact @ sysksa</t>
  </si>
  <si>
    <t>IAD11</t>
  </si>
  <si>
    <t>7/8/2025-complete</t>
  </si>
  <si>
    <t>10/18/2024-completed</t>
  </si>
  <si>
    <t>Bram to do AS Builds</t>
  </si>
  <si>
    <t>4/26/2023-complete</t>
  </si>
  <si>
    <t>5/30/2023-complete</t>
  </si>
  <si>
    <t>IAD11DRB-DCN08</t>
  </si>
  <si>
    <t>7/2/2025-complete</t>
  </si>
  <si>
    <t>7/14/2025-complete</t>
  </si>
  <si>
    <t>7/18/2025-complete</t>
  </si>
  <si>
    <t>IAD12-13Descope</t>
  </si>
  <si>
    <t>5/7/2025-complete</t>
  </si>
  <si>
    <t>5/23/25-complete</t>
  </si>
  <si>
    <t>IAD12-13-DCN06</t>
  </si>
  <si>
    <t>5/4/2023-complete</t>
  </si>
  <si>
    <t>LVL01-07-DRB</t>
  </si>
  <si>
    <t>LVL05</t>
  </si>
  <si>
    <t>5/14/2025-complete</t>
  </si>
  <si>
    <t>3/2/2023 - complete</t>
  </si>
  <si>
    <t>4/25/2023 - complete</t>
  </si>
  <si>
    <t>1/5/2023 - complete</t>
  </si>
  <si>
    <t>1/5/2023 -  complete</t>
  </si>
  <si>
    <t>LVL06_EXT</t>
  </si>
  <si>
    <t>4/25/2025-complte</t>
  </si>
  <si>
    <t>7/28/2025-complete</t>
  </si>
  <si>
    <t>LVL07DRB03</t>
  </si>
  <si>
    <t>LVL08-14-DRB</t>
  </si>
  <si>
    <t>7/28/25?</t>
  </si>
  <si>
    <t>LVL09_RecordSets</t>
  </si>
  <si>
    <t>drawing list due 7/15.</t>
  </si>
  <si>
    <t>3/22/2023-complete</t>
  </si>
  <si>
    <t>5/15/2023-complete</t>
  </si>
  <si>
    <t>2/23/2024-complete</t>
  </si>
  <si>
    <t>6/28/2024-Complete</t>
  </si>
  <si>
    <t>LVL11Rev</t>
  </si>
  <si>
    <t>4/16/2025-Complete</t>
  </si>
  <si>
    <t>LVL12DRB01</t>
  </si>
  <si>
    <t>4/15/2025 - Complete</t>
  </si>
  <si>
    <t>2/14/2025-complete</t>
  </si>
  <si>
    <t>5/6/2025-complete</t>
  </si>
  <si>
    <t>4/15/2024-Complete</t>
  </si>
  <si>
    <t>5/14/2024-complete</t>
  </si>
  <si>
    <t>6/5/2024-Complete</t>
  </si>
  <si>
    <t>9/09/2024-Complete</t>
  </si>
  <si>
    <t>12/19/24: per email, 13 &amp; 14 construction are cancelled and 12 will be a stand alone data center.</t>
  </si>
  <si>
    <t>7/29/24: S2A not awarded bid.  See email from HS.</t>
  </si>
  <si>
    <t>3/16/2023-complete</t>
  </si>
  <si>
    <t>10/31/2024-Complete</t>
  </si>
  <si>
    <t>LYH10_DRB</t>
  </si>
  <si>
    <t>mid june-Complete</t>
  </si>
  <si>
    <t>MNZ03DRB</t>
  </si>
  <si>
    <t>6/18/2024-Complete</t>
  </si>
  <si>
    <t>7/15/2024-complete</t>
  </si>
  <si>
    <t>7/16/2024-complete</t>
  </si>
  <si>
    <t>5/30/2024-complete</t>
  </si>
  <si>
    <t>7/11/2024-Complete</t>
  </si>
  <si>
    <t>Quincy, WA</t>
  </si>
  <si>
    <t>PHX12</t>
  </si>
  <si>
    <t>?</t>
  </si>
  <si>
    <t>6/19/2024-Complete</t>
  </si>
  <si>
    <t>7/25/2024-complete</t>
  </si>
  <si>
    <t>7/26/2024-complete</t>
  </si>
  <si>
    <t>8/23/2024-complete</t>
  </si>
  <si>
    <t>3/31/2025-completed</t>
  </si>
  <si>
    <t>Andrea Frazier-Sanchez</t>
  </si>
  <si>
    <t>Andrea.FrazierSanchez@jacobs.com</t>
  </si>
  <si>
    <t>6/12/2023 - complete</t>
  </si>
  <si>
    <t>6/13/2024-complete</t>
  </si>
  <si>
    <t>PHX72DRB08</t>
  </si>
  <si>
    <t>5/5/2025 - Complete</t>
  </si>
  <si>
    <t>5/2/2025-complete</t>
  </si>
  <si>
    <t>6/9/2025-complete</t>
  </si>
  <si>
    <t>PHX82DRB11</t>
  </si>
  <si>
    <t>PHX72-Rescope</t>
  </si>
  <si>
    <t>PHX82-Rescope</t>
  </si>
  <si>
    <t>8/24/2023 - complete</t>
  </si>
  <si>
    <t>9/21/2023 - complete</t>
  </si>
  <si>
    <t>10/26/2024-Jacobs-complete</t>
  </si>
  <si>
    <t>12/8/2023-complete</t>
  </si>
  <si>
    <t>1/10/2024-complete</t>
  </si>
  <si>
    <t>12/2/2024 - Jacobs did CADS - complete</t>
  </si>
  <si>
    <t>4/27/2023 - complete</t>
  </si>
  <si>
    <t>6/6/2023 - complete</t>
  </si>
  <si>
    <t>6/29/2023 - complete</t>
  </si>
  <si>
    <t>8/26/2024-Complete</t>
  </si>
  <si>
    <t xml:space="preserve">Jacobs to Deliver. QA/QC done already. </t>
  </si>
  <si>
    <t>QRO01</t>
  </si>
  <si>
    <t>MEXICO CITY, MX</t>
  </si>
  <si>
    <t>Design Phase 2</t>
  </si>
  <si>
    <t>Charlie Ussery?</t>
  </si>
  <si>
    <t>H</t>
  </si>
  <si>
    <t>8/21/24-completed</t>
  </si>
  <si>
    <t>8/20/2024-Complete</t>
  </si>
  <si>
    <t>8/22/2024-Complete</t>
  </si>
  <si>
    <t>9/15/2024-Complete</t>
  </si>
  <si>
    <t>9/19/2024-Complete</t>
  </si>
  <si>
    <t>9/30/2024-Complete</t>
  </si>
  <si>
    <t>10/8/2024-completed</t>
  </si>
  <si>
    <t>4/18/2025-cancelled</t>
  </si>
  <si>
    <t>7/29/24: Harold reaching out to Alma regarding meeting/schedule.</t>
  </si>
  <si>
    <t>QRO02</t>
  </si>
  <si>
    <t>Queretaro, MX</t>
  </si>
  <si>
    <t>8/29/24-completed</t>
  </si>
  <si>
    <t>9/19/2024-complete</t>
  </si>
  <si>
    <t>10/3/2024-Complete</t>
  </si>
  <si>
    <t>10/11/2024-Complete</t>
  </si>
  <si>
    <t>10/25/2024-Complete</t>
  </si>
  <si>
    <t>10/30/2024-Complete</t>
  </si>
  <si>
    <t>5/2/2025-cancelled</t>
  </si>
  <si>
    <t>Deliver to A.E on 10/09.</t>
  </si>
  <si>
    <t>QRO06</t>
  </si>
  <si>
    <t>9/23/24-complete</t>
  </si>
  <si>
    <t>10/2/2024-complete</t>
  </si>
  <si>
    <t>10/4/2024-Complete</t>
  </si>
  <si>
    <t>10/16/2024-complete</t>
  </si>
  <si>
    <t>10/16/2024-Complete</t>
  </si>
  <si>
    <t>11/5/2024-Complete</t>
  </si>
  <si>
    <t>11/12/2024-Complete</t>
  </si>
  <si>
    <t>7/22/2025-complete</t>
  </si>
  <si>
    <t>5/16/2024-complete</t>
  </si>
  <si>
    <t>8/14/24: submittals pertaining to the Red Line Drawings.  These must be submitted as one complete and final package</t>
  </si>
  <si>
    <t>Phase 2 - TBD?</t>
  </si>
  <si>
    <t>9/12/2024-complete</t>
  </si>
  <si>
    <t>SAT40Rev</t>
  </si>
  <si>
    <t>4/11/2025-Complete</t>
  </si>
  <si>
    <t>1/9/2025-complete</t>
  </si>
  <si>
    <t xml:space="preserve">Follow up with A.E on whether we want to add in VHF or not. </t>
  </si>
  <si>
    <t>4/7/2025-completed</t>
  </si>
  <si>
    <t>2/28/2025-complete</t>
  </si>
  <si>
    <t xml:space="preserve">A/E Schedule:  over the shoulder 8/12 - IFP Rev 4 8/26. </t>
  </si>
  <si>
    <t>7/18/2024-complete</t>
  </si>
  <si>
    <t>9/10/2024-Complete</t>
  </si>
  <si>
    <t>9/12/2024-Complete</t>
  </si>
  <si>
    <t>10/2/2024-Complete</t>
  </si>
  <si>
    <t xml:space="preserve">8/8/24:  Need to revisit PS design for the seismic area underneath building.  Bram to provide floor plans to NT. </t>
  </si>
  <si>
    <t>9/29/2023-complete</t>
  </si>
  <si>
    <t>YQB01/02DRB11</t>
  </si>
  <si>
    <t>4/30/2025-complete</t>
  </si>
  <si>
    <t>5/22/2025-Complete</t>
  </si>
  <si>
    <t xml:space="preserve">
Follow up: after IFC – contact contractor to have updated ibWave sent via RFI.</t>
  </si>
  <si>
    <t>YQB04DRB13</t>
  </si>
  <si>
    <t>5/5/2025-complete</t>
  </si>
  <si>
    <t>5/9/2025-Complete</t>
  </si>
  <si>
    <t>5/21/2025-complete</t>
  </si>
  <si>
    <t>YQB06DRB14</t>
  </si>
  <si>
    <t>5/9/2025-Complte</t>
  </si>
  <si>
    <t>5/28/2025-complete</t>
  </si>
  <si>
    <t>ibWave updates to be delivered in IFC package.</t>
  </si>
  <si>
    <t>YTO11Rev</t>
  </si>
  <si>
    <t>Design_Revision</t>
  </si>
  <si>
    <t>9/16/2024-Complete</t>
  </si>
  <si>
    <t xml:space="preserve">Project Cancelled. </t>
  </si>
  <si>
    <t>5/7/2025-Complete</t>
  </si>
  <si>
    <t>YTO40Rev</t>
  </si>
  <si>
    <t>Site</t>
  </si>
  <si>
    <t>Status</t>
  </si>
  <si>
    <t>S2 Advisors</t>
  </si>
  <si>
    <t>Date</t>
  </si>
  <si>
    <t>Test Data Received/Location</t>
  </si>
  <si>
    <t>Confirmed/Not Confirmed</t>
  </si>
  <si>
    <t>Notes</t>
  </si>
  <si>
    <t>Bram</t>
  </si>
  <si>
    <t>Confirmed</t>
  </si>
  <si>
    <t>CC006</t>
  </si>
  <si>
    <t>Harold</t>
  </si>
  <si>
    <t>Late April</t>
  </si>
  <si>
    <t>After March 20th</t>
  </si>
  <si>
    <t>Not Confirmed</t>
  </si>
  <si>
    <t>4/13: Katie asked Harold for specific dates 
3/17: See the upcoming timeline for CHI05 DAS Commissioning:
- March 10th &amp; 11th – Day Wireless will be onsite to repair the current DAS antenna run and fix any open issues with the systems functionality
- March 12th &amp; 13th – Day Wireless will be onsite to complete the commissioning of COLO 2-5 DAS system
- March 20th – Walsh plans to have all DAS testing and documentation sent into the AE for review and approval
 CHI05 is turned over and actively operating under MSFT Ops. Following the submission of test reports, your team can review and you are more than welcome to come to site for a final walk (most likely week of March 30th, from our discussion).3/6: Walsh DAS contractor says DAS repairs are happening on the 10th, then CX-ing a couple days after. They expect to get test data to S2A by the 20th.  
2/18: We have not heard anything further from the CHI05 Contractor beyond the attached.  We understand S2A’s recommendation to hold off on DAS/PS/RoIP Record Drawings at this time.
1/16: AK said there is a Verizon issue. HS asked for submittals and a site visit.
1/5: Waiting to hear back from Andrew Kreb. Back in office today. CHI05 campus turned over on 12/16</t>
  </si>
  <si>
    <t>Completed</t>
  </si>
  <si>
    <r>
      <t xml:space="preserve">Same visit: CHI05, YTO11 - 8am (7:30am safety meeting) </t>
    </r>
    <r>
      <rPr>
        <i/>
        <sz val="11"/>
        <color rgb="FF000000"/>
        <rFont val="Calibri"/>
        <scheme val="minor"/>
      </rPr>
      <t>if possible, the preference is to have you take the site safety training which happens at 7:30AM, this will allow you permanent site access and also allow you access to YTO40 in the future, site safety training is approximately 1 hour long. fill out the QR code per the second email when convenient.</t>
    </r>
  </si>
  <si>
    <t>Meet at the site at 8am</t>
  </si>
  <si>
    <t>Same visit: IAD05, MNZ03, AVC43</t>
  </si>
  <si>
    <t>12/15-12/19</t>
  </si>
  <si>
    <t>On Hold</t>
  </si>
  <si>
    <t>Week of March 2-6?</t>
  </si>
  <si>
    <t>2/18: I don’t believe we have been awarded the EAT04 install yet, so this hasn’t been schedule. I’ve forwarded your email on to our account manage who will have better visibility into current status.1/5: No RFIs or submittals. Site not ready, BW to chat with Michael about EAT04 and 12.</t>
  </si>
  <si>
    <t>2/20: PSDAS Cx in progress - ETA finish: 3/2-3/6
Cell DAS Cx in progress - ETA finish: 3/2-3/6
2/18: Katie reached out to Grant Potter about status of the passive layer testing. 
punch walk COLO 3 and COLO 4 during the EAT12 punch walk</t>
  </si>
  <si>
    <t>Not Needed</t>
  </si>
  <si>
    <t>Early January</t>
  </si>
  <si>
    <t>1/5: Katie reached out to David L. and Jerry B.</t>
  </si>
  <si>
    <t>2/18: MSFT has not approved the CO.
1/5: Katie reached out to Kevin Shirley "Still waiting for MSFT to provide our dedicated fiber circuit for  ISP connection" Kevin will update S2A when ready.</t>
  </si>
  <si>
    <t>CHI11</t>
  </si>
  <si>
    <t>3/2, CHI11_Test Data (SP folder)</t>
  </si>
  <si>
    <t>4/13: Katie asked Harold for specific dates
3/17: Ron Swiercz sent full closeout package
3/3: Bram to review test data
2/26: Katie met with DAS contractor. He is sending the test data reports from the subcontractor to S2A. 
2/11: Katie sent an email to Sultan Katrangi asking for update. 
Issues with the functionality of the DAS/Public safety systems at CHI10 which are preventing completion of CHI11 systems.</t>
  </si>
  <si>
    <t>Mid-January</t>
  </si>
  <si>
    <t>1/13: HS response to Steve: Until DAS scopes are fully installed and tested, a site visit would be premature.  At this time we are not going to schedule a visit
1/5: Katie reached out to Steve Baum. "The last word I had from S2 Advisors (possibly from Bram) was that no on site view was practical until the system was operational.  If we need to have someone on site for a punch walk, we are planning on being on site the week of Jan 19 with Electrical/Mechanical being the first two days, Architectural, Security and LSS the last two days.   Either group has room for S2 to join."</t>
  </si>
  <si>
    <t>YTO11/YTO40</t>
  </si>
  <si>
    <t xml:space="preserve">July 23rd
YTO11:
Time:   8:30AM –
Location project trailers
YTO40:
Time:   12:30PM –
Location project trailers
 </t>
  </si>
  <si>
    <t>7/8: Harold will go to YTO11 first and then YTO40 
6/26: Harold to complete DCAT form
6/16: Bell has completed installation and is ready for a site visit. Folders will be populated with test data at the end of the week. 
6/10: Bell is currently on site and has not completed their scope as of today.  ED will confirm with Bell and send us a heads up of when the work will be complete and ready for a site review, could be late June – stay tuned.
4/27: Expected site ready for a visit in early June. In anticipation of your eventual site visit to close out the Bell scope of work please see attached and fill out so we can get you security access into the turned over space. You can see my information filled out as a template, let me know if you have any questions or concerns, thanks.1/19: I’ve been told that the carrier (bell) has not proceeded with any work, and that they have not given any timeline on commencement.
1/5: Peter asked, "is the Bell Installation complete and should S2A be preparing to come out soon"</t>
  </si>
  <si>
    <t>Rescheduled</t>
  </si>
  <si>
    <t>March 23rd, 2026</t>
  </si>
  <si>
    <t>3/3: Brian Gailfus sent pre-site visit instructions
2/18: Katie reached out to Sebastian Arias for DAS test and commissioning data. 
1/26: Said this will most likely occur in March during leads meeting. 
1/26: HP has pushed PHX82 punch to mid-February.  More to come. I still haven’t heard if DAS testing will be complete.  Let’s discuss in the leads meeting next Monday.
1/23: Waiting for Brian Gailfus to confirm second week of February. 
1/12: Brian Gailfus: HP is asking to finish up PHX81 punch walks for Telecom, DAS/RoIP and Security.</t>
  </si>
  <si>
    <t>TBD (as of 3/17)</t>
  </si>
  <si>
    <t>2/20: Jesse B. said: PHX82 is still under construction at this time.  Aiming to have Admin/COLO1/COLO2 install finished by mid to late March.
2/18: Visit the same time as PHX81?
1/26: Said this will most likely occur in March during leads meeting. 
1/26: HP has pushed PHX82 punch to mid-February.  More to come. I still haven’t heard if DAS testing will be complete.  Let’s discuss in the leads meeting next Monday.
1/23: Waiting for Brian Gailfus to confirm second week of February. 
1/12: Brian Gailfus said in the PHX81/82 leads meeting PHX82 would be ready for a site visit in early Feb</t>
  </si>
  <si>
    <t>March 25th, 2026 (can reschedule to March 24th)</t>
  </si>
  <si>
    <t>Receiving test data 3/17</t>
  </si>
  <si>
    <t>3/6: Commissioning and the testing is supposed to be completed by March 16th. If so, that should be enough time to submit and review the needed information.  Since zBeta schedules are as full as the rest of us, I recommend that we keep the March 25th date
2/20: Do not yet have test data. Ideally same trip at PHX81 and PHX82</t>
  </si>
  <si>
    <t xml:space="preserve">ProCore Portal </t>
  </si>
  <si>
    <t>6/10: Jesse replied: we have been on hold due to the VHF donor cable pathway out of the building, its not ready.
6/10: Katie followed up with Jesse B for test reports 
4/27: the last time you all had representation on site for an Inspection was on 4/4/25 and at that time, SAT80 Admin &amp; Colo1 were looked at.  We have turned over to MS Colo2 and will be turning over Colo3 today. If you all need to get into the “Turned Over” areas then you all need to submit the names of the folks who will be going in the building under a DCAT, an MSOW may need to be submitted as well. Whoever goes in will also need to go through a MS Security Orientation.
4/23: E2 sent test data for SAT80/81
4/22: Katie reached out for GC contract
3/4: S2A needs to hold on a site visit until Mid to late April – that’s when E2Opitics will have completed the PSDAS.</t>
  </si>
  <si>
    <t>3/30-4/13</t>
  </si>
  <si>
    <t>3/2, SAT15_Test Data (SP folder)</t>
  </si>
  <si>
    <t>4/8: No longer needed. BW said we can sign off with accurate test results. 
3/7: I can probably include COLO 4 as well in this walk, but early April is what we need to shoot for COLO 3.
3/4: Asking for next week</t>
  </si>
  <si>
    <t>3/17: Asking for 3/23</t>
  </si>
  <si>
    <t>Last week of May</t>
  </si>
  <si>
    <t>Requested</t>
  </si>
  <si>
    <t>4/27: Rene Palencia said: I just spoke with our superintendent and we are aiming to be ready for a walk the last week of May.
4/22: Katie reached out to Rene for DAS/ROIP test data report progress</t>
  </si>
  <si>
    <t>LYH10 / AVC43 / AVC01 / AVC09</t>
  </si>
  <si>
    <t>Open</t>
  </si>
  <si>
    <t>BIR to use change order to look at public safety</t>
  </si>
  <si>
    <t>9/8: Katie reached out to KS for update. 
6/16: Katie reached out to Kevin Shirley for ISP update</t>
  </si>
  <si>
    <t>July 7th</t>
  </si>
  <si>
    <t>6/22: Test report submittals complete</t>
  </si>
  <si>
    <t>August 10th</t>
  </si>
  <si>
    <t>7/6: Vincent will also be there if technical questions arise.</t>
  </si>
  <si>
    <t>7/30: Check if Cx-ing is done</t>
  </si>
  <si>
    <t>CCO06</t>
  </si>
  <si>
    <t>Week of (or after) Sept 21</t>
  </si>
  <si>
    <t>8/26: Currently cx is tracking for completion by 9/14. If these dates change. AHJ would would follow the next week 9/21.
7/14: Installation and Cx-ing should be done 17-21 Aug</t>
  </si>
  <si>
    <t>7/30: Go to again? COLO turn-ups?</t>
  </si>
  <si>
    <t>IAD12-13</t>
  </si>
  <si>
    <t>7/30: Check on status</t>
  </si>
  <si>
    <t>9/8: Emailed Jesse Brierly for PSDAS update</t>
  </si>
  <si>
    <t>End of Sept</t>
  </si>
  <si>
    <t>Monday</t>
  </si>
  <si>
    <t>Tuesday</t>
  </si>
  <si>
    <t>Wednesday</t>
  </si>
  <si>
    <t>Thursday</t>
  </si>
  <si>
    <t>Friday</t>
  </si>
  <si>
    <t>HS</t>
  </si>
  <si>
    <t>BW</t>
  </si>
  <si>
    <t>KC</t>
  </si>
  <si>
    <t>7AM</t>
  </si>
  <si>
    <t>7:30AM</t>
  </si>
  <si>
    <t>8AM</t>
  </si>
  <si>
    <t>8:30AM</t>
  </si>
  <si>
    <t>9AM</t>
  </si>
  <si>
    <t>QRO01 EXP Mtg</t>
  </si>
  <si>
    <t>9:30AM</t>
  </si>
  <si>
    <t>10AM</t>
  </si>
  <si>
    <t>QRO01 Design Meeting</t>
  </si>
  <si>
    <t>AVC17/18 RFI/SUB Review</t>
  </si>
  <si>
    <t>Verizon MSFT Weekly Touchpoint</t>
  </si>
  <si>
    <t>MSFT OneCell Andrew Meeting</t>
  </si>
  <si>
    <t>10:30AM</t>
  </si>
  <si>
    <t>11AM</t>
  </si>
  <si>
    <t>SJC02 - RFI MTG</t>
  </si>
  <si>
    <t>CCO7CA Leads Mtg</t>
  </si>
  <si>
    <t>YQB04 Weekly Meeting</t>
  </si>
  <si>
    <t>11:30AM</t>
  </si>
  <si>
    <t>S2 Weekly CL Call</t>
  </si>
  <si>
    <t>12PM</t>
  </si>
  <si>
    <t>PHX80 Leads Mtg</t>
  </si>
  <si>
    <t>12:30PM</t>
  </si>
  <si>
    <t>1PM</t>
  </si>
  <si>
    <t>CCO08CA Leads Mtg</t>
  </si>
  <si>
    <t>1:30PM</t>
  </si>
  <si>
    <t>2PM</t>
  </si>
  <si>
    <t>EAT12 OAC Mtg</t>
  </si>
  <si>
    <t>2:30PM</t>
  </si>
  <si>
    <t>Weekly Touch Base</t>
  </si>
  <si>
    <t>3PM</t>
  </si>
  <si>
    <t>3:30PM</t>
  </si>
  <si>
    <t>4PM</t>
  </si>
  <si>
    <t>4:30PM</t>
  </si>
  <si>
    <t>5PM</t>
  </si>
  <si>
    <t>Projects</t>
  </si>
  <si>
    <t>Priority/Status</t>
  </si>
  <si>
    <r>
      <t>Scope</t>
    </r>
    <r>
      <rPr>
        <sz val="12"/>
        <color rgb="FF000000"/>
        <rFont val="Calibri"/>
        <scheme val="minor"/>
      </rPr>
      <t> </t>
    </r>
  </si>
  <si>
    <t>AE  Due Date</t>
  </si>
  <si>
    <t>CL Due Date</t>
  </si>
  <si>
    <t>S2A/CL Due Date</t>
  </si>
  <si>
    <r>
      <t>Status</t>
    </r>
    <r>
      <rPr>
        <sz val="12"/>
        <color rgb="FF000000"/>
        <rFont val="Calibri"/>
        <scheme val="minor"/>
      </rPr>
      <t> </t>
    </r>
  </si>
  <si>
    <t>AE Contract</t>
  </si>
  <si>
    <t>CL Contract</t>
  </si>
  <si>
    <t>5.Completed</t>
  </si>
  <si>
    <t>Add in Colo 4 to ibwaves</t>
  </si>
  <si>
    <t xml:space="preserve">9/25: HS responded that he has issued the deliverables. </t>
  </si>
  <si>
    <t xml:space="preserve">9/25: Contract amendment received. </t>
  </si>
  <si>
    <t>OpenPO</t>
  </si>
  <si>
    <t>Set Up Call with DAS team - submitting permits</t>
  </si>
  <si>
    <t>7/31: Based on RFI #265 for CCO07</t>
  </si>
  <si>
    <t>CA</t>
  </si>
  <si>
    <t>NA</t>
  </si>
  <si>
    <t>Descoped colos 3-5. ERRCS design/BOM</t>
  </si>
  <si>
    <t>7/21/2025-complete</t>
  </si>
  <si>
    <t>7/16-complete</t>
  </si>
  <si>
    <t xml:space="preserve">7/14:  Final IFP 8/11 6/23:  Draft IFP due 7/21.  CL work needs to be reviewed against MS scope and confirm all is descoped.  </t>
  </si>
  <si>
    <t>NTP</t>
  </si>
  <si>
    <t xml:space="preserve">IFC Issuance </t>
  </si>
  <si>
    <t>8/6/25-completed</t>
  </si>
  <si>
    <t>7/23: A/E emailed schedule.  No CL</t>
  </si>
  <si>
    <t>NA - Bram to do CAD work</t>
  </si>
  <si>
    <t xml:space="preserve">QRO06 </t>
  </si>
  <si>
    <t>QRO06 EXP 100% IFR Submittal Print</t>
  </si>
  <si>
    <t>8/7/25-completed</t>
  </si>
  <si>
    <t>8/7: BW delivered files.</t>
  </si>
  <si>
    <t>SAT PROJECTS</t>
  </si>
  <si>
    <t>Lessons Learned Logs required for  SAT 14, 15, 40, 80/81 Projects</t>
  </si>
  <si>
    <t>Complete 7/29</t>
  </si>
  <si>
    <t>7/28:  BW - note complete. Not planning on taking any action until PM pushes the issue.</t>
  </si>
  <si>
    <t xml:space="preserve">LVL12 DRB01 REV 1 IFC </t>
  </si>
  <si>
    <t>8/15/2025-Completed</t>
  </si>
  <si>
    <t>8/11/2025-Completed</t>
  </si>
  <si>
    <t>LVL12-14DS</t>
  </si>
  <si>
    <t>BOYDTON AREA?</t>
  </si>
  <si>
    <t>T-Mobile/At&amp;T contracts</t>
  </si>
  <si>
    <t>Sounds like TMO will be included. Communicate with Andrews for TMO addition.</t>
  </si>
  <si>
    <t>PSDAS Updates to reflect City of Palmetto comments - includes CADS</t>
  </si>
  <si>
    <t xml:space="preserve">Complete </t>
  </si>
  <si>
    <t>7/17:  A little bit of rework needed.  Trey working on it. 7/16:  Cads delivered.  7/14:  Final IFP 8/11 draft ifp 7/21. CL working on incorporating in comments.
7/10: iBwaves delivered.  S2A to review and then give CL OK to proceed with CADS.</t>
  </si>
  <si>
    <t>Final IFP</t>
  </si>
  <si>
    <t>8/11/25-completed July</t>
  </si>
  <si>
    <t>7/25: Draft IFP was delivered 8/5</t>
  </si>
  <si>
    <t>CCO08DS</t>
  </si>
  <si>
    <t>IAD12-13CA</t>
  </si>
  <si>
    <t>submit anticipated monthly hours for the CA associated with descoping only, September forward.</t>
  </si>
  <si>
    <t>9/24: See email from See email from Chris Kruger about pausing all work on descoping. Chris Kruger 9/10 with spreadsheet link.</t>
  </si>
  <si>
    <t>DCN08 IFP Reprint PS Update to remove COLOs 3-5</t>
  </si>
  <si>
    <t>9/29/2025-completed</t>
  </si>
  <si>
    <t>9/24/2025-completed</t>
  </si>
  <si>
    <t>9/29/2025: CCO08 IFC Complete
9/25: Stephen Wright is submitting this afternoon. 
9/22: Stephen Wright working on CAD drawings.
8/26: HS working on budget, same as CCO06. CL will be engaged, waiting on quote.</t>
  </si>
  <si>
    <t>CCO08DS? (confirm we have enough budget)</t>
  </si>
  <si>
    <t>LVL12-14</t>
  </si>
  <si>
    <t xml:space="preserve">100% IFR (lesson learned from LVL12 and update to IFC 2021)10/14: Update floor plan layout and public safety code update </t>
  </si>
  <si>
    <t>10/27-Completed</t>
  </si>
  <si>
    <t>11/04: Katie to mark status completed once invoice is sent to AE
10/27: S2A received Cline work. 
10/24: BW gave Stephen go ahead to start updating the CDs
10/23: CL sent over design for BW to review. Then Stephen will begin work. 
10/17: CL will get started on this design revision late next week
10/8: Updated to reflect 75 calendar days for AHJ review. IFC: 3/4/26 – Pending DEQ approval
9/30: HS to review public safety to make sure compliant with Virgina state code 
8/25: Proposal discussed 8 hours, no CL, BW to work</t>
  </si>
  <si>
    <t>Reverse of descope work done in May</t>
  </si>
  <si>
    <t>10/31-Completed</t>
  </si>
  <si>
    <t>11/04: Katie to mark status completed once invoice is sent to AE
10/30: BW set clouded drawings and revisions to Jacobs to cont. in Revit.
10/29: 10/29: BW to send clouded sets and mark-ups to Jacobs telecomm by EOD 10/29. 
10/28: BW to talk with Carrie 10/29, morning
10/27: HS completed the change tracker for PHX72 and PHX82 full buildout
10/22: Project back to life. CL to do CAD drawings. (CL did original drawings)
10/21:NTP Received
10/14: BW Confirm budget  and scope
9/30: Sent proposal end of august, BW follow up with Jacobs
8/28: CL estimate received for CADS only</t>
  </si>
  <si>
    <t>LVL07 RFI 96.3/96.4  - Issue Drawings</t>
  </si>
  <si>
    <t>7/30: BW completed</t>
  </si>
  <si>
    <t>LVL08</t>
  </si>
  <si>
    <t>Consolidate LVL09,10,11 into LVL08 Drawings</t>
  </si>
  <si>
    <t>7/23-complete</t>
  </si>
  <si>
    <t>7/30: BW delivered as part of LVL09 Record Set</t>
  </si>
  <si>
    <t>Bill to LVL10CA</t>
  </si>
  <si>
    <t>LVL09</t>
  </si>
  <si>
    <t>Record Set</t>
  </si>
  <si>
    <t>7/30: BW delivered.  A/E confirmed receipt</t>
  </si>
  <si>
    <r>
      <t>QRO06</t>
    </r>
    <r>
      <rPr>
        <sz val="12"/>
        <color rgb="FF000000"/>
        <rFont val="Arial"/>
        <family val="2"/>
      </rPr>
      <t> </t>
    </r>
  </si>
  <si>
    <r>
      <t>Descope-COMM /ROIP Design Revisions/CADS</t>
    </r>
    <r>
      <rPr>
        <sz val="12"/>
        <color rgb="FF000000"/>
        <rFont val="Arial"/>
        <family val="2"/>
      </rPr>
      <t> </t>
    </r>
  </si>
  <si>
    <t>7/18/25-complete</t>
  </si>
  <si>
    <t>6/23: Redline drawings sent to S2A; issue record set by 7/22.</t>
  </si>
  <si>
    <t>Issue for Record Set DWG-R1 Record | 7/15/2025</t>
  </si>
  <si>
    <t>7/10:  CL due date 7/10 confirmed on weekly call.</t>
  </si>
  <si>
    <t>PHX72 Descope IFC submission</t>
  </si>
  <si>
    <t>7/17/2025-complete</t>
  </si>
  <si>
    <t>7/10: CL delivered files to S2A</t>
  </si>
  <si>
    <t>IAD11DCN08</t>
  </si>
  <si>
    <t>DRB - New Headend Mod - 100% IFR</t>
  </si>
  <si>
    <t>7/15: CL delivered files.  In S2A court to hand off to A/E</t>
  </si>
  <si>
    <t>IFP Reprint Package for Bidding</t>
  </si>
  <si>
    <t>8/14/2025-Completed</t>
  </si>
  <si>
    <t>8/14: CL to deliver IFP set.</t>
  </si>
  <si>
    <t>CCO08 Design | PKG06-R1 IFP | 8/7/2025</t>
  </si>
  <si>
    <t>8/5/25-completed</t>
  </si>
  <si>
    <t>7/28: Added to list.  No CL</t>
  </si>
  <si>
    <r>
      <rPr>
        <sz val="12"/>
        <color rgb="FF000000"/>
        <rFont val="Arial"/>
        <family val="2"/>
      </rPr>
      <t xml:space="preserve">11/04: Katie to mark status completed once invoice is sent to AE
10/30: BW set clouded drawings and revisions to Jacobs to cont. in Revit.
10/29: BW to send clouded sets and mark-ups to Jacobs telecomm by EOD 10/29. 
10/28: BW to talk with Carrie 10/29, morning
10/27: HS completed the change tracker for PHX72 and PHX82 full buildout
10/22: Project back to life. CL to do CAD drawings. (CL did </t>
    </r>
    <r>
      <rPr>
        <b/>
        <sz val="12"/>
        <color rgb="FF000000"/>
        <rFont val="Arial"/>
        <family val="2"/>
      </rPr>
      <t>not</t>
    </r>
    <r>
      <rPr>
        <sz val="12"/>
        <color rgb="FF000000"/>
        <rFont val="Arial"/>
        <family val="2"/>
      </rPr>
      <t xml:space="preserve"> do original drawings and has questions)
10/21: NTP Received
10/14: BW Confirm budget and scope
9/30: Sent proposal end of august, BW follow up with Jacobs
8/28: CL estimate received for CADS only</t>
    </r>
  </si>
  <si>
    <r>
      <t>QRO02</t>
    </r>
    <r>
      <rPr>
        <sz val="12"/>
        <color rgb="FF000000"/>
        <rFont val="Arial"/>
        <family val="2"/>
      </rPr>
      <t> </t>
    </r>
  </si>
  <si>
    <t>Cancelled</t>
  </si>
  <si>
    <t xml:space="preserve">7/14: HS confirmed no further aciton. 
6/16: HS touch base with Alma. </t>
  </si>
  <si>
    <t>DRB - New Headend Mod - 50% IFR</t>
  </si>
  <si>
    <t>6/23: CL files delivered - S2A to hand off to A/E.   Bill proposal 100% complete after 7/18 deliverable.</t>
  </si>
  <si>
    <t>CAD drawing date/title updates</t>
  </si>
  <si>
    <t>7/16: Proposal was billed 100% complete already.  No further invoicing for these efforts at this time. 
7/7: we need CAD files - BW did not upload to OneDrive?  We only have PDFs on file. 
7/2:  Need invoice from CL for the CAD updates - apply toward Open PO</t>
  </si>
  <si>
    <t>BN Campus</t>
  </si>
  <si>
    <r>
      <t>BN Campus Design Revisions </t>
    </r>
    <r>
      <rPr>
        <sz val="12"/>
        <color rgb="FF000000"/>
        <rFont val="Arial"/>
        <family val="2"/>
      </rPr>
      <t> </t>
    </r>
  </si>
  <si>
    <t>6/4:  Invoice sent.</t>
  </si>
  <si>
    <r>
      <t>BN7/BN8 Updates </t>
    </r>
    <r>
      <rPr>
        <sz val="12"/>
        <color rgb="FF000000"/>
        <rFont val="Arial"/>
        <family val="2"/>
      </rPr>
      <t> </t>
    </r>
  </si>
  <si>
    <t>invoice to be submitted via BN Campus</t>
  </si>
  <si>
    <r>
      <t>LVL08DRB - Spidercloud/OneCell</t>
    </r>
    <r>
      <rPr>
        <sz val="12"/>
        <color rgb="FF000000"/>
        <rFont val="Arial"/>
        <family val="2"/>
      </rPr>
      <t> </t>
    </r>
  </si>
  <si>
    <r>
      <t>DRB13 – PSDAS &amp; CAD updates. </t>
    </r>
    <r>
      <rPr>
        <sz val="12"/>
        <color rgb="FF000000"/>
        <rFont val="Arial"/>
        <family val="2"/>
      </rPr>
      <t> </t>
    </r>
  </si>
  <si>
    <t>5/13: Kp confirming hours/rate to bill - emailed HS.  - completed client invoiced May.</t>
  </si>
  <si>
    <t>PSDAS updates</t>
  </si>
  <si>
    <t>6/10: Revisions/updates requested from A/E. invoice sent July.</t>
  </si>
  <si>
    <t>CCO07CA</t>
  </si>
  <si>
    <t>completed</t>
  </si>
  <si>
    <t>EAT03</t>
  </si>
  <si>
    <t>Colo 4 did not pass AHJ test</t>
  </si>
  <si>
    <t>invoiced in July.  6/23,6/16: Waiting for data from contractor. 
5/22:  HS requested solution from CL for colo 4 to present to GC  - apply towards retainer PO.</t>
  </si>
  <si>
    <r>
      <t>EAT12</t>
    </r>
    <r>
      <rPr>
        <sz val="12"/>
        <color rgb="FF000000"/>
        <rFont val="Arial"/>
        <family val="2"/>
      </rPr>
      <t> </t>
    </r>
  </si>
  <si>
    <r>
      <t>Moving PS Antenna</t>
    </r>
    <r>
      <rPr>
        <sz val="12"/>
        <color rgb="FF000000"/>
        <rFont val="Arial"/>
        <family val="2"/>
      </rPr>
      <t> </t>
    </r>
  </si>
  <si>
    <t>invoiced July cycle. 6/10: Trey provided updated response as requested from HS</t>
  </si>
  <si>
    <t>IAD05DRB10</t>
  </si>
  <si>
    <t>Headend Mod to IAD04</t>
  </si>
  <si>
    <t>6/23: CL files delivered - S2A to hand off to A/E.  Billed in July</t>
  </si>
  <si>
    <t>Descoped Colos 3-5. 
Update design for ERRCS only. </t>
  </si>
  <si>
    <t>5/22: BW handed off files to client.</t>
  </si>
  <si>
    <r>
      <t>LVL04-05</t>
    </r>
    <r>
      <rPr>
        <sz val="12"/>
        <color rgb="FF000000"/>
        <rFont val="Arial"/>
        <family val="2"/>
      </rPr>
      <t> </t>
    </r>
  </si>
  <si>
    <r>
      <t>Record Set</t>
    </r>
    <r>
      <rPr>
        <sz val="12"/>
        <color rgb="FF000000"/>
        <rFont val="Arial"/>
        <family val="2"/>
      </rPr>
      <t> </t>
    </r>
  </si>
  <si>
    <t>5/13: KP forwarded A/E email to BW</t>
  </si>
  <si>
    <t>LVL09/10</t>
  </si>
  <si>
    <t>ibwaves updates to reflect new dedicated signal source in LVL08</t>
  </si>
  <si>
    <t>6/20: BW approved CL work to apply to retainer PO. - convert hours and bill A/E CA contract.</t>
  </si>
  <si>
    <t>MNZ03 </t>
  </si>
  <si>
    <t>DRB04 - New Headend Mod </t>
  </si>
  <si>
    <t>delivered early June</t>
  </si>
  <si>
    <t>PHX72/82DRB</t>
  </si>
  <si>
    <t>PHX72 and 82 Descope IFC packages</t>
  </si>
  <si>
    <t>6/5: Packaging info received</t>
  </si>
  <si>
    <t>CA - contracts to be amended.</t>
  </si>
  <si>
    <t xml:space="preserve">Proposal received </t>
  </si>
  <si>
    <r>
      <t>QRO01</t>
    </r>
    <r>
      <rPr>
        <sz val="12"/>
        <color rgb="FF000000"/>
        <rFont val="Arial"/>
        <family val="2"/>
      </rPr>
      <t> </t>
    </r>
  </si>
  <si>
    <t>Descope-COMM /ROIP Design Revisions/CADS </t>
  </si>
  <si>
    <t>6/24: BW requested info / way to deliver files to Fernando.</t>
  </si>
  <si>
    <r>
      <t>YQB01</t>
    </r>
    <r>
      <rPr>
        <sz val="12"/>
        <color rgb="FF000000"/>
        <rFont val="Arial"/>
        <family val="2"/>
      </rPr>
      <t> </t>
    </r>
  </si>
  <si>
    <r>
      <t>Descope-Stand Alone Package for Admin+Colo 1. Design revision-minimal coverage in Colos 2-5 </t>
    </r>
    <r>
      <rPr>
        <sz val="12"/>
        <color rgb="FF000000"/>
        <rFont val="Arial"/>
        <family val="2"/>
      </rPr>
      <t> </t>
    </r>
  </si>
  <si>
    <t>CA before IFC deliverables. Then Design PO</t>
  </si>
  <si>
    <r>
      <t>YQB04</t>
    </r>
    <r>
      <rPr>
        <sz val="12"/>
        <color rgb="FF000000"/>
        <rFont val="Arial"/>
        <family val="2"/>
      </rPr>
      <t> </t>
    </r>
  </si>
  <si>
    <r>
      <t>Descope-Stand Alone Package for Admin+Colo 1. Design revision-minimal coverage in Colos 2-5</t>
    </r>
    <r>
      <rPr>
        <sz val="12"/>
        <color rgb="FF000000"/>
        <rFont val="Arial"/>
        <family val="2"/>
      </rPr>
      <t> </t>
    </r>
  </si>
  <si>
    <t>Delivered-Invoiced</t>
  </si>
  <si>
    <r>
      <t>YQB06</t>
    </r>
    <r>
      <rPr>
        <sz val="12"/>
        <color rgb="FF000000"/>
        <rFont val="Arial"/>
        <family val="2"/>
      </rPr>
      <t> </t>
    </r>
  </si>
  <si>
    <r>
      <t>Descope - Stand Alone Package Admin+Colo 1. Updated design for min coverage in Colos 2-5</t>
    </r>
    <r>
      <rPr>
        <sz val="12"/>
        <color rgb="FF000000"/>
        <rFont val="Arial"/>
        <family val="2"/>
      </rPr>
      <t> </t>
    </r>
  </si>
  <si>
    <t>DRB09 IFC</t>
  </si>
  <si>
    <t>6/16: BW requested SME contact to schedule review.
6/10: Still waiting on issuance date. Per email from: "If there are no changes, then the only action required will be to update the TTB revision block once we confirm the issuance date"</t>
  </si>
  <si>
    <t>YTO11DRB08</t>
  </si>
  <si>
    <t>DRB08 Descope-ROIP revisions+CAD - IFC</t>
  </si>
  <si>
    <t>6/16: IFC date TBD</t>
  </si>
  <si>
    <t>requested 5/15</t>
  </si>
  <si>
    <r>
      <t>YTO40</t>
    </r>
    <r>
      <rPr>
        <sz val="12"/>
        <color rgb="FF000000"/>
        <rFont val="Arial"/>
        <family val="2"/>
      </rPr>
      <t> </t>
    </r>
  </si>
  <si>
    <r>
      <t>IFC print due 5/1.</t>
    </r>
    <r>
      <rPr>
        <sz val="12"/>
        <color rgb="FF000000"/>
        <rFont val="Arial"/>
        <family val="2"/>
      </rPr>
      <t> </t>
    </r>
  </si>
  <si>
    <r>
      <t>Complete</t>
    </r>
    <r>
      <rPr>
        <sz val="12"/>
        <color rgb="FF000000"/>
        <rFont val="Arial"/>
        <family val="2"/>
      </rPr>
      <t> </t>
    </r>
  </si>
  <si>
    <t>5/5: Stephen handling.</t>
  </si>
  <si>
    <t>Delivered</t>
  </si>
  <si>
    <t>YTO40DRB07</t>
  </si>
  <si>
    <t>DRB-07 Descoping Page-Turn (ROIP, Security, &amp; Structural)</t>
  </si>
  <si>
    <t>Contract</t>
  </si>
  <si>
    <t>QRO06 EXP 100% IFR Q-Print</t>
  </si>
  <si>
    <t>7/30: BW delivered</t>
  </si>
  <si>
    <t>YTO11- DRB-09 - COLO 3 Fit-out (Package 2) - Issued for Review</t>
  </si>
  <si>
    <t>9/12/2025-completed</t>
  </si>
  <si>
    <t>09/12: BW uploaded docs</t>
  </si>
  <si>
    <t>YES - Stephen to submit $500 invoice via CL</t>
  </si>
  <si>
    <t>QRO06 EXP IFC Q-Print</t>
  </si>
  <si>
    <t>10/1/2025-Completed</t>
  </si>
  <si>
    <t>9/30: BW to do a print in BB. 
7/14: Logged on project task list.</t>
  </si>
  <si>
    <t>EAT06-09 </t>
  </si>
  <si>
    <r>
      <rPr>
        <sz val="12"/>
        <color rgb="FF000000"/>
        <rFont val="Arial"/>
      </rPr>
      <t xml:space="preserve">Redesign to Fremont  - 50% IFR 8/29/25 - </t>
    </r>
    <r>
      <rPr>
        <b/>
        <sz val="12"/>
        <color rgb="FF000000"/>
        <rFont val="Arial"/>
      </rPr>
      <t>Invoice to 60%</t>
    </r>
  </si>
  <si>
    <r>
      <rPr>
        <sz val="12"/>
        <color rgb="FF000000"/>
        <rFont val="Arial"/>
      </rPr>
      <t>1/16: Invoice to 60%
1/5: CL (Trey) sent revised designs back to Harold.
12/22: Harold gave feedback to CL
12/9: S2A received floor plans. Trey to use these plans for Microsoft EAT06. CL will begin the model later this week and the design next week.
11/25: Floor plans are still in production, there is some that was associated with the 30% but I think we are still a few weeks away from all the floor plans being available.
11/24: KC asked for update on floor plans
11/17: 30% was pushed to 11/21. So we are actively working on the deliverable this week and will start on the 60% next week. 
10/30: Design still on track to start the week of Nov 17-21st
10/29: Katie reached out to Chad Mendall at Stantec
10/28: Katie to reach out to check project status
10/10: S2A will not be starting their work during the 30% design phase. The 30% IFR started this Tuesday, 10/7, and will last six weeks. 
10/9: Waiting on floor plans.
10/2: HS sent the revised DCN-01 proposal for EAT06 only.
10/1: Chad Mendal - Correction Needed.</t>
    </r>
    <r>
      <rPr>
        <sz val="12"/>
        <color rgb="FFFF0000"/>
        <rFont val="Arial"/>
      </rPr>
      <t xml:space="preserve"> </t>
    </r>
    <r>
      <rPr>
        <sz val="12"/>
        <color rgb="FF000000"/>
        <rFont val="Arial"/>
      </rPr>
      <t xml:space="preserve"> The second DCN for the full design will just be for the 2-Story 5-Colo EAT06 building (2.5 Colos over 2.5 Colos).  Your DCN is indicating EAT09, so I will need you to amend your DCN to remove any reference to EAT09.
9/30: HS to resubmit pricing 9/30
7/30: Kick off did not happen 8/4 - TBD, 8/14: BW asked to take off list</t>
    </r>
  </si>
  <si>
    <t>TBD - contract revision pending</t>
  </si>
  <si>
    <t>PO from October for $6,750.00</t>
  </si>
  <si>
    <t>YQB Projects</t>
  </si>
  <si>
    <t>Create S2A Org Chart</t>
  </si>
  <si>
    <t>11/21/2025-Completed</t>
  </si>
  <si>
    <t>11/4: First draft sent to HS for review
KC to create S2A org chart</t>
  </si>
  <si>
    <t>LVL13 BOD Updates &amp; Colo Shifts</t>
  </si>
  <si>
    <t>11/14/2025-Completed</t>
  </si>
  <si>
    <t>11/17: BW asked CL to implement comments from the A.E/MSFT regarding the LVL13 set</t>
  </si>
  <si>
    <t>LVL12-14CA</t>
  </si>
  <si>
    <t>PHX82 CA Construction DRB13 IFP (COLO 3-5 full scope)</t>
  </si>
  <si>
    <t>11/18-Completed</t>
  </si>
  <si>
    <t>11/18: BW to send in QA form after reviewing designs.
11/17: Ball in Jacobs court. BW to send in QA form after reviewing drawings.</t>
  </si>
  <si>
    <t>PHX82CA</t>
  </si>
  <si>
    <t>LVL13 100% IFR Production Deadline: 11/21 – Delivery Due to SRI for QC and posting</t>
  </si>
  <si>
    <t>11/24: BW to send the DAS drawings and model for the 11/25 deliverable. Please also complete the drawing list, answer all related BIM 360 issues and confirm that the deviations log is up to date.
Bram forwarded print instructions to Stephen so he can print the final set.</t>
  </si>
  <si>
    <t>PHX12 </t>
  </si>
  <si>
    <t>Record Drawings </t>
  </si>
  <si>
    <t>1/29/2026-Completed</t>
  </si>
  <si>
    <t xml:space="preserve">1/26: BW sent markups to Bart Spencer of Jacobs to update the Revit files. 
1/23: Carrie Wright gave access to IFC and asked Jacobs team to implement S2A markups. Stephen engagsed as backup in case we need to redo the CADs.
12/11: Howard Way sent the as-builts 12/9.  Katie to complete as-builts with assistance from Bram.
12/3: Howard Way will let the Team know when all Contractor As-builts have been received and approved, to begin Record Drawing preparation.
12/1: BW reached out to Howard Way and Brandon Gilyard. 
10/30: S2 Advisors still needs to receive and approve the PHX12 COLOs 2-5 ERRCs as-builts. The General Contractor has not yet submitted all as-builts for the PHX12 Project to begin Record Drawing preparation.
5/13: A/E to schedule call with S2A to review drawings once they are ready. </t>
  </si>
  <si>
    <t>3.In Queue</t>
  </si>
  <si>
    <t>Redlines/Record Drawings</t>
  </si>
  <si>
    <t>10/30: Andrea gave update that installation and testing are completed. Did not give carrier agreement update.
09/15:  BW emailed Andrea requesting status update. 
5/27: CADS delivered from Stephen.  Submission date to A/E TBD. Andrea Frazier-Sanches to advise, 9/22 - BW has reached out for direction on how to submit deliverables, has not received direction.</t>
  </si>
  <si>
    <t>YTO11 - IFC Refresh for Package 3 &amp; 4 (COLOs 2 and 3)</t>
  </si>
  <si>
    <t>Complete-10/03/25</t>
  </si>
  <si>
    <t>Complete-10/03/2025</t>
  </si>
  <si>
    <t xml:space="preserve">11/04: Did CL bill for work on this deliverable? Once confirmed, move to Completed.
9/25: Stephen Wright is working on this. 
6/27: A/E requests estimate of hours and timeline to complete.  </t>
  </si>
  <si>
    <t>IFC Issuance</t>
  </si>
  <si>
    <t>9/3: BW advised to close.  No action needed.8/12: IFC date TBD, AE update ETA week of 8/18</t>
  </si>
  <si>
    <t>IFR Issance</t>
  </si>
  <si>
    <t>9/9/2025-completed</t>
  </si>
  <si>
    <t>9/9: BW email to Mira confirming delivery for afternoon 9/10. BW forwarded email thread confirming CA contract to be billed for effort.</t>
  </si>
  <si>
    <t>NA - Bram doing the work.</t>
  </si>
  <si>
    <t>YTO40DCN03</t>
  </si>
  <si>
    <t>DCN03 Colo 3,4,5 De-Scoping Efforts</t>
  </si>
  <si>
    <t xml:space="preserve">6/23: CL given approval to proceed.  </t>
  </si>
  <si>
    <t>LVL06 - as-builts</t>
  </si>
  <si>
    <t>10/2/2025-Completed</t>
  </si>
  <si>
    <t>9/30: BW to send markups.
9/22: SwansonRink to do CAD drawings, BW to confirm
9/19: S2A to verify that we have redlines</t>
  </si>
  <si>
    <t>SJC02 - IFP REV4</t>
  </si>
  <si>
    <t>10/8/2025-Completed</t>
  </si>
  <si>
    <t>Complete, need to print</t>
  </si>
  <si>
    <t>11/04: Is this new work, or is this covered by the $6,810 that was billed to completion in September?
10/7: Jacobs sent the upload folder 
9/22: Stephen Wright to incorp ROIP revisions and CAD package, 
9/19: S2A to reivew the status of the drawings</t>
  </si>
  <si>
    <t>DS</t>
  </si>
  <si>
    <t>OpenPo</t>
  </si>
  <si>
    <t>SAT89 S2 Advisors CA Contract</t>
  </si>
  <si>
    <t>10/7: WSP sent contract. HS to sign contract. 
10/6: WSP updated COI insurance amounts to reflect S2A coverage. Still waiting on corrected contract.
10/2: WSP to correct SAT89 &amp; 90 CA contract. Waiting on approval of COI insurance coverage. 
9/24: Contract needed to complete RFIs. KC reached out to Garr DiSalvo. Garr is traveling this week.</t>
  </si>
  <si>
    <t>Benchmark Data Email Thread- Ask GC for a BM status report</t>
  </si>
  <si>
    <t>10/2: BW has LYH10 BM status report but still waiting on AVC43.
9/24: BW to ask GC for BM status report</t>
  </si>
  <si>
    <t>9/24: BW to ask GC for BM status report</t>
  </si>
  <si>
    <t>BOYDTON AREA</t>
  </si>
  <si>
    <t>Send access requirements</t>
  </si>
  <si>
    <t>9/25: Refer to email chain with Joshua Moore 9/25</t>
  </si>
  <si>
    <t>Update hardware quotes so MSFT can process PO</t>
  </si>
  <si>
    <t>9/25: BW refer to email chain with Clark Martin</t>
  </si>
  <si>
    <t>YTO11 - DCN-11 - Package 4 &amp; Specification Refresh (COLO 5 Fit-Out)</t>
  </si>
  <si>
    <t>11/13: Wayne confirmed 80 hours for each discipline, DAS and ROIP equal to $36,320
10/28: HS sent in hours request for 60 hours
10/22: Hours estimate request from Stantec. BW estimates it will take of 15 hours to review, print, and attend meetings.</t>
  </si>
  <si>
    <t>CLT04/10/17</t>
  </si>
  <si>
    <t>FInalize contracts and insurance coverage amounts</t>
  </si>
  <si>
    <t xml:space="preserve">10/30: Megan sent clarification on contract amounts. 
10/29: KC reached out to Megan and asked for clarity on contract amounts and insurance coverage. </t>
  </si>
  <si>
    <t>DRB14 (not 13) Full Buildout</t>
  </si>
  <si>
    <t>11/5/2025-Completed</t>
  </si>
  <si>
    <t>10/31: Mahima requests QA firms to make the IFP submission on 11/5. BW: Wait until Jacobs confirms the drawing updates are completed.</t>
  </si>
  <si>
    <t>PHX72CA</t>
  </si>
  <si>
    <t xml:space="preserve">100% IFR (lesson learned from LVL12 and update to IFC 2021) </t>
  </si>
  <si>
    <t>11/7: Mira said drawings looked good. 
11/5: BW to send spec section # 275019 on Monday, 11/10
11/5: Comments from ML: (SW to work on this)
- We are missing spec 275019. Please provide.
- Please update the PS DAS drawing list.
- Please update the TB on all drawing sets &amp; re-upload.
11/4: Waiting to hear back confirmation from Mira Lammers if changes are needed/QA form completion</t>
  </si>
  <si>
    <t>Vertical Construction IFC</t>
  </si>
  <si>
    <t>11/7/2025-Completed</t>
  </si>
  <si>
    <t xml:space="preserve">11/7: Still need to update CAD title blocks and upload to WSP Sharepoint. SW uploading updated files to SAT89 project folder. Waiting on access from Garr to upload to AE folder. </t>
  </si>
  <si>
    <t>SAT89CA</t>
  </si>
  <si>
    <t>PHX72 CA COLOS 3-5 Restart of CA</t>
  </si>
  <si>
    <t>11/12: Harold send hours to Andrea. Waiting on AFS response.
Andrea Frazier-Sanchez asks HS that he adjust the time and relook at the proposal. Looking at a total of 50 weeks. She asks if HS can return proposal by 11/14.</t>
  </si>
  <si>
    <t>11/17: Ball in Jacobs court. BW to send in QA form after reviewing drawings.
11/13: Send in QA form 
11/12: BW sent markups and instructions. In Jacobs court now.Jacobs is doing the CAD and S2A is doing the QAQC. 
We will be re-issuing all drawings from PKG04-06 in this package. All drawings have been marked as REF. We will also need to issue and changes to revert scope back from the descope DRB10-IFC.</t>
  </si>
  <si>
    <t>PHX13/14</t>
  </si>
  <si>
    <t xml:space="preserve">11/6 Site Visit Reports </t>
  </si>
  <si>
    <t>11/10/2025-Completed</t>
  </si>
  <si>
    <t>HS to complete reports 11/12 or 11/13</t>
  </si>
  <si>
    <t>PHX13CA</t>
  </si>
  <si>
    <r>
      <t>SAT14</t>
    </r>
    <r>
      <rPr>
        <sz val="12"/>
        <color rgb="FF242424"/>
        <rFont val="Segoe UI"/>
        <charset val="1"/>
      </rPr>
      <t>/15 RFQ Clarifications</t>
    </r>
  </si>
  <si>
    <t xml:space="preserve">12/1: Stuck in MSFT approval
11/17: BW to follow-up
11/13: SW asked for original CADS. CL sent proposals. Need to know scope, if a DS contract is coming, when project will start. </t>
  </si>
  <si>
    <t>Issue #2400 was assigned to you</t>
  </si>
  <si>
    <t>11/18/2025-Completed</t>
  </si>
  <si>
    <t xml:space="preserve">Matt Benson assigned BW issue #2400. </t>
  </si>
  <si>
    <t>Troubleshooting for CHI10 DAS headend issue</t>
  </si>
  <si>
    <t>12/3: S2A to provide a high level technical review of proposal.</t>
  </si>
  <si>
    <t>LVL13 Redesign IFB Delivery Guidelines</t>
  </si>
  <si>
    <t>12/18/2025-Completed</t>
  </si>
  <si>
    <t>12/12: IFB is postponed and will likely be at the end of January.
12/3: Bram to print set</t>
  </si>
  <si>
    <t>SJC02 Building CA Proposal</t>
  </si>
  <si>
    <t xml:space="preserve">12/12: Updates pricing </t>
  </si>
  <si>
    <t xml:space="preserve">Design DCN for IAD12&amp;13 Restart </t>
  </si>
  <si>
    <t>2/5/2026-Completed</t>
  </si>
  <si>
    <r>
      <rPr>
        <sz val="12"/>
        <color rgb="FFFF0000"/>
        <rFont val="Arial"/>
      </rPr>
      <t xml:space="preserve">2/10: Bram, was this uploaded successfully on 2/5?
</t>
    </r>
    <r>
      <rPr>
        <sz val="12"/>
        <color rgb="FF000000"/>
        <rFont val="Arial"/>
      </rPr>
      <t>2/1: This note shall be placed on all drawings:
 “DRB06 drawings shall supersede DRB04 documents.
Any items previously installed under DRB04 shall be
re-installed per the DRB06 documents” .
1/30: Stephen to deliver 2/3
1/23: Stephen working on CAD floorplans
1/16: Reliant on IAD11. Contractor who installs IAD11 signal source must install IAD12/13 expansion/commissioning. Whoever installs the headend in 11 owns it, they need to introduce any changes to the carriers. 
1/5: Propose moving to a DSS 
1/5: Same direction. MSFT may have additional items that may come up but for now get drawings back to point when descope was announced.
12/22: Katie asked for deliverables schedule.
12/18: Stephen to work on CADs.
12/16: Work with Matt McCarthy and Jack O'Brien to determine if reverting models to March of 25 is the best approach or just undoing Descope items from the current set.Please commence to get your drawing sets back to the point when descope was announced. (Approx. 3/25) Please be sure to include any changes made for QA/QC purposes and any SME comments that are to stay in the final build.</t>
    </r>
  </si>
  <si>
    <t>IAD12-13DS</t>
  </si>
  <si>
    <t xml:space="preserve">Open PO </t>
  </si>
  <si>
    <r>
      <rPr>
        <b/>
        <sz val="12"/>
        <color rgb="FF000000"/>
        <rFont val="Arial"/>
      </rPr>
      <t>DRAFT</t>
    </r>
    <r>
      <rPr>
        <sz val="12"/>
        <color rgb="FF000000"/>
        <rFont val="Arial"/>
      </rPr>
      <t xml:space="preserve"> DRB01 Drawings</t>
    </r>
  </si>
  <si>
    <t>1/8/2026-complete</t>
  </si>
  <si>
    <t>1/7/2026-complete</t>
  </si>
  <si>
    <t>1/5: CL (Stephen) confirmed 1/8 delivery date and asked to set up time with Bram today or tomorrow.
12/24: Please upload CLT04 Draft DRB01 Drawings HERE by EOD 1/8/2026. Please make sure all changes have been clouded and the ​DRB01 Narrative​ has been completed for your discipline. 
Due for DAS/ROIP:
-BOM Updates 
-Rack elevation and requirement update
-Update to ISP circuits</t>
  </si>
  <si>
    <t>CLT04CA</t>
  </si>
  <si>
    <r>
      <rPr>
        <b/>
        <sz val="12"/>
        <color rgb="FF000000"/>
        <rFont val="Arial"/>
      </rPr>
      <t>FINAL</t>
    </r>
    <r>
      <rPr>
        <sz val="12"/>
        <color rgb="FF000000"/>
        <rFont val="Arial"/>
      </rPr>
      <t xml:space="preserve"> DRB01 Drawings</t>
    </r>
  </si>
  <si>
    <t>1/16/2026-Completed</t>
  </si>
  <si>
    <t>1/16 CADs/Drawings are complete. We are waiting on any MSFT comments. Bill to MSFT on Friday.
1/5: Meg Plank sent delivery instructions and folder
12/24: Please upload CLT04 Draft DRB01 Drawings HERE by EOD 1/8/2026. Please make sure all changes have been clouded and the ​DRB01 Narrative​ has been completed for your discipline. 
Due for DAS/ROIP:
-BOM Updates 
-Rack elevation and requirement update
-Update to ISP circuits</t>
  </si>
  <si>
    <t>LVL11 Record Sets</t>
  </si>
  <si>
    <t>1/20/2025-Completed</t>
  </si>
  <si>
    <t>This isn’t due until 1/20
12/29: CAD exports for backgrounds need to be shared with the team (1/13)</t>
  </si>
  <si>
    <t>LVL11CA</t>
  </si>
  <si>
    <t>Updated IFC print/refresh: DCN-11/DRB-13 - Packages 2, 3 &amp; 4 with Specifications Refresh (COLOs 3, 4 &amp; 5 Fit-Out)</t>
  </si>
  <si>
    <t>1/9/2026-complete</t>
  </si>
  <si>
    <t>1/6: No major changes</t>
  </si>
  <si>
    <t>YTO40CA</t>
  </si>
  <si>
    <t>LVL13 Redesign Issue for MSFT Review Delivery</t>
  </si>
  <si>
    <t>2/11: Bram will update title block in BlueBeam.
1/30: The SME’s would like to have a formal review period before IFC is released for LVL13. We only need to issue launch and buildout drawing packages, but at the point of issue, these backages should be complete and essentially ready for IFC. There will be no admin QC for this deliverable. Please complete and engineering QC and admin QC of your drawings before delivery.</t>
  </si>
  <si>
    <t>Vertical Construction of SAT89 Slides</t>
  </si>
  <si>
    <t>Recycle slides that Bram sent Clark</t>
  </si>
  <si>
    <t>FYT01/02</t>
  </si>
  <si>
    <t>Combine FTY01/02 iBwaves</t>
  </si>
  <si>
    <t>1/23/26-completed</t>
  </si>
  <si>
    <t xml:space="preserve">1/23: Trey sent the link to the combined FTY01/02 design for Verizon to review. 1/20: AE approved CL revision. CL waiting for Benchmark reports.
1/12: CL is requesting $2000 for revision </t>
  </si>
  <si>
    <t>FTY01?</t>
  </si>
  <si>
    <t>Open PO</t>
  </si>
  <si>
    <t xml:space="preserve">FTY03 </t>
  </si>
  <si>
    <t>FTY03 DRAFT IFC QC</t>
  </si>
  <si>
    <t>2/6/2026-Completed</t>
  </si>
  <si>
    <r>
      <rPr>
        <sz val="12"/>
        <color rgb="FFFF0000"/>
        <rFont val="Arial"/>
      </rPr>
      <t xml:space="preserve">2/10: Bram, was this uploaded successfully on 2/6?
</t>
    </r>
    <r>
      <rPr>
        <sz val="12"/>
        <color rgb="FF000000"/>
        <rFont val="Arial"/>
      </rPr>
      <t xml:space="preserve">2/3: Bram working on this week
1/30: Bram to submit. Still waiting on title block instructions. 
1/29: Stephen to update TB. Add note to title page about rebroadcast agreements must be amended by the owner of the sisnal source equipment (Linx). No other contractor is permitted to work on signal source except for the owner.
1/26: Katie + Bram to meet to discuss
1/15: Assigned to Katie. </t>
    </r>
  </si>
  <si>
    <t>FTY03DS additional funds, see 1/29 email</t>
  </si>
  <si>
    <t>CLT10 DRB01 QC Sets</t>
  </si>
  <si>
    <t xml:space="preserve">Email from Meg Plank 2/10: Please upload CLT10 DRB01 QC Sets HERE by EOD 2/27/2026. 
</t>
  </si>
  <si>
    <t>CLT10CA</t>
  </si>
  <si>
    <t>1/21/2026-completed</t>
  </si>
  <si>
    <r>
      <t>Please upload CLT04 Final DRB01 Drawings ​​HERE​​​​​​ by </t>
    </r>
    <r>
      <rPr>
        <b/>
        <sz val="10"/>
        <color rgb="FF000000"/>
        <rFont val="Aptos"/>
        <charset val="1"/>
      </rPr>
      <t>EOD 1/21/2026</t>
    </r>
    <r>
      <rPr>
        <sz val="10"/>
        <color rgb="FF000000"/>
        <rFont val="Aptos"/>
        <charset val="1"/>
      </rPr>
      <t>. Please make sure all changes have been clouded and the ​​​DRB01 Narrative​​​ has been completed for your discipline. </t>
    </r>
  </si>
  <si>
    <t>CLT17 DRB01 IFC</t>
  </si>
  <si>
    <t>3/2: Set is complete, waiting on comments from MSFT
3/2: Confirmation from Meg Plank: Please have drawings and CAD files uploaded by EOD 3/5.
2/25: As a reminder, please upload the CLT17 DRB01 IFC drawings and specs (if needed) HERE by EOD 3/5/26.
2/10: Please update the revision block accordingly and make sure all changes are clouded! Please also make sure the ​​​CLT17 DRB01 Narrative.docx​​ has been updated for your discipline! 
Please upload CLT17 DRB01 QC Sets ​HERE​ by EOD 2/13/26. </t>
  </si>
  <si>
    <t>CLT17CA</t>
  </si>
  <si>
    <t xml:space="preserve">CLT10 </t>
  </si>
  <si>
    <t xml:space="preserve">CLT10 DRB01 IFC </t>
  </si>
  <si>
    <t>3/19/2026-completed</t>
  </si>
  <si>
    <t xml:space="preserve">2/10: Please upload CLT10 DRB01 IFC Drawings ​ HERE EOD 3/12/26. Please update the revision block accordingly and make sure all changes are clouded! Only revised sheets need to be issued! Please also make sure ​the ​CLT10 DRB01 Narrative.docx​ has been updated for your discipline! </t>
  </si>
  <si>
    <t>2/11: Resubmit for the 2/17 submission</t>
  </si>
  <si>
    <t>FTY03CA</t>
  </si>
  <si>
    <t>New 2-Story Design Fremont</t>
  </si>
  <si>
    <r>
      <rPr>
        <sz val="12"/>
        <color rgb="FFFF0000"/>
        <rFont val="Arial"/>
      </rPr>
      <t xml:space="preserve">Bram, can I mark this as completed and invoice?
</t>
    </r>
    <r>
      <rPr>
        <sz val="12"/>
        <color rgb="FF000000"/>
        <rFont val="Arial"/>
      </rPr>
      <t>2/5: QA-QC process contines with Stantec
2/3: Stephen delivered QA-QC set. Bram to submit.</t>
    </r>
  </si>
  <si>
    <t>EAT06CA</t>
  </si>
  <si>
    <t>EAT06 contract</t>
  </si>
  <si>
    <t>LVL10</t>
  </si>
  <si>
    <t>Record Docs</t>
  </si>
  <si>
    <t>1/30: ML sent delivery guidelines. Please note, record docs need to be updated to include all RFIs and the received As-builts.</t>
  </si>
  <si>
    <t>LVL10CA</t>
  </si>
  <si>
    <t>CLT17 DRB01 IFR - Submit to PM</t>
  </si>
  <si>
    <t xml:space="preserve">2/10: Please upload CLT17 DRB01 Drawings ​​HERE​​​​​ by EOD 2/19/26. Please update the revision block accordingly and make sure all changes are clouded! Only revised sheets need to be issued! </t>
  </si>
  <si>
    <t xml:space="preserve">2/10: Please upload CLT17 DRB01 IFC Drawings HERE by EOD 2/26/26. Please update the revision block accordingly and ensure all changes are clouded. Only the revised sheets need to be issued. These sets will need to be signed and sealed. Please also make sure ​the ​​​CLT17 DRB01 Narrative.docx​​ has been updated for your discipline! </t>
  </si>
  <si>
    <t>Cherry Creek Garage</t>
  </si>
  <si>
    <t>$14,250 in proposal for CAD drawings and iBwave designs</t>
  </si>
  <si>
    <t>DRB13 - ISSUED FOR CONSTRUCTION</t>
  </si>
  <si>
    <t>3/5: No follow-up since January email
1/14: This package is no longer issuing on 1/20. This IFC date has been pushed back to 3/5. DAG will send new emails 2 weeks prior that issuance date.
1/13: May want QA-QC form but Jacobs will have to send drawings.
1/12 Jacobs will print the set as they did the CADs. BW coordinated yesterday.
1/6: Refer to 1/6 email from Carrie Wright.</t>
  </si>
  <si>
    <t>CLT10 DRB01 IFR - Submit to PM</t>
  </si>
  <si>
    <t>Please update the revision block accordingly and make sure all changes are clouded! Only revised sheets need to be issued! </t>
  </si>
  <si>
    <t>EAT06 IFP</t>
  </si>
  <si>
    <t>3/2: QA-QC set was uploaded 
2/25: Draft Set Posted to ACC0 (for QA-QC Review), Including Draft Reports / Calculations (Katie to help)</t>
  </si>
  <si>
    <t>EAT06-09REV</t>
  </si>
  <si>
    <t>EAT06 CL Proposal</t>
  </si>
  <si>
    <t xml:space="preserve">Title Block Update - Katie </t>
  </si>
  <si>
    <t>2/25: ML sent email with instructions on 2/24</t>
  </si>
  <si>
    <t>4.Completed</t>
  </si>
  <si>
    <t>90% IFR </t>
  </si>
  <si>
    <t>5/6/2026 -complete</t>
  </si>
  <si>
    <t>TBD </t>
  </si>
  <si>
    <t>4/20: BW to markup drawings and coordinate with Telecom.</t>
  </si>
  <si>
    <t>5/5: BW Completed.
5/4: BW Done with CADs. Need Title block info
4/20: BW to markup drawings and coordinate with Telecom.4/8: Bram to do redlines. Still have not received confirmation from PM. 
4/3: HS/BW need to review and mark up the set. We likely will not have to include centerline—just not sure yet.
3/30: Look into meetings
3/9: Katie to cont. to follow-up
2/25: project kicked off today—here is a proposed schedule. There will be some site changes which is the reason for the delayed start.</t>
  </si>
  <si>
    <t>MNZ04DS</t>
  </si>
  <si>
    <t>2/25: project kicked off today—here is a proposed schedule. There will be some site changes which is the reason for the delayed start.</t>
  </si>
  <si>
    <t>Drawing Index for the IFP</t>
  </si>
  <si>
    <t>2/25: Drawing Index for IFP (Katie to help)</t>
  </si>
  <si>
    <t xml:space="preserve">EAT06 Final Drawing </t>
  </si>
  <si>
    <t>2/25: All Final drawings (PDF, Revit, CADD) posted to ACC, including separate packages. All specifications (PDF, Word) posted to ACC (Katie to help)</t>
  </si>
  <si>
    <t>Test Data prior to site visit - Bram</t>
  </si>
  <si>
    <t>3/30: Reschedule site visit, maybe 4/22 or 4/14
3/2: Ron sent DAS test data ahead of site visit</t>
  </si>
  <si>
    <t>Test Data prior to site visit - Harold</t>
  </si>
  <si>
    <t>3/2: Chandler sent DAS test data ahead of site visit</t>
  </si>
  <si>
    <t>LVL13 Redesign IFC</t>
  </si>
  <si>
    <t>3/6/2026-completed</t>
  </si>
  <si>
    <t>3/2: IFC deliverable due date was pushed back to 3/11/26</t>
  </si>
  <si>
    <t>Tranche 1 Record Documents Issuance</t>
  </si>
  <si>
    <t>4/3: BW asked Trey to include contractor benchmark in deliverable
3/30: Still waiting on quote from Stephen
3/19: SW meeting with BW to discuss proposal
3/18: Stephen Wright putting together a proposal</t>
  </si>
  <si>
    <t>LYH10CA</t>
  </si>
  <si>
    <t>FINAL IFC - FINAL UPLOAD</t>
  </si>
  <si>
    <t>3/10: Please upload FTY03 IFC Final Drawings and Specs ​​HERE​​ by EOD 4/1/2026. We will issue clean and clouded sets. Please note that the clean sets must be signed</t>
  </si>
  <si>
    <t>FTY03DS</t>
  </si>
  <si>
    <t>FTY03 FINAL IFC - QC</t>
  </si>
  <si>
    <t>3/10: Please upload FTY03 Final IFC QC Drawings ​HERE​ by EOD 3/25/26. QC Review: 3/26 - 3/31</t>
  </si>
  <si>
    <t>Both PSDAS ROUs will move to the FCR</t>
  </si>
  <si>
    <t>ASAP</t>
  </si>
  <si>
    <t>3/18: Begin the design next week for CCO07 and you will receive on 3/27. If we can bring this in any then I will let you know right away.</t>
  </si>
  <si>
    <t>Part 20 Update</t>
  </si>
  <si>
    <t xml:space="preserve">CAD Update: DRB09 IFC AHJ ROU Relocation </t>
  </si>
  <si>
    <t>4/6: BW uploading to SP today
Stephen sending drawings on Wednesday, 4/1</t>
  </si>
  <si>
    <t>Update the DRB-13 drawing sheet and specification section lists for the DAS and ROIP disciplines</t>
  </si>
  <si>
    <t>4/16/26-Completed</t>
  </si>
  <si>
    <t>4/14: TB update, need due date and packaging update
4/6: The change log entries can wait until the Package 4 refresh effort is ready for review.</t>
  </si>
  <si>
    <t>YTO11CA</t>
  </si>
  <si>
    <t>NA-BW to do CAD work</t>
  </si>
  <si>
    <t>Verizon Package creation with benchmark.</t>
  </si>
  <si>
    <t>4/13/2026-completed</t>
  </si>
  <si>
    <t>4/9: Trey completed 4/9
4/9: Trey sent the design for LYH10 that has the benchmark data and Verizon predictions added.</t>
  </si>
  <si>
    <t>Open Po</t>
  </si>
  <si>
    <t>update this design to follow the CCO07/CCO06 design</t>
  </si>
  <si>
    <t>4/14: BW to reach out to Howard for update/due date
4/13: Trey sent revised design for CCO08 with the remotes moved into the FCR. and the passive network rebalanced
4/10: Stephen to work on this next week</t>
  </si>
  <si>
    <t>QRO01 COLO3/4 Cold Shell</t>
  </si>
  <si>
    <t> 4/27/2026</t>
  </si>
  <si>
    <t> 4/23/20</t>
  </si>
  <si>
    <t>4/13:  I updated the BOM pages in the PDF to match the excel breakouts, added the heat maps for the ROIP with only COLO2 connected, and printed the PDFs with the antenna layout page added. 
4/9: CL has scheduled</t>
  </si>
  <si>
    <t>DRB-07 Cancellation: Review Change Log</t>
  </si>
  <si>
    <t>4/14: BW to submit change log
4/14: We’ve been asked by MSFT to review the attached change log and highlight any “quality of life” changes that were included in DRB-07, unrelated to descoping, that should remain in GC scope.</t>
  </si>
  <si>
    <t>DAS Package Support - IFP</t>
  </si>
  <si>
    <t>4/16/26-completed</t>
  </si>
  <si>
    <t>4/14: Katie to revise proposal, only 24 hours for QA-QC and support 
4/14: Jacobs did this set, waiting to see if anything is needed from S2A.</t>
  </si>
  <si>
    <t>No Contract</t>
  </si>
  <si>
    <t>DAS Package Support - IFC</t>
  </si>
  <si>
    <t>4/17: Submit QA-QC form</t>
  </si>
  <si>
    <t>ISSUE DRB01 to AHJ and DCE</t>
  </si>
  <si>
    <t>5/15/2026-completed</t>
  </si>
  <si>
    <t>5/11: Katie get update from BW
4/28: This is a reprint.</t>
  </si>
  <si>
    <t>CCO08CA</t>
  </si>
  <si>
    <t>DRB01 Review Set</t>
  </si>
  <si>
    <t>4/20-Completed</t>
  </si>
  <si>
    <t>Site Visit Report</t>
  </si>
  <si>
    <t>4/22: Site visit report due after site visit on 4/22</t>
  </si>
  <si>
    <t>CHI05CA</t>
  </si>
  <si>
    <t>CHI11CA</t>
  </si>
  <si>
    <t>ON HOLD: Record docs for PSDAS</t>
  </si>
  <si>
    <t>5/7: Mira L. said, these are on temporary hold
4/28: BW to work on
4/23: Microsoft has requested that we issue RoIP, DAS, and PSDAS record docs for LVL06 and LVL11 even though there are likely to need updates in September.</t>
  </si>
  <si>
    <t>ON HOLD: Record docs for ROIP, DAS, PSDAS</t>
  </si>
  <si>
    <t>5/7: Mira L. said, these are on temporary hold
4/28: BW to work on. DAS and PSDAS needs an update
4/23: Microsoft has requested that we issue RoIP, DAS, and PSDAS record docs for LVL06 and LVL11 even though there are likely to need updates in September.</t>
  </si>
  <si>
    <t>LVL06CA</t>
  </si>
  <si>
    <t>2.Open</t>
  </si>
  <si>
    <t>Record Drawings</t>
  </si>
  <si>
    <t>Postponed until further notice</t>
  </si>
  <si>
    <t>8/17: Katie spoke on the phone with Lee. No new updates, other than saying he would put us in touch with the contractors. He said he would just need a PDF of the record drawings.
7/27: Katie spoke with Lee on the phone, Lee said we won't be getting as-builts but we should set up a time to connect with the contractor to compare models. Still aiming for 8/3 record drawing due date. Lee is sending Katie contacts and said to hold tight on record drawings until we have print instructions. 
6/30: Lee said the game plan is a 6-week record set drawings from 6/23-8/3. However we do not have as-builts. "Last week Skanska seem to think that can be done. I will formally make a request this week. These milestones were created by us so if we need to adjust or if the GC holds us up we can reset expectations." 6/23: Lee Percy sent out a first coorespondence about Record Drawings. No due date yet. 
6/9: Katie reached out to Lee Percy for update as Peter Ngo is no longer with Stantec
5/13: Record drawings currently delayed
5/11: Funding secured. Katie reached out to Stantec to ask about deliverables schedule and meeting schedule. 
5/1: Katie left a vociemail with Carol Lusby asking about funding and sent a follow-up email. 
4/28: Wait until additional funding is secured.</t>
  </si>
  <si>
    <t>Record Drawing Issuance</t>
  </si>
  <si>
    <t>5/21/2026-completed</t>
  </si>
  <si>
    <t xml:space="preserve">5/19: Katie followed up with Sultan to ask about due date and title block. 
5/11: Katie to review and submit. Reached out to Syska for folder access.
5/4: Stephen working on set.
4/30: Please track to have final PDF’s, Models, CAD files and NWC Exports by COB Tuesday. May 12th Issuance Date: 05.14.2026 </t>
  </si>
  <si>
    <t>Record doc for All systems</t>
  </si>
  <si>
    <t>5/5/2026-Completed</t>
  </si>
  <si>
    <t>4/30: BW Completing CADs</t>
  </si>
  <si>
    <t>5/1/2026: BW Finished Record set.
4/30: BW added, and working on this deliverable 
4/30: BW added, and working on this deliverable</t>
  </si>
  <si>
    <t>Commercial DAS design updates and CADs</t>
  </si>
  <si>
    <t xml:space="preserve">TBD </t>
  </si>
  <si>
    <t xml:space="preserve">7/17: Leticia sent contract
7/6: Leticia said they are currently working on the 30% and DAS will be later in the project
6/3: Leticia send she would send the contract to us the week of the 22nd
6/1: Katie followed up with Leticia.
5/26: Katie followed up with Leticia. Will set up mtg tomorrow if we don't hear back.
5/22: Leticia will have an update for us next week
5/21: Katie reached out again
5/13: Katie reached out again
5/11: Katie reached out again
5/1: Katie reached out to full Deerns team about floor plan and schedule.
4/30: Stephen to help with design and CADS. Waiting on Deerns to send schedule and updated floor plans. </t>
  </si>
  <si>
    <t>CPQ04DS</t>
  </si>
  <si>
    <t>IFC Submmission</t>
  </si>
  <si>
    <t>5/6/2026-completed</t>
  </si>
  <si>
    <t>BW to print</t>
  </si>
  <si>
    <t>5/11: Katie to double check completed with BW
5/11: Checking with Bram if this was submitted</t>
  </si>
  <si>
    <t>Headend Redesign</t>
  </si>
  <si>
    <t>5/13/2026-complete</t>
  </si>
  <si>
    <t>5/15: Trey sent revised drawings to Harold
5/11: Trey begins work and will have back to S2A on Wednesday, 5/13. Just updating the last package we submitted, but not the CADs.  Please cloud the changes.</t>
  </si>
  <si>
    <t>ROU Update</t>
  </si>
  <si>
    <t>5/15: Trey sent revised drawings to Harold
5/11: Trey begins work and will have back to S2A on Wednesday, 5/13. Just updating the last package we submitted, but not the CADs.  Please cloud the changes.</t>
  </si>
  <si>
    <t>7/8: Katie getting folder access from Andrew K
6/26: Stephen to have back to S2A on 7/2
6/17: Katie getting quote from Stephen/CL.
6/16: S2A received as-built drawings
6/9: Katie reached out to Tadgh Spillane (Walsh) for as-builts timeline
6/3: Andrew Krebs asked up for a schedule of when the contractor should have as-builts to us for record drawings
5/26: Katie asked Andrew Krebs and Yolanda Taylor for deliverables schedule</t>
  </si>
  <si>
    <t>7/27: Ericsson signal source was installed this week for Verizon and the integration/Cx will start next week.
6/8: Katie reached back out to Cris
6/3: Katie reached back out to Cris
5/26: Katie asked Cris Landfeld for deliverables schedule</t>
  </si>
  <si>
    <t>PHX13</t>
  </si>
  <si>
    <t>6/16: Katie met with Jacobs team. 6/10: Katie to complete
6/8/: Katie will send markups to Bart Spencer's team to create record set.
5/26: Katie to work on this
5/26: S2A confirmed we had redlines. Katie asked Andrea for deliverables schedule. Jacobs did the CADs. S2A will need to:
- Download the Redlines &amp; let the Jacobs team know that they did the CAD drawings. S2A will provide redlines on what needs to change from the IFC issuance.
- Compare Asbuilds/Redlines to the IFC set which was used for construction. (look at Record Drawings TB to get the right issuance)
- Cloud each change on the IFC set and explain what needs to be changed on each page.
- Create a table with each drawing name and a description of what needs to be addressed on each page.</t>
  </si>
  <si>
    <t>DRB-01 IFC</t>
  </si>
  <si>
    <t>6/11/2026-Complete</t>
  </si>
  <si>
    <t>-Stephen to complete EOD 5/10, or 5/11
With the City having approved CCO08 DRB-01 IFP, I have scheduled CCO08 DRB-01 IFC for June 16th so we can issue this last AE deliverable and begin project close-out.</t>
  </si>
  <si>
    <t>8/10: Received as-builts. 8/6: Katie reached out to Bruno for second time about as-builts expected this week
8/4: Should receive as-builts from contractor
7/27: Still have not received as-builts
7/7: Grace confirmed on 6/26 that there are no as-builts yet
6/9: Katie asked Harold if we can assign/schedule record drawings</t>
  </si>
  <si>
    <t>4.Invoice</t>
  </si>
  <si>
    <t>8/26/2026-complete</t>
  </si>
  <si>
    <t>8/20: Stephen updating title block, S2A has specs
7/17: Will receive print instructions two weeks before due date
6/26: Stephen to have back to S2A on 7/2
6/17: Katie getting quote from Stephen/CL.</t>
  </si>
  <si>
    <t>Review Record Drawings</t>
  </si>
  <si>
    <t>6/17: Katie asked Mahima for due date</t>
  </si>
  <si>
    <t>7/7: S2A meeting with Jacobs, unless postponed to Wednesday
7/3: Katie sent markups to Jacobs
6/22: Katie send PHX13 markups to Bart Spencer</t>
  </si>
  <si>
    <t>Well House - QRO01 Colo EXP Design</t>
  </si>
  <si>
    <t>7/8/2026-Complete</t>
  </si>
  <si>
    <t>7/8: Harold to answer questions about well house/DAS</t>
  </si>
  <si>
    <t>7/24/2026-completed</t>
  </si>
  <si>
    <t>7/21: Katie to update DAS IFR TB in BB and submit
7/17: Stephen to upload today
7/14: **GET PRINT INSTRUCTIONS BEFORE STEPHEN LEAVES** Harold to ask Stephen to do CADs, edited scope incorporated into the design to add DAS/ROIP to well house, will most likely not make peer review but will make 100% deadline on 7/24</t>
  </si>
  <si>
    <t>8/13: Received print instructions
8/12: Bram reviewed Katie's markups. Bram to match markups to RFI/submittals.
7/15: In MSFT court, may receive comments</t>
  </si>
  <si>
    <t>9/10: Reached out to Howard Way again for record drawings
7/22: Stephen to complete</t>
  </si>
  <si>
    <t>QRO01 IFC Package - Peer Review</t>
  </si>
  <si>
    <t>8/24/2026-Postponed until further notice</t>
  </si>
  <si>
    <t>8/28: Print for IFC
8/21: Print for peer review
7/27: DAS CADs need to be updated with correct TB information</t>
  </si>
  <si>
    <t>Drawing Specs</t>
  </si>
  <si>
    <t xml:space="preserve">7/27: Submit specs by the EOD Wednesday
7/24: Katie sent specs to Bart and Nick </t>
  </si>
  <si>
    <t>PHX73 IFC Package</t>
  </si>
  <si>
    <t>8/5/2026-Completed</t>
  </si>
  <si>
    <t>7/29: Jacobs (Julie) confirmed they are submitting. Katie asked to review before final submission. 
7/28: Katie to reach out to Jacobs to send packages to S2A ASAP for review before getting submitted on 8/5
7/24: Katie confirming with Jacobs they are to submit drawing packages</t>
  </si>
  <si>
    <t>QRO01 IFC Package - Print for IFC</t>
  </si>
  <si>
    <t>8/28/2026-Postponed until furhter notice</t>
  </si>
  <si>
    <t>YQB01</t>
  </si>
  <si>
    <t>9/10: Katie met with Rosa, still awaiting DAS as-builts. Stephen to do record drawings</t>
  </si>
  <si>
    <t>YQB01 DCN</t>
  </si>
  <si>
    <t>YQB06 DCN</t>
  </si>
  <si>
    <t xml:space="preserve">Notes: </t>
  </si>
  <si>
    <t>Morrison Hershfield
(Stantec)</t>
  </si>
  <si>
    <t>requests a follow up email when answering.  Said BlueBeam doesn't always send a notification when something is answered.</t>
  </si>
  <si>
    <t>SAT Projects:</t>
  </si>
  <si>
    <t>FOLLOW PAGE GUIDELINES!!! - And add 'S2A' to the file name when responding.</t>
  </si>
  <si>
    <t>Send a follow up email confirming responded to in BB.   LVL / AVC, etc.</t>
  </si>
  <si>
    <t xml:space="preserve">Refer to YTO40CA guidelines PDF. </t>
  </si>
  <si>
    <t>Added</t>
  </si>
  <si>
    <t>Project</t>
  </si>
  <si>
    <t>Description</t>
  </si>
  <si>
    <t xml:space="preserve">Due </t>
  </si>
  <si>
    <t>Completed Date</t>
  </si>
  <si>
    <t>RFI266.1 Voltage types for ROIP</t>
  </si>
  <si>
    <t>BW completed 1/27</t>
  </si>
  <si>
    <t>AVC01</t>
  </si>
  <si>
    <t>AVC01: Action Required for Submittal (#663.0: MC Dean - DAS COLO 3 As-Builts)</t>
  </si>
  <si>
    <t>Completed 7/23</t>
  </si>
  <si>
    <t>7/23: Hector Hernandez sent reminder</t>
  </si>
  <si>
    <t>AVC43 due 7/12:  AVC 43 RFI 27.012.0 - FCR PDAS Cabinet Location - 22-60846 - due 7/12.</t>
  </si>
  <si>
    <t xml:space="preserve">Completed </t>
  </si>
  <si>
    <t>IAD03</t>
  </si>
  <si>
    <t>275019-22.1 - NTI, IAD03 DAS Closeout</t>
  </si>
  <si>
    <t>Completed-7/19</t>
  </si>
  <si>
    <t>IAD11 due 7/16: 275019-13.1 - RoIP, Cellular, &amp; Public Safety DAS Final Closeout Package</t>
  </si>
  <si>
    <t>LVL11 due 7/22: LVL11-273241-007-R0 - (ComNet) - PSDAS System Des - 22-60853</t>
  </si>
  <si>
    <t>PHX13 CA</t>
  </si>
  <si>
    <t>PHX13 CA - D3127062 - Submittal 273241-001 - DAS System - due 7/23</t>
  </si>
  <si>
    <t>Completed 7/21</t>
  </si>
  <si>
    <t>PHX13 CA - D3127062 - Submittal 275019-002-00 - DAS System - due 7/23</t>
  </si>
  <si>
    <t>QRO06?</t>
  </si>
  <si>
    <t>QRO06? Due ?. Email from 7/9 at 12pm - 'LOTE 10 - Issue #7433'</t>
  </si>
  <si>
    <t>RFI #00136. PS DAS potential changes. Has this been picked up?</t>
  </si>
  <si>
    <t>Completed - 7/22</t>
  </si>
  <si>
    <t>Bram Responded 7/22</t>
  </si>
  <si>
    <t>SAT40 overdue? Submittal SUM-01389</t>
  </si>
  <si>
    <t>D3128083 - Submittal 273241-028-00 - ROIP CLOSEOUT PACKAGE</t>
  </si>
  <si>
    <t>Completed-7/23</t>
  </si>
  <si>
    <t>SAT80</t>
  </si>
  <si>
    <t xml:space="preserve">RFI#20827 ERRCS frequences-in progress. </t>
  </si>
  <si>
    <t>7/31 HS indicated he completed this one.</t>
  </si>
  <si>
    <t>647.1 MC Dean - COLO 3 DAS Warranty R1</t>
  </si>
  <si>
    <t>RFI# 0350 TeamLinx - Signal Source Options</t>
  </si>
  <si>
    <t>Complete-7/23</t>
  </si>
  <si>
    <t>Harold completed 7/23.</t>
  </si>
  <si>
    <t>IAD04</t>
  </si>
  <si>
    <t>21-004233 - IAD04 Loudoun County VA - Submittal Forwarded: 275019-2.0 - PS-DAS SD</t>
  </si>
  <si>
    <t>Complete-7/26</t>
  </si>
  <si>
    <t>HS Note: need the Syska electrical team to confirm that they called for a dedicated electrical circuit for the PSDAS equipment</t>
  </si>
  <si>
    <t>RFI-00136-R1 - PS DAS Potential Changes - Microsoft SAT40 Design</t>
  </si>
  <si>
    <t>Complete-7/30</t>
  </si>
  <si>
    <t>Bram responded</t>
  </si>
  <si>
    <t>21-004233 - IAD04 Loudoun County VA - RFI Forwarded: RFI 00551 - FCR Extra Rack R5</t>
  </si>
  <si>
    <t>PHX2-DC1 Mercury Fit-Out: New RFI 171 (DAS Design Deficiencies *HOT*)</t>
  </si>
  <si>
    <t>Completed by bram 7/30</t>
  </si>
  <si>
    <t>RFI #513 - DAS / Telecom - DAS Wall Rack conflict with air quality equipment has been reopened.</t>
  </si>
  <si>
    <t>Not for S2A</t>
  </si>
  <si>
    <t>21-004233 - IAD04 Loudoun County VA - RFI Forwarded: RFI 00555 - COLO Aisle Door 1100.1A Magnetic Holder</t>
  </si>
  <si>
    <t>LVL09-273241-008-R0 - (IES) - COLO2 and 3 - DAS a - 21-60832</t>
  </si>
  <si>
    <t>Completed 8/15,8/22</t>
  </si>
  <si>
    <t>051200-19.0 - Shop Drawings - Phase 5 &amp; 6  -  Stair 3 Antenna Wall  - mounting questions</t>
  </si>
  <si>
    <t>AVC17-18</t>
  </si>
  <si>
    <t>MSFT - AVC17/18: New RFI 47 (PDAS Locations)</t>
  </si>
  <si>
    <t>Completed 8/14</t>
  </si>
  <si>
    <t>Submittal #27 32 41-1 Revision 0: ROIP Design Package - Radio over IP</t>
  </si>
  <si>
    <t>HS requested S2A to be removed.</t>
  </si>
  <si>
    <t>Submittal #27 50 15-1 Revision 0: DAS Design Package - DAS Cabling</t>
  </si>
  <si>
    <t>Moved back to open status 8/13.</t>
  </si>
  <si>
    <t>273241-30.1 - NTI, IAD03 RoIP Closeout</t>
  </si>
  <si>
    <t>Completed - 8/8 BW</t>
  </si>
  <si>
    <r>
      <t>RFI</t>
    </r>
    <r>
      <rPr>
        <sz val="11"/>
        <color rgb="FF242424"/>
        <rFont val="Segoe UI"/>
        <family val="2"/>
      </rPr>
      <t xml:space="preserve"> </t>
    </r>
    <r>
      <rPr>
        <sz val="11"/>
        <color rgb="FF000000"/>
        <rFont val="Segoe UI"/>
        <family val="2"/>
      </rPr>
      <t>0319</t>
    </r>
    <r>
      <rPr>
        <sz val="11"/>
        <color rgb="FF242424"/>
        <rFont val="Segoe UI"/>
        <family val="2"/>
      </rPr>
      <t xml:space="preserve"> - TeamLinx - RoIP E-House Coverage - MS SAT15 Design</t>
    </r>
  </si>
  <si>
    <t>LVL09-273241-009-R0 - (IES) - ROIP As-Builts Draw - 21-60832</t>
  </si>
  <si>
    <t>IAD04 Loudoun County VA 275019-1.1 - Cellular DAS SD</t>
  </si>
  <si>
    <t>Complete 8/13</t>
  </si>
  <si>
    <t>RFI#00278 DAS Verizon RBA</t>
  </si>
  <si>
    <t>SAT14CA</t>
  </si>
  <si>
    <t>275019-012 - Comm Systems DAS - Cell DAS As-Builts - CLAB - MS SAT14 CA</t>
  </si>
  <si>
    <t>LVL10-270519-004-R1 - (ComNet) - PSDAS System Equ - 22-60848</t>
  </si>
  <si>
    <t>AVC09</t>
  </si>
  <si>
    <t>AVC09 eFemto integration question regarding corp account login</t>
  </si>
  <si>
    <t>Completed 8/19</t>
  </si>
  <si>
    <t>RFI 1236 - Teamlinx - ERRCS Remote COLO1- Relocation - MS SAT14 CA</t>
  </si>
  <si>
    <t>AVC43 Submittal 27 50 19-2.0 - IES PS DAS Submitt - 22-60846 - Submittal # 272073-04</t>
  </si>
  <si>
    <t>AVC43 Submittal 27 50 19-2.0 - IES PS DAS Submitt - 22-60846 - Submittal # 272073-05</t>
  </si>
  <si>
    <t>RFI-00228 - ERRCS Active Equipment Nema Rating - Microsoft SAT40 Design</t>
  </si>
  <si>
    <t>BW answered</t>
  </si>
  <si>
    <t>QRO01 - PCO 117 DAS - FCR Cabinet Relocation per RFI 619 Response</t>
  </si>
  <si>
    <t>GC requesting change order - HS Responded 8/20</t>
  </si>
  <si>
    <t>DAS Cell Coverage Issues. (Not S2A's issue but we want to track it.) - HS checking back with contractor week of 9/16.</t>
  </si>
  <si>
    <t>10/22: Closed per HS 10/22 - in the owners court to resolve.</t>
  </si>
  <si>
    <t>RFI-00241 - Carrier Signal Sources - Microsoft SAT40 Design</t>
  </si>
  <si>
    <t>Bram completed 8/25</t>
  </si>
  <si>
    <t xml:space="preserve">Submittal 275019-001-00 - ERRCS Systems </t>
  </si>
  <si>
    <t>Completed 8/30</t>
  </si>
  <si>
    <t>Submittal 275019-002-01 - DAS System (PSDAS Design)</t>
  </si>
  <si>
    <t>LVL06 RFI 357 - Antennae and Splitter Location Co - 23-60857</t>
  </si>
  <si>
    <t>Issue #861 - OVERALL SITE PLAN</t>
  </si>
  <si>
    <t>Complete 8/30</t>
  </si>
  <si>
    <t>Bram answered - ok to mark complete?</t>
  </si>
  <si>
    <t>Issue #862 - FCR REMOTE UNITS</t>
  </si>
  <si>
    <t>Issue #863 - SER EQUIPMENT</t>
  </si>
  <si>
    <t>Issue #864 - OVERALL SITE PLAN</t>
  </si>
  <si>
    <t>Issue #1027 - REMOTE UNIT LOCATION</t>
  </si>
  <si>
    <t>Issue #1028 - EQUIPMENT IN SER</t>
  </si>
  <si>
    <t>Issue #962 - TWO DRAWING PACKAGES</t>
  </si>
  <si>
    <t>Mouna answered - ok to mark complete?</t>
  </si>
  <si>
    <t>Issue #964 - AVC11 COLO3</t>
  </si>
  <si>
    <t>Issue #965 - 1x BASE STATION FOR SECURITY OFFICE</t>
  </si>
  <si>
    <t>Issue #966 - SITE COVERAGE</t>
  </si>
  <si>
    <t>Issue #967 - COVERAGE</t>
  </si>
  <si>
    <t>Issue #968 - COVERAGE</t>
  </si>
  <si>
    <t>Issue #969 - SECURITY OFFICE BASE STATION</t>
  </si>
  <si>
    <t>Issue #970 - BASE STATION LOCATION</t>
  </si>
  <si>
    <t>Issue #971 - CHARGER LOCATION</t>
  </si>
  <si>
    <t>Issue #972 - POWER SUPPLY</t>
  </si>
  <si>
    <t>Issue #973 - EXISTING VS. NEW</t>
  </si>
  <si>
    <t>Issue #974 - SECURITY OFFICE BASE STATION</t>
  </si>
  <si>
    <t>Issue #975 - SECURITY OFFICE BASE STATION</t>
  </si>
  <si>
    <t>Issue #976 - RACK POWER</t>
  </si>
  <si>
    <t>LVL09-273241-011-R1 - (IES)- Admin and COLO 1 to - 21-60832</t>
  </si>
  <si>
    <t xml:space="preserve">RFI 87 - PSDAS Archictecture. </t>
  </si>
  <si>
    <t>D3127072 - Submittal 273241-001-00 - ROIP System</t>
  </si>
  <si>
    <t>D3127072 - Submittal 275019-001-00 - DAS System</t>
  </si>
  <si>
    <t>RFI #404 - EAT03 - ERRCS Design Concerns</t>
  </si>
  <si>
    <t>Completed 9/9</t>
  </si>
  <si>
    <t>See email thread.</t>
  </si>
  <si>
    <t>LVL06 RFI 362 - FCR DAS Cabinet Clarifications - 23-60857</t>
  </si>
  <si>
    <t>AVC43 RFI 27.012.1 - FCR PDAS Cabinet Location - 22-60846</t>
  </si>
  <si>
    <t>LVL07 RFI 96 - CDAS Verizon BDA - 23-60861</t>
  </si>
  <si>
    <t>LVL11-270519-001-R1 - (ComNet)-Das System Equipme - 22-60853</t>
  </si>
  <si>
    <t>HS 9/13 noted as responded to.</t>
  </si>
  <si>
    <t>IAD12-13 | Submittal 055000-2.0_Metal Fabrications_Sure Steel_Antenna Support_SD</t>
  </si>
  <si>
    <t>CPQ3 - 728 - 001-CPQ03-RFI-T-DAS-R01-202409201218</t>
  </si>
  <si>
    <t>Completed 09/23</t>
  </si>
  <si>
    <t>CPQ3 - 739 - 003-CPQ03-RFI-T-DAS-R00</t>
  </si>
  <si>
    <t>CPQ3 - 741 - 004-CPQ03-RFI-T-DAS-R00</t>
  </si>
  <si>
    <t>CPQ3 - RFI 729 - 002-CPQ03-RFI-T-DAS-R00</t>
  </si>
  <si>
    <t>WAMC QRO 01: New RFI 718 (RoIP - Connection between Head End equipment and outdoor antena)</t>
  </si>
  <si>
    <t>Complete-9/20</t>
  </si>
  <si>
    <t>275019-005 - DAS Communication Systems - Cell DAS Benchmark Study - TR</t>
  </si>
  <si>
    <t>09/27: No reminder email received in the am so marking complete. 
09/26: We got another reminder email! 
09/25:  HS re-uploaded</t>
  </si>
  <si>
    <t>AVC43 RFI 27.025.0 - PSDAS Repeater Model Replace - 22-60846</t>
  </si>
  <si>
    <t>BW completed 09/24</t>
  </si>
  <si>
    <t>#27 32 41-11.0: Radio Over IP - Commissioning Document</t>
  </si>
  <si>
    <t>HS completed 09/25</t>
  </si>
  <si>
    <t>LVL05 Record Docs - MSFT request for update</t>
  </si>
  <si>
    <t>HS responded 09/24</t>
  </si>
  <si>
    <t>Submittal 270519-001-R1 (ComNet)-Das System Equipment</t>
  </si>
  <si>
    <t>HS reponsded 09/25</t>
  </si>
  <si>
    <t xml:space="preserve">Submittal 273241-004-R1 (ComNet)-Roip System Design Equipment </t>
  </si>
  <si>
    <t>HS comment  09/26 - not for S2A: S2A – did not provide the RoIP design; unless the client wants our team to review the submittal, as an independent consultant, S2A is going to pass on this ask.</t>
  </si>
  <si>
    <t>AVC43 RFI 27.018.0 - Cell DAS Design Clarificatio - 22-60846 - HOT!</t>
  </si>
  <si>
    <t>09/25: BW emailed Kellee Bell and let her know completed.</t>
  </si>
  <si>
    <t>Submittal #27 50 19-4.0: COMMUNICATION SYSTEM DISTRIBUTED ANTENNA SYSTEM (DAS) - Commissioning</t>
  </si>
  <si>
    <t>Submittal #27 50 19-5.0: COMMUNICATION SYSTEM DISTRIBUTED ANTENNA SYSTEM (DAS) - Commissioning</t>
  </si>
  <si>
    <t>MSF19010 275019-19.0 - Phase 2 Distributed Antena System</t>
  </si>
  <si>
    <t>09/26: HS submitted.</t>
  </si>
  <si>
    <t>LVL09-273241-012-R1 - (IES) - DAS As-Built Drawin - 21-60832</t>
  </si>
  <si>
    <t>Session ID: 868-911-489 - Neither BW/KP can access anymore - KP emailed Kbell to confirm if open or not. 10/16: KBelll confirmed submitted 10/14.</t>
  </si>
  <si>
    <t>WAMC QRO 01: (#27 32 41-2.0: Radio Over IP - Frequency License Documentation)</t>
  </si>
  <si>
    <t>HS completed 10/10.</t>
  </si>
  <si>
    <t>LVL06 RFI 383 - Donor Antenna Placement - 23-60857 Session ID: 515-807-717</t>
  </si>
  <si>
    <t>Session ID: 515-807-717 HS completed 10/21</t>
  </si>
  <si>
    <t>LVL09-273241-013-R1 - (IES) - ROIP As-Built Drawi - 21-60832</t>
  </si>
  <si>
    <t>Session ID: 455-748-724</t>
  </si>
  <si>
    <t>CHI22 Franklin Park - MSF19010 - Design 275019-21.0 - Phase 2 Distributed Antenna System - PS SD</t>
  </si>
  <si>
    <t>HS emailed response 10/16</t>
  </si>
  <si>
    <t>CHI22 Franklin Park - MSF19010 - Design275019-20.0 - Phase 2 Distributed Antenna System - Commercial SD</t>
  </si>
  <si>
    <t>LVL11 RFI 330 - (ComNet) - FCR DAS RACK (CN).pdf - 22-60853</t>
  </si>
  <si>
    <t>Session ID: 861-904-615 BW completed 10/16</t>
  </si>
  <si>
    <t>275019-014 - DAS Communication Systems - Comba Substitution - PD</t>
  </si>
  <si>
    <t>HS responded 10/15.</t>
  </si>
  <si>
    <t>RFI 0511_COMM DAS &amp; PS DAS IFC_Issue for Bid_Registration</t>
  </si>
  <si>
    <t>BW completed 10/16</t>
  </si>
  <si>
    <t>LVL09-273241-013-R2 - (IES) - ROIP As-Built Drawi - 21-60832 Session ID: 293-421-015</t>
  </si>
  <si>
    <t>Session ID: 293-421-015 HS completed 10/21</t>
  </si>
  <si>
    <t>LVL11-273241-006-R1 - (ComNet) - DAS System Design - 22-60853 Session ID: 086-967-332</t>
  </si>
  <si>
    <t>Session ID: 086-967-332 HS completed 10/21.</t>
  </si>
  <si>
    <t>273241-21.0 - Radio Over IP PD</t>
  </si>
  <si>
    <t>HS completed 10/22</t>
  </si>
  <si>
    <t>273241-22.0 - Phase 2 Radio Over IP - Block Diagrams SD</t>
  </si>
  <si>
    <t>273241-23.0 - Phase 2 Radio Over IP - Cable Route Diagrams SD</t>
  </si>
  <si>
    <t>LVL09-270010-007-R1 - (IES) - Telecom COLO3 Warra - 21-60832 Session ID: 603-181-272</t>
  </si>
  <si>
    <t>Session ID: 603-181-272 HS completed 10/21</t>
  </si>
  <si>
    <t>LVL11-273241-006-R1 - (ComNet) - DAS System Desig - 22-60853 Session ID: 086-967-332</t>
  </si>
  <si>
    <t>YTO11 RFI 412 - see email from Peter Ngo 10/25 re spare batteries.</t>
  </si>
  <si>
    <t>HS completed 10/23.</t>
  </si>
  <si>
    <t>YTO11 RFI 413</t>
  </si>
  <si>
    <t>RFI 00267 - FCR Room EPMS-BAS Gateway Panel Location - A McClung arranging conf call to discuss</t>
  </si>
  <si>
    <t>BW working on 10/24</t>
  </si>
  <si>
    <t>RFI 0447 - Teamlinx - Donor Cabling Supports In Admin</t>
  </si>
  <si>
    <t>HS completed 10/25</t>
  </si>
  <si>
    <t>RFI 0449 - TeamLinx - Alternative Signal Source</t>
  </si>
  <si>
    <t>IAD11-12</t>
  </si>
  <si>
    <t>RFI 0528_IAD 13 ROU Remote Quantity</t>
  </si>
  <si>
    <t>BW completed 10/24</t>
  </si>
  <si>
    <t>RFI 1303 - Teamlinx - Conduit for DAS Fiber in Colo1 &amp; Colo2</t>
  </si>
  <si>
    <t>LVL07 RFI 215 - Telecom Labeling CDAS - 23-60861</t>
  </si>
  <si>
    <t>LVL07 Submittal 216 - Telecom Labeling PSDAS - 23-60861</t>
  </si>
  <si>
    <t>RFI 00266 - Voltage and Plug Types for ROIP Power</t>
  </si>
  <si>
    <t>RFI 0441 - TeamLinx - CEI CE1-4 Rack Mounting and Door Orientation</t>
  </si>
  <si>
    <t>HS completed 10/25 - asked A/E to reroute - no scope for S2A</t>
  </si>
  <si>
    <t>LVL06 Submittal 408 - IES O&amp;amp;Ms - 23-60857</t>
  </si>
  <si>
    <t>HS confirmed completed 10/30.</t>
  </si>
  <si>
    <t>LVL09-270010-006-R1 - (IES) - Telecom COLO2 Warra - 21-60832</t>
  </si>
  <si>
    <t>BW completed 10/30.</t>
  </si>
  <si>
    <t>LVL09-270010-008-R1 - (IES) - Telecom COLO4 Warra - 21-60832</t>
  </si>
  <si>
    <r>
      <rPr>
        <sz val="11"/>
        <color rgb="FF000000"/>
        <rFont val="Arial"/>
        <family val="2"/>
      </rPr>
      <t xml:space="preserve">D3127072 - Submittal 275019-002-00 - ERRCS System - </t>
    </r>
    <r>
      <rPr>
        <i/>
        <sz val="11"/>
        <color rgb="FF000000"/>
        <rFont val="Arial"/>
        <family val="2"/>
      </rPr>
      <t xml:space="preserve">A/E provided guidance to return not approved. </t>
    </r>
  </si>
  <si>
    <t>BW completed 11/7</t>
  </si>
  <si>
    <t>RFI 0459 - TeamLinx - RoIP Recommendations</t>
  </si>
  <si>
    <t>HS completed 10/31</t>
  </si>
  <si>
    <t>RFI-848 - DAS Outdoor antennas position</t>
  </si>
  <si>
    <t>Submittal 241 - PSDAS BOM - 23-60861</t>
  </si>
  <si>
    <t>Submittal 275019-001-0 - Communication Systems Distributed Antenna Systems - Product Data</t>
  </si>
  <si>
    <t>LHY10</t>
  </si>
  <si>
    <t>RFI LYH10 - 000408 - DRB08 Fiber Jumper Conduit Sizes.</t>
  </si>
  <si>
    <t>LVL09-270010-022-R1 - (IES) - Telecom COLO5 Warra - 21-60832</t>
  </si>
  <si>
    <t xml:space="preserve">K Belle confirmed BW responded. </t>
  </si>
  <si>
    <t>Overdue RFI/Submittl Log Review</t>
  </si>
  <si>
    <t>HS completed 11/7</t>
  </si>
  <si>
    <t>Review of Change Log</t>
  </si>
  <si>
    <t>RFI 403 - LVL01 DAS Fiber Connection - 23-60857</t>
  </si>
  <si>
    <t>Submittal 252R1</t>
  </si>
  <si>
    <t>LVL06 RFI 403-REOPEN - LVL01 DAS Fiber Connection - 23-60857</t>
  </si>
  <si>
    <t>BW completed 11/8</t>
  </si>
  <si>
    <t>LVL07 RFI 129 - CDAS rPDU - 23-60861 - Session ID: 975-976-294</t>
  </si>
  <si>
    <t>BW completed 11/13</t>
  </si>
  <si>
    <t>MSFT YTO11 RFI 506</t>
  </si>
  <si>
    <t>BW complete 11/12</t>
  </si>
  <si>
    <t>MSFT YTO11 RFI 507</t>
  </si>
  <si>
    <t>BW complete 11/11</t>
  </si>
  <si>
    <t>MSFT YTO11 RFI 508</t>
  </si>
  <si>
    <t>MSFT YTO11 Submittal 252R1</t>
  </si>
  <si>
    <t>BW completed 11/12</t>
  </si>
  <si>
    <t>RFI PH2-0968 - SAT 80 - TELE - Antenna Location at SAT 80 Admin</t>
  </si>
  <si>
    <t>275019-22.0 - Phase 2 Distributed Antenna System - DAS Benchmark Study</t>
  </si>
  <si>
    <t>275019-1.0_Distributed Antenna System_IAD 12-13_SD</t>
  </si>
  <si>
    <t>LHY10 Submittal 321 Radio Over IP Product Data - &lt;Need RFI details from A/E&gt;</t>
  </si>
  <si>
    <t>11/14: HS requested A/E send RFI to KP/BW</t>
  </si>
  <si>
    <t>LVL11 RFI 365 - (ComNet) - MISSING DASROIP CONDUI - 22-60853</t>
  </si>
  <si>
    <t>NOT S2A scope</t>
  </si>
  <si>
    <t>PHX14 CA - D3127072 - Submittal 275019-002-01 - ERRCS System</t>
  </si>
  <si>
    <t>11/20: BW completed.</t>
  </si>
  <si>
    <t>Notification went to Bram, not to KP.  Need details.</t>
  </si>
  <si>
    <t>12/10: Bram emailed Jason confirming responded on 11/18 that it should be reaassigned to DW.</t>
  </si>
  <si>
    <t>RFI 00688 - Roof Antenna Coaxial Cable Grounding</t>
  </si>
  <si>
    <t>KP uploaded BW's response 11/26.</t>
  </si>
  <si>
    <t>MSFT YTO11 RFI 535</t>
  </si>
  <si>
    <t>RFI-00450 - Clarification on Backing for DAS Scope and TVs</t>
  </si>
  <si>
    <t>HS/BW completed 11/26</t>
  </si>
  <si>
    <t>RFI PH2-0976 - SAT 80 PKG 2 - COMM/ELE - DAS remote locations &amp; power</t>
  </si>
  <si>
    <t>AVC17/18: New RFI 168 (DAS iBwave Files)</t>
  </si>
  <si>
    <t>PHX12 CA - D3127052 - Submittal 270519-003-00 - Admin &amp; COLO 1 ERRCS System As-Built Drawings</t>
  </si>
  <si>
    <t>BW completed 12/4</t>
  </si>
  <si>
    <t>PHX71 CA - D3127032 - Submittal 273241-001-00 - Radio Over IP - O&amp;M</t>
  </si>
  <si>
    <t>BW completed 12/3</t>
  </si>
  <si>
    <t>PHX71 CA - D3127032 - Submittal 275019-008-00 - Distributed Antenna System - O&amp;M's</t>
  </si>
  <si>
    <t>YQB04 DATA CENTER: Response to RFI #848</t>
  </si>
  <si>
    <t>MSFT YTO11 Substitution 32</t>
  </si>
  <si>
    <r>
      <t xml:space="preserve">CHI05 Hoffman - Design - Submittal Forwarded: 27 32 14-101.0_Radio Over IP - PD - Submittal - </t>
    </r>
    <r>
      <rPr>
        <i/>
        <sz val="11"/>
        <color rgb="FF000000"/>
        <rFont val="Aptos"/>
        <family val="2"/>
      </rPr>
      <t>Bram emailed Y Taylor 12/10 that completed on Newforma but Newforma site not reflecting any updates.</t>
    </r>
  </si>
  <si>
    <t>KP no email reminder received 12/13.  Marking complete. BW confirmed completed 12/10.</t>
  </si>
  <si>
    <t>CHI05 Hoffman - Design - Submittal Forwarded: 27 50 19-101.0_Distributed Antenna</t>
  </si>
  <si>
    <t>BW completed 12/5.</t>
  </si>
  <si>
    <t>CHI11 Busse - Design - RFI Forwarded: CHI11 RFI 0126 - CHI11 DAS Wall Enclosure</t>
  </si>
  <si>
    <t>RFI 0568_DAS Fiber Housing Discrepancy - Microsoft_Loudoun County IAD12 &amp; IAD13 AE Design - see request from A/E 12/11 to review Hensel Phelps follow up for information.</t>
  </si>
  <si>
    <t>KP responded 12/11 to reroute to telecom team.</t>
  </si>
  <si>
    <t>YTO11 Submittal 269R1</t>
  </si>
  <si>
    <t>HS completed 12/5</t>
  </si>
  <si>
    <t xml:space="preserve">YTO11 Submittal 270R1 - A/E requesting emailed copy of response. </t>
  </si>
  <si>
    <t>YTO11 Submittal 559 - HS setting up call with contractor</t>
  </si>
  <si>
    <t>HS setting up call with contractor.</t>
  </si>
  <si>
    <t>LVL10 RFI 351 - (WA) - Fire Rated Conduit and CAT - 22-60848</t>
  </si>
  <si>
    <t>BW completed 12/9</t>
  </si>
  <si>
    <r>
      <t xml:space="preserve">PCO 106 - RFI 528 - IAD 13 ROU Remote Quantity - </t>
    </r>
    <r>
      <rPr>
        <i/>
        <sz val="11"/>
        <color rgb="FF000000"/>
        <rFont val="Aptos"/>
        <family val="2"/>
      </rPr>
      <t xml:space="preserve">see email note from Bram 12/10 regarding the  potential miss/potential cost. </t>
    </r>
  </si>
  <si>
    <t>HS answered 12/12</t>
  </si>
  <si>
    <r>
      <t xml:space="preserve">ROIP Submittal - </t>
    </r>
    <r>
      <rPr>
        <i/>
        <sz val="11"/>
        <color rgb="FF000000"/>
        <rFont val="Aptos"/>
        <family val="2"/>
      </rPr>
      <t xml:space="preserve">need details - KP reached out to Alma/Fernando 12/12 </t>
    </r>
  </si>
  <si>
    <r>
      <t xml:space="preserve">	
Submittal 27 50 19.1-1 - </t>
    </r>
    <r>
      <rPr>
        <i/>
        <sz val="11"/>
        <color rgb="FF000000"/>
        <rFont val="Aptos"/>
        <family val="2"/>
      </rPr>
      <t>BW requests HS to answer.</t>
    </r>
  </si>
  <si>
    <t>RFI 1179 - VHF BDA System Installation</t>
  </si>
  <si>
    <t>HS completed 12/12.</t>
  </si>
  <si>
    <t>RFI 0222 - request for frequencies to be used.</t>
  </si>
  <si>
    <t>HS responded via email 12/12</t>
  </si>
  <si>
    <t>LVL07 RFI 153 - CDAS AT&amp;T - 23-60861 Session ID: 422-412-485</t>
  </si>
  <si>
    <t xml:space="preserve">PHX71 CA - D3127032 - Submittal 273241-007-00 - E2 Optics, PHX71 - ROIP OSP Fiber, Test Report - </t>
  </si>
  <si>
    <t>HS completed 12/13, again on 12/17.</t>
  </si>
  <si>
    <t>Submittal #27 32 41-2.0: Radio Over IP - Shop Drawings</t>
  </si>
  <si>
    <t>HS responded 12/20</t>
  </si>
  <si>
    <t>PHX12 CA - D3127052 - Submittal 273241-003-00 - ROIP System As-Built - FOR YOUR REVIEW</t>
  </si>
  <si>
    <t>PHX12 CA - D3127052 - Submittal 275019-004-00 - Commercial DAS System As-Built</t>
  </si>
  <si>
    <t>HS completed 12/20</t>
  </si>
  <si>
    <t>P2 - 275019-013 - DAS - Equipment - SD_PD</t>
  </si>
  <si>
    <t>BW completed 12/24</t>
  </si>
  <si>
    <t>LVL07 Submittal 277 - PSDAS Product Data - 23-60861</t>
  </si>
  <si>
    <t>BW answered 12/19.</t>
  </si>
  <si>
    <t>LVL07 Submittal 278 - CDAS BOM - 23-60861</t>
  </si>
  <si>
    <t>LVL07 Submittal 279 - CDAS Product Data - 23-60861</t>
  </si>
  <si>
    <t>WAMC QRO 01: Approver Jair Rangel Updated their Response for Submittal (#27 32 41-11.3: Radio Over IP - Commissioning Document)</t>
  </si>
  <si>
    <t>kp can't access BB link</t>
  </si>
  <si>
    <t>270010.01-004 - General
Provisions for Communications
Systems - Operation &amp;
Maintenance Data</t>
  </si>
  <si>
    <t xml:space="preserve">PH2-1005 - SAT 80 to SAT 81 Intra building fiber
</t>
  </si>
  <si>
    <t>BW answered 12/20</t>
  </si>
  <si>
    <t>MSFT YTO11 RFI 609</t>
  </si>
  <si>
    <t>Harold completed 12/19.  And re-responded 1/10.</t>
  </si>
  <si>
    <t>MSFT YTO11 RFI 610</t>
  </si>
  <si>
    <t>21-004233 - IAD04 Loudoun County VA - RFI Forwarded: RFI 0716- Cellular DAS RBA Rejection</t>
  </si>
  <si>
    <t>BW answered 12/20.</t>
  </si>
  <si>
    <t>275019-014-0 E2 Optics, PHX71 - DAS ISP Fiber, Test Report</t>
  </si>
  <si>
    <t>HS completed 12/24</t>
  </si>
  <si>
    <t>D3127042 - Submittal 273241-002-00 - Radio Over IP - Cable Alternative</t>
  </si>
  <si>
    <t>HS completed 12/27</t>
  </si>
  <si>
    <t xml:space="preserve">D3127042 - Submittal 275019-002-00 - Distributed Antenna System (DAS) - Cable Alternative </t>
  </si>
  <si>
    <r>
      <t xml:space="preserve">Session ID 235-586-876 OO_CA Best Practices.PDF - </t>
    </r>
    <r>
      <rPr>
        <i/>
        <sz val="11"/>
        <color rgb="FF000000"/>
        <rFont val="Aptos"/>
        <family val="2"/>
      </rPr>
      <t>KP reached out to inquire what's required on this one.</t>
    </r>
  </si>
  <si>
    <t xml:space="preserve">Session was initiated just to provide access to Bram/myself for the YTO11 project. No action needed. </t>
  </si>
  <si>
    <t>27 32 41-1.0: Radio Over IP - Equipment and Product Data - not in S2A's court - visibility only</t>
  </si>
  <si>
    <t>1/19/25: HS noted as done. 1/2/25: Still in IES's court. Timeline extended beyond 12/30.</t>
  </si>
  <si>
    <t>27 50 19-2.0: DAS - Equipment and Product Data - not in S2A's court - visibility only</t>
  </si>
  <si>
    <t xml:space="preserve"> LVL07 Submittal 284 - CDAS Benchmark Study Test P - 23-60861</t>
  </si>
  <si>
    <t>BW completed 12/27</t>
  </si>
  <si>
    <t>LVL07 Submittal 282 - CDAS Coax Test Plan - 23-60861</t>
  </si>
  <si>
    <t>LVL07 Submittal 283 - PSDAS Coax Test Plan - 23-60861</t>
  </si>
  <si>
    <t>SAT80-81</t>
  </si>
  <si>
    <t>RFI PH2-1006 - SAT 80/81 - DAS PS - Donor Antenna Location (RFI PH2-0982)</t>
  </si>
  <si>
    <t>BW Completed 12/24</t>
  </si>
  <si>
    <t>PSDAS Shop Drawings - Submittal</t>
  </si>
  <si>
    <t>BW - add to list 12/30</t>
  </si>
  <si>
    <t>LVL10-273241-006-R1 - (ComNet) - ROIP Closeout Pa - 22-60848 - Session ID: 156-885-945</t>
  </si>
  <si>
    <t>HS responded 1/2/25</t>
  </si>
  <si>
    <t>MSFT YTO11 RFI 609R1</t>
  </si>
  <si>
    <t>HS will respond 1/2/25.</t>
  </si>
  <si>
    <t>LVL10 RFI 353 - (ComNet) - PSDAS-Equipment Detail - 22-60848 - NOT IN BB - emailed K Belle</t>
  </si>
  <si>
    <t>Closed</t>
  </si>
  <si>
    <t>1/7/25:  Not showing up in BB - K Belle confirmed it was closed out. GC wanted more information and will resubmit later.</t>
  </si>
  <si>
    <t>LVL10-273241-007-R1 - (ComNet) - DAS Closeout Pac - 22-60848</t>
  </si>
  <si>
    <t>1/7/25: Harold responded.</t>
  </si>
  <si>
    <t>LVL10-273241-008-R1 - (ComNet) - PSDAS Closeout P - 22-60848</t>
  </si>
  <si>
    <t>LVL11 RFI 404 - (ComNet) - PSDAS-Equipment Detail - 22-60853 - NOT in BB - emailed K Belle</t>
  </si>
  <si>
    <t>MNZ03 iBwave RFI</t>
  </si>
  <si>
    <t>BW completed</t>
  </si>
  <si>
    <t>LVL11 RFI 405 - (WA) - COLO 3 Cell 4 RoIP Cabinet - 22-60853</t>
  </si>
  <si>
    <t>1/7/25: Emailed A/E and told them to route to DCE</t>
  </si>
  <si>
    <t>QRO06 RFI#689 Splitter Location</t>
  </si>
  <si>
    <t>1/7/25:  Harold responded.</t>
  </si>
  <si>
    <t>AVC43 RFI 26.114.0 - RPDU Power Requirements at D - 22-60846</t>
  </si>
  <si>
    <t>1/8/25: BW- needs to be rerouted to Telecom EOR</t>
  </si>
  <si>
    <t>RFI-00450-R1 - Clarification on Backing for DAS Scope and TVs - HS requested to have rerouted 1/9 but I think it's still assigned to S2A.</t>
  </si>
  <si>
    <t>1/9/25: HS requested to have reassigned to architecture.</t>
  </si>
  <si>
    <t xml:space="preserve">AVC17/18: Action Required for Submittal (#243.0: MC Dean - PS DAS Labeling Plan) </t>
  </si>
  <si>
    <t>1/16/25:  HS responded</t>
  </si>
  <si>
    <t>AVC17/18: Action Required for Submittal (#244.0: MC Dean - Comm DAS Labeling Plan)</t>
  </si>
  <si>
    <t>1/16/25: HS responded</t>
  </si>
  <si>
    <t>LVL10 RFI 355 - (WA) - PSDAS Annunciator Panel (M - 22-60848</t>
  </si>
  <si>
    <t>1/13/25: HS responded</t>
  </si>
  <si>
    <t>PHX12 CA - D3127052 - Submittal 273241-003-01 - Revised ROIP System As-Built</t>
  </si>
  <si>
    <t>1/9/25: HS completed, reconfirmed. completed 1/14.</t>
  </si>
  <si>
    <t>YQB04 DATA CENTER: Action required for submittal (#27 50 19.1-2.0: Distributed Antenna System (DAS)</t>
  </si>
  <si>
    <t>1/9/25: HS completed</t>
  </si>
  <si>
    <t>YTO11 Submittal 559R1</t>
  </si>
  <si>
    <t>1/10: HS responded.</t>
  </si>
  <si>
    <t>ATL06: RFI #230 DAS Field Mock Up</t>
  </si>
  <si>
    <t>1/13/25: HS responded.</t>
  </si>
  <si>
    <t>LVL07 RFI 172 - PSDAS BDA - 23-60861 Session ID: 898-952-548</t>
  </si>
  <si>
    <t>1/14/25: HS responded.</t>
  </si>
  <si>
    <t>270528-1.0  - Pathways for Communications Systems -PD</t>
  </si>
  <si>
    <t>1/13/25: HS responded requesting to have S2A removed as outside of our scope.</t>
  </si>
  <si>
    <t>PHX72 CA - D3127038 - Submittal 273241-001-00 - RoIP Package PD &amp; SD</t>
  </si>
  <si>
    <t>1/17:  HS confirmed RoIP not in S2A's court.  1/28 HS email with pdf including stamp</t>
  </si>
  <si>
    <t>PHX72 CA - D3127038 - Submittal 275019-001-00 - DAS Package PD &amp; SD</t>
  </si>
  <si>
    <t>BW responded 1/17/25: contractor must resubmit with plan to obtain RBA.</t>
  </si>
  <si>
    <t>RFI PH2-1016 - SAT 80/81 - TELE - RIOP Intra-Building Fiber</t>
  </si>
  <si>
    <t>Not assigned to us but HS responded to questions from Chris Mellinger.</t>
  </si>
  <si>
    <t xml:space="preserve">08285.000 - YQB04 RFI-990 - Grounding of DAS outdoor antennas and surge protectors
</t>
  </si>
  <si>
    <t>1/13/25: HS responded that needs to be rerouted to electrical engineering team.  KP emailed Eugene requesting to make sure notifications on new RFI/Submittals sent to HS, BW, KP.</t>
  </si>
  <si>
    <t>AVC43 - Issue #1205 - site plan</t>
  </si>
  <si>
    <t>1/16/25: BW responded.</t>
  </si>
  <si>
    <t>AVC43 - Issue #1206 - wrong site reference</t>
  </si>
  <si>
    <t>AVC43 - Issue #1207 - isp fiber terminations</t>
  </si>
  <si>
    <t>MSFT YTO11 RFI 579R2</t>
  </si>
  <si>
    <t>1/15: HS responded.</t>
  </si>
  <si>
    <t>MSFT YTO11 RFI 609R2</t>
  </si>
  <si>
    <t>CCO06 Phase I: New RFI 314 (ERRCS Additional Antennas)</t>
  </si>
  <si>
    <t>HS responded 1/19</t>
  </si>
  <si>
    <t>LVL07 RFI 177 - CAT6 to FACP - 23-60861</t>
  </si>
  <si>
    <t>1/20/25 HS responded</t>
  </si>
  <si>
    <t>RFI PH2-1025 - SAT 80/81 - DAS PS/ FA - Point of Interface DAS Monitoring</t>
  </si>
  <si>
    <t>HS Responded 1/23</t>
  </si>
  <si>
    <t>RFI related to antennas</t>
  </si>
  <si>
    <t>HS responded to 1/24</t>
  </si>
  <si>
    <t>MSFT YTO11 RFI 609R3</t>
  </si>
  <si>
    <t>1/23/25: HS responded.</t>
  </si>
  <si>
    <t>PS DAS Shop Drawings</t>
  </si>
  <si>
    <t>HS closed 1/27</t>
  </si>
  <si>
    <t>35 Div27 request from GC for iBwave file to reference</t>
  </si>
  <si>
    <t>1/23: BW completed.</t>
  </si>
  <si>
    <t>HS initiated request to NT - sanity check on coverage in admin area</t>
  </si>
  <si>
    <t>HS confirmed ok to close 2/12.</t>
  </si>
  <si>
    <t>RFI0442: Design update to over the air DAS System</t>
  </si>
  <si>
    <t>HS responded 1/29.</t>
  </si>
  <si>
    <t>RFI 0587 - TeamLinx - Antenna Array Mast Count - MS SAT15 Design - 
Reminder: FOLLOW PAGE GUIDELINES ON REQUIRED LANGUAGE ON RFI Response</t>
  </si>
  <si>
    <t>HS responded 1/23 / BW also made note of complete 1/27</t>
  </si>
  <si>
    <t xml:space="preserve">CHI22 MSF19010 275019-23.0 - Phase 2 DAS Heliax - Test Reports </t>
  </si>
  <si>
    <t>HS completed 1/30</t>
  </si>
  <si>
    <t>LVL11-270519-002-R1 - (ComNet) - PSDAS System Equipment - 22-60853</t>
  </si>
  <si>
    <t>HS responded 1/28</t>
  </si>
  <si>
    <t>LVL04</t>
  </si>
  <si>
    <r>
      <t xml:space="preserve">LVL04-05 Submittal 1116.0 - Telecom MH Labeling P - 20-60833 -  </t>
    </r>
    <r>
      <rPr>
        <i/>
        <sz val="11"/>
        <color rgb="FF000000"/>
        <rFont val="Aptos"/>
        <family val="2"/>
      </rPr>
      <t>this is pending information from BIR; we need to see cable test reports and CW test</t>
    </r>
  </si>
  <si>
    <t>2/4 HS Responded</t>
  </si>
  <si>
    <t>RFI PH2-1032 - SAT 80/81 PKG 2 - ROIP - Base-Station Radios Location</t>
  </si>
  <si>
    <t>HS responded 2/3</t>
  </si>
  <si>
    <r>
      <t xml:space="preserve">LVL07 Submittal 316 - DAS Prefab Shop Drawings - 23-60861- </t>
    </r>
    <r>
      <rPr>
        <i/>
        <sz val="11"/>
        <color rgb="FF000000"/>
        <rFont val="Aptos"/>
        <family val="2"/>
      </rPr>
      <t>HS responded 2/3 but K Bell responded 2/4 saying did not see response in BB.</t>
    </r>
  </si>
  <si>
    <t>HS responded 2/3 - K Belle confirmed 2/4</t>
  </si>
  <si>
    <r>
      <t xml:space="preserve">LVL07 Submittal 317 - PSDAS Benchmark Study Test - 23-60861 - </t>
    </r>
    <r>
      <rPr>
        <i/>
        <sz val="11"/>
        <color rgb="FF000000"/>
        <rFont val="Aptos"/>
        <family val="2"/>
      </rPr>
      <t>HS responded 2/3 but K Bell responded 2/4 saying did not see response in BB</t>
    </r>
    <r>
      <rPr>
        <sz val="11"/>
        <color rgb="FF000000"/>
        <rFont val="Aptos"/>
        <family val="2"/>
      </rPr>
      <t>.</t>
    </r>
  </si>
  <si>
    <r>
      <t xml:space="preserve">PHX72 CA - D3127038 - Submittal 273241-001-01 - RoIP Package PD &amp; SD - </t>
    </r>
    <r>
      <rPr>
        <i/>
        <sz val="11"/>
        <color rgb="FF000000"/>
        <rFont val="Aptos"/>
        <family val="2"/>
      </rPr>
      <t>this is pending information from E2 – they need to confirm that they included handheld radios</t>
    </r>
  </si>
  <si>
    <t>HS responded 2/4</t>
  </si>
  <si>
    <t>LVL04-05</t>
  </si>
  <si>
    <r>
      <rPr>
        <sz val="11"/>
        <color rgb="FF000000"/>
        <rFont val="Arial"/>
        <family val="2"/>
      </rPr>
      <t xml:space="preserve">LVL04-05 Submittal 1125.0 - LVL04 IES Final Telec - 20-60833 </t>
    </r>
    <r>
      <rPr>
        <i/>
        <sz val="11"/>
        <color rgb="FFFF0000"/>
        <rFont val="Arial"/>
        <family val="2"/>
      </rPr>
      <t>when completed, please email K Belle confirming responded to</t>
    </r>
  </si>
  <si>
    <t>HS responded to.</t>
  </si>
  <si>
    <r>
      <rPr>
        <sz val="11"/>
        <color rgb="FF0A0A0A"/>
        <rFont val="Aptos Display"/>
        <family val="2"/>
      </rPr>
      <t xml:space="preserve">LVL10-270519-003-R2 - (ComNet) - PSDAS System Des - 22-60848 - 
</t>
    </r>
    <r>
      <rPr>
        <sz val="11"/>
        <color rgb="FFFF0000"/>
        <rFont val="Aptos Display"/>
        <family val="2"/>
      </rPr>
      <t xml:space="preserve">2/10: GC Requeste to Expedite 
</t>
    </r>
    <r>
      <rPr>
        <i/>
        <sz val="11"/>
        <color rgb="FFFF0000"/>
        <rFont val="Aptos Display"/>
        <family val="2"/>
      </rPr>
      <t>when completed, please email K Belle confirming responded to.</t>
    </r>
  </si>
  <si>
    <t>LVL11 RFI 417 - (WA) - PSDAS Annunciator Panel (M - 22-60853</t>
  </si>
  <si>
    <t>HS responded 2/5</t>
  </si>
  <si>
    <t>HS completed 2/11.</t>
  </si>
  <si>
    <r>
      <t xml:space="preserve">CHI11 RFI 0235_DAS Rack_LIU - </t>
    </r>
    <r>
      <rPr>
        <sz val="11"/>
        <color rgb="FFFF0000"/>
        <rFont val="Aptos"/>
        <family val="2"/>
      </rPr>
      <t>redirected with 2/12 with responses.  Confirm if follow up needed?</t>
    </r>
  </si>
  <si>
    <t>HS responded 2/7 - redirected 2/13 with question.  Completed again 2/13.</t>
  </si>
  <si>
    <r>
      <rPr>
        <sz val="11"/>
        <color rgb="FFFF0000"/>
        <rFont val="Aptos"/>
        <family val="2"/>
      </rPr>
      <t>PRIORITY:</t>
    </r>
    <r>
      <rPr>
        <sz val="11"/>
        <color rgb="FF000000"/>
        <rFont val="Aptos"/>
        <family val="2"/>
      </rPr>
      <t xml:space="preserve"> EAT12 Data Center - 6524006 Submittal 275019-002
- 2/14 HS reviewing will respond by 2/18</t>
    </r>
  </si>
  <si>
    <t>BW confirmed completed 2/17.
HS reviewing - will respond by 2/18</t>
  </si>
  <si>
    <t>LVL07 RFI 193 - PSDAS Indoor Antenna - 23-60861</t>
  </si>
  <si>
    <t>HS completed 2/10.</t>
  </si>
  <si>
    <t>270820-2.0 - Fiber Testing for Comm. Systems -2.22.3 Optical Fiber Test Equipment PD</t>
  </si>
  <si>
    <t>HS responded indicating he didn't think anything for S2A to review.</t>
  </si>
  <si>
    <t>275019-206 - SAT80 PKG 3 COLO 2 CELL DAS Shop Drawings</t>
  </si>
  <si>
    <t>HS responded 2/14</t>
  </si>
  <si>
    <t>275019-207 - SAT80 PKG 3 COLO 2 CELL PS DAS Shop Drawings</t>
  </si>
  <si>
    <t>HS responded 2/16</t>
  </si>
  <si>
    <t>SAT80 PKG 3 COLO 2 ROIP Shop Drawings - MS SAT80 Rio Medina - Submittal:273241-001</t>
  </si>
  <si>
    <t>RFI PH2-1045 - SAT 80/81 ROIP Panel at Guardhouse</t>
  </si>
  <si>
    <t>HS confirmed completed 2/11.</t>
  </si>
  <si>
    <t>275019-1.1_Distributed Antenna System_IAD 12-13_SD</t>
  </si>
  <si>
    <t>HS responded 2/17</t>
  </si>
  <si>
    <t>275019-23.1 - Phase 2 DAS Heliax - Test Reports</t>
  </si>
  <si>
    <t>HS responded 2/18.</t>
  </si>
  <si>
    <t>PHX13 CA-D3127062-Sub# 273241-002-00-ROIP System As-Builts-FOR REVIEW</t>
  </si>
  <si>
    <t>HS responded 2/13.</t>
  </si>
  <si>
    <t>PHX13 CA-D3127062-Sub# 275019-003-00-Commercial DAS System As-Builts-FOR REVIEW</t>
  </si>
  <si>
    <t>PHX13 CA-D3127062-Sub# 275019-004-00-Admin &amp; COLO 1 ERRCS System As-Builts Drawings</t>
  </si>
  <si>
    <t>PHX74 - RFP for redesign to Fremont</t>
  </si>
  <si>
    <t xml:space="preserve">HS responded to </t>
  </si>
  <si>
    <t>REV2 - Tranche 1 As-Builts - CLAB - MS SAT14 CA - Submittal:017700-001-01</t>
  </si>
  <si>
    <t>2/21: Andrea Hallock confirmed no response needed from S2A even though we are still getting overdue notifications. 2/18 vendor confirmed uploaded docs to newforma for S2A.</t>
  </si>
  <si>
    <t>CCO-07: Response to RFI #97 (DAS Antenna Detail Clarification)</t>
  </si>
  <si>
    <t>HS responded 2/14.</t>
  </si>
  <si>
    <t>RFI PH2-1050 - SAT 80/81 - ROIP - SER ROIP Panel Location - MS SAT80 Rio Medina</t>
  </si>
  <si>
    <t>#27 50 19-7.0: DAS Commissioning Plan</t>
  </si>
  <si>
    <t>HS reponded 2/19</t>
  </si>
  <si>
    <t>27 50 19-8.0: DAS Benchmark Study</t>
  </si>
  <si>
    <t>HS responded 2/19</t>
  </si>
  <si>
    <t xml:space="preserve">	275019-24.0 - Phase 2 Distribution Antenna System - Field Quality Control Test Reports</t>
  </si>
  <si>
    <t>HS responded 2/19 - revise and resubmit</t>
  </si>
  <si>
    <t xml:space="preserve"> RFI# 728 Power Supply</t>
  </si>
  <si>
    <t>MSFT YTO11 Submittal 730R1 - wire/cable tag</t>
  </si>
  <si>
    <t>LVL06 Submittal 497 - Commercial DAS Test Reports - 23-60857</t>
  </si>
  <si>
    <t>HS responded 2/20</t>
  </si>
  <si>
    <t>ROIP Commissioning document</t>
  </si>
  <si>
    <r>
      <rPr>
        <sz val="11"/>
        <color rgb="FF000000"/>
        <rFont val="Calibri"/>
        <family val="2"/>
        <scheme val="minor"/>
      </rPr>
      <t xml:space="preserve">Submittal 27 50 19-002 - </t>
    </r>
    <r>
      <rPr>
        <sz val="11"/>
        <color rgb="FFFF0000"/>
        <rFont val="Calibri"/>
        <family val="2"/>
        <scheme val="minor"/>
      </rPr>
      <t>No contract in place for CA engagement</t>
    </r>
  </si>
  <si>
    <t>HS responded 2/26</t>
  </si>
  <si>
    <r>
      <rPr>
        <sz val="11"/>
        <color rgb="FF000000"/>
        <rFont val="Calibri"/>
        <family val="2"/>
        <scheme val="minor"/>
      </rPr>
      <t xml:space="preserve">AVC43 Submittal 27 50 19-3.0 - DRB07- DAS Product - 22-60846 - </t>
    </r>
    <r>
      <rPr>
        <i/>
        <sz val="11"/>
        <color rgb="FFED7D31"/>
        <rFont val="Calibri"/>
        <family val="2"/>
        <scheme val="minor"/>
      </rPr>
      <t xml:space="preserve">email K Belle to confirm responded to. </t>
    </r>
  </si>
  <si>
    <t>BW completed 2/27</t>
  </si>
  <si>
    <t>LVL11 Submittal 273241-007-R2 - (ComNet) - PSDAS - 22-60853</t>
  </si>
  <si>
    <t>HS completed 2/27</t>
  </si>
  <si>
    <t>IAD12/13</t>
  </si>
  <si>
    <t>RFI 0715_IAD 12-13_ELEC-DAS_DAS Receptacle Locations</t>
  </si>
  <si>
    <t>HS completed 3/3</t>
  </si>
  <si>
    <t>LVL06 Submittal 497.1 - Commercial DAS Test Repor - 23-60857</t>
  </si>
  <si>
    <t>HS completed 3/4</t>
  </si>
  <si>
    <t>LVL06 Submittal 506 - DAS As-Built Drawings - 23-60857</t>
  </si>
  <si>
    <t>MNZ03 #0492 Rooftop Doghouse Antenna</t>
  </si>
  <si>
    <t>HS responded 3/4</t>
  </si>
  <si>
    <t>RFI 0662 - Fire Alarm Wireless Dialer Details</t>
  </si>
  <si>
    <t>Not for S2A - redirected.</t>
  </si>
  <si>
    <t>RFI-00641 - DAS Antenna Array RFI - Microsoft SAT40 Design</t>
  </si>
  <si>
    <t>BW responded 3/6 that this should be reassigned.</t>
  </si>
  <si>
    <t>RFI-00642 - DAS Antenna Array Mast Pipe Count - Microsoft SAT40 Design</t>
  </si>
  <si>
    <t>RFI PH2-1045-R1 - SAT 80/81 ROIP Panel at Guardhouse R1 - MS SAT80 Rio Medina</t>
  </si>
  <si>
    <t>HS responded 3/6</t>
  </si>
  <si>
    <t>21-004233 - IAD04 Loudoun County VA - RFI Forwarded: RFI 0559.2 - FCR DAS Rack 5 Power Requirements</t>
  </si>
  <si>
    <t>LVL06 Submittal 497.2 Commercial DAS test Reports</t>
  </si>
  <si>
    <t>3/13/2025 </t>
  </si>
  <si>
    <t>HS Responded 3/10/2025</t>
  </si>
  <si>
    <t>LVL11-273241-007-R3 - (ComNet) - PSDAS System Des - 22-60853</t>
  </si>
  <si>
    <t>HS responded - A/E contractor court</t>
  </si>
  <si>
    <t>RFI-00646 - DAS Equipment Power - Microsoft SAT40 Design</t>
  </si>
  <si>
    <t>responded to 3/6</t>
  </si>
  <si>
    <t>SUM-01628.0 - 27 50 19 - R0 - Cellular DAS Shop Drawings - WAITING ON OWNER DIRECTION - Bram responded</t>
  </si>
  <si>
    <t>BW responded</t>
  </si>
  <si>
    <t>SUM-01628.0 - 27 50 19 - R0 - Cellular DAS Shop Drawings </t>
  </si>
  <si>
    <t>BW responded - Owners court</t>
  </si>
  <si>
    <t>SUM-01630.0 - 27 50 19 - R0 - Cellular DAS Product Submittal</t>
  </si>
  <si>
    <t xml:space="preserve">SUM-01632.0 - 27 50 19 - R0 - DAS Public Safety Product Submittal </t>
  </si>
  <si>
    <t>SUM-01632.0 - 27 50 19 - R0 - DAS Public Safety Product Submittal  </t>
  </si>
  <si>
    <t>BW responded - AE/Contractor court</t>
  </si>
  <si>
    <t>SUM-01633.0 - 27 50 19 - R0 - ROIP DAS Product Data</t>
  </si>
  <si>
    <t>HS responded - not ours</t>
  </si>
  <si>
    <t>SUM-01633.0 - 27 50 19 - R0 - ROIP DAS Product Data </t>
  </si>
  <si>
    <t>HS reponded - not in our court</t>
  </si>
  <si>
    <t xml:space="preserve">ODYSSEY YQB04 DATA CENTER: Action Required for RFI #1234 </t>
  </si>
  <si>
    <t>HS responded.</t>
  </si>
  <si>
    <t>YQB06 - Submittal #27 50 19-001.0 - RF benchmark plan</t>
  </si>
  <si>
    <t>MSFT YTO11 Submittal 270R2</t>
  </si>
  <si>
    <t>AVC43 RFI 27.038.0 - DAS ID Clarification - 22-60846</t>
  </si>
  <si>
    <t>HS responded - AE/Contractor court</t>
  </si>
  <si>
    <t>AVC43 -RFI#27.038.0 - DAS Labeling conflict</t>
  </si>
  <si>
    <r>
      <rPr>
        <sz val="11"/>
        <color rgb="FF000000"/>
        <rFont val="Calibri"/>
        <family val="2"/>
        <scheme val="minor"/>
      </rPr>
      <t>27.50.19-11 R0 COMM-DAS </t>
    </r>
    <r>
      <rPr>
        <sz val="11"/>
        <color rgb="FF282828"/>
        <rFont val="Aptos"/>
        <family val="2"/>
      </rPr>
      <t>Submittal</t>
    </r>
  </si>
  <si>
    <t>HS responded 3/7</t>
  </si>
  <si>
    <t>Submittal DIV 27-026 Flipex cabinet components - is this for S2A?</t>
  </si>
  <si>
    <t>HS reponded</t>
  </si>
  <si>
    <t>21-004233 - IAD04 Loudoun County VA - RFI Forwarded: RFI 0774 - Updated Cellular Design</t>
  </si>
  <si>
    <t>HS responded 3/17</t>
  </si>
  <si>
    <t>RFI 0738_IAD 12-13_DAS Monitoring Modules in FCRs</t>
  </si>
  <si>
    <t>HS Responded</t>
  </si>
  <si>
    <r>
      <t>L</t>
    </r>
    <r>
      <rPr>
        <sz val="11"/>
        <color rgb="FF000000"/>
        <rFont val="Aptos"/>
        <family val="2"/>
        <charset val="1"/>
      </rPr>
      <t>VL06 Submittal 506.1 DAS As-built drawings</t>
    </r>
  </si>
  <si>
    <t>LVL06 Submittal 570 – Tranche 2 Das Warranty</t>
  </si>
  <si>
    <t>HS Responded 3/7</t>
  </si>
  <si>
    <r>
      <t>R</t>
    </r>
    <r>
      <rPr>
        <sz val="11"/>
        <color rgb="FF282828"/>
        <rFont val="Arial"/>
        <family val="2"/>
      </rPr>
      <t>FI00647—Cable support Admin loading dock</t>
    </r>
  </si>
  <si>
    <t>HW responded 3/10</t>
  </si>
  <si>
    <t>YQB01 - Submittal DA-1041</t>
  </si>
  <si>
    <t>HS responded 3/11</t>
  </si>
  <si>
    <t>IAD05 RFI #259 (ROU Panel/DAS Power Locations)</t>
  </si>
  <si>
    <t>HS reponded 3/17</t>
  </si>
  <si>
    <t>27 32 41-11.0: RADIO OVER IP - Certifications</t>
  </si>
  <si>
    <t>HS responded</t>
  </si>
  <si>
    <t>AVC43 RFI 27.038.0-REOPEN2 - DAS ID Clarification - 22-60846</t>
  </si>
  <si>
    <t>LVL10-273241-010-R1 - (ComNet) - DAS Closeout Pac - 22-60848</t>
  </si>
  <si>
    <t>HS responded 3/16 - need to be resubmitted</t>
  </si>
  <si>
    <t>LVL10-273241-012-R1 - (ComNet) - DAS As-Built Dra - 22-60848</t>
  </si>
  <si>
    <t>HS responded 3/15</t>
  </si>
  <si>
    <t>AVC43 RFI 27.039.0 - DAS Antennas in Mech Galleri - 22-60846</t>
  </si>
  <si>
    <t>RFI #542 ROIP &amp; DAS Clairifcations</t>
  </si>
  <si>
    <t>BW to respond 3/14</t>
  </si>
  <si>
    <t>RFI-00660 Cell DAS Signal Source Backhaul</t>
  </si>
  <si>
    <t>RFI PH2-0827-R1 - SAT80/81 PKG 2 - TELE - ERRCS Frequencies</t>
  </si>
  <si>
    <t>273241-24.0_Phase 2 Radio Over IP - As Built</t>
  </si>
  <si>
    <t>275019-25.0_Phase 2 Distributed Antenna System - PS - As Built</t>
  </si>
  <si>
    <t>275019-26.0_Phase 2 Distributed Antenna System - Commercial - As Built</t>
  </si>
  <si>
    <t>LVL07 RFI 96.2 - CDAS Verizon BDA - 23-60861</t>
  </si>
  <si>
    <t>LVL07 Submittal 360 - PSDAS Shop Drawings - 23-60861</t>
  </si>
  <si>
    <t>HS responded 3/25</t>
  </si>
  <si>
    <t>RFI 1436 - P2 - Teamlinx - Public Safety Permitting Direction</t>
  </si>
  <si>
    <t>27 50 19-8.1 - Communication Systems Distributed Antenna System (DAS) - DAS Benchmark Study</t>
  </si>
  <si>
    <t>HS reponded 3/28</t>
  </si>
  <si>
    <t>27 50 19-12R0 COMM DAS Product Data</t>
  </si>
  <si>
    <t>HS responded 3/24</t>
  </si>
  <si>
    <t>27.50.19-11 R1 COMM-DAS Design</t>
  </si>
  <si>
    <r>
      <rPr>
        <sz val="11"/>
        <color rgb="FF000000"/>
        <rFont val="Arial"/>
        <family val="2"/>
      </rPr>
      <t>275019-24.1-</t>
    </r>
    <r>
      <rPr>
        <sz val="11"/>
        <color rgb="FF242424"/>
        <rFont val="Arial"/>
        <family val="2"/>
      </rPr>
      <t>Phase 2 Distribution Antenna System - Field Quality Control Test</t>
    </r>
  </si>
  <si>
    <t>BW responded 3/24  - will issue a design update with RFI.</t>
  </si>
  <si>
    <t>275019-3.0 - DAS - Pre-Wall Benchmark Study Report</t>
  </si>
  <si>
    <t>HS responded 3/20</t>
  </si>
  <si>
    <t>RFI 0688 - FCR DAS Rack Location - MS SAT15 Design</t>
  </si>
  <si>
    <t>27 32 41 11.1 - Security Radio over IP ATL06</t>
  </si>
  <si>
    <t>not for S2A - HS responded to reassign.</t>
  </si>
  <si>
    <t>MSFT YTO11 Submittal 269 r2 - A/E looking into.  S2A received 270.</t>
  </si>
  <si>
    <t>SUM-01631.0 - 27 50 19 - R0 - Public Safety DAS - Shop Drawings</t>
  </si>
  <si>
    <t>Harold responded 3/25</t>
  </si>
  <si>
    <t>Item 27 32 41 / #1258 DIV 27-1003 O&amp;M MANUALS ROIP</t>
  </si>
  <si>
    <t>BW responded 4/4</t>
  </si>
  <si>
    <t>RFI PH2-1045-R2 - SAT 80/81 ROIP Panel at Guardhouse R2</t>
  </si>
  <si>
    <t>LVL06 Submittal 611 - Tranche 3 DAS Warranty - 23-60857</t>
  </si>
  <si>
    <t>HS completed 3/31</t>
  </si>
  <si>
    <t>LVL11 RFI 454 - (WA) - Admin FCR - DAS PDU Power - 22-60853</t>
  </si>
  <si>
    <t>BW noted - for A/E no scope for S2A</t>
  </si>
  <si>
    <t>YTO11 Submittal 803 DAS Isolation Testing Report</t>
  </si>
  <si>
    <t>HS responded 3/27</t>
  </si>
  <si>
    <t>PHX71 CA-D3127032-Sub# 017839-013-00-PHX71 - Specialty Low Voltage - Project record Drawings - Redlines-FOR REVIEW</t>
  </si>
  <si>
    <t>BW responded 3/31.</t>
  </si>
  <si>
    <t>YTO11 RFI 609R4 Bell/Telus DAS Signal Source</t>
  </si>
  <si>
    <t>HS responded 3/28</t>
  </si>
  <si>
    <t>275019-4.0 - DAS - CDAS Pre-Installation Benchmark Study Plan</t>
  </si>
  <si>
    <t>HS responded 4/1</t>
  </si>
  <si>
    <t>275019-5.0 - DAS - PSDAS Post-Installation Benchmark Study Plan</t>
  </si>
  <si>
    <t>275019-6.0 - DAS - PSDAS Pre-Installation Benchmark Study Plan</t>
  </si>
  <si>
    <t>QRO?</t>
  </si>
  <si>
    <t>HS mentioned on call - need details</t>
  </si>
  <si>
    <t xml:space="preserve">HS mentioned on call and said was handling.  </t>
  </si>
  <si>
    <t>Item 27 32 41 / #1339 DIV 27-244.1 ROIP TEST SIGNAL INTESITY</t>
  </si>
  <si>
    <t>HS responded to 4/3.</t>
  </si>
  <si>
    <t>Item 27 50 19 / #1336 DIV 27-243 DTF AND VWSR TEST REPORT</t>
  </si>
  <si>
    <t>Item 27 50 19 / #1337 DIV 27-243.1 DAS TELEPHONY SIGNAL STRENGTH</t>
  </si>
  <si>
    <t>LVL11 RFI 456 - (ComNet) - PSDAS Fiber Cable from - 22-60853</t>
  </si>
  <si>
    <t>BW responded 4/6</t>
  </si>
  <si>
    <t>RFI-00690 - Revised Scope for DAS Signal Source</t>
  </si>
  <si>
    <t>BW indicated completed at touch base 4/14</t>
  </si>
  <si>
    <t>RFI PH2-0827-R2 - SAT 80/81 PKG 2 - TELE - ERRCS Frequencies</t>
  </si>
  <si>
    <t>05 50 00-044-0-Support d’antenne télécom</t>
  </si>
  <si>
    <t xml:space="preserve">ATL06: New RFI #336 (FOC AV Equipment Room Cable Support Clarification) </t>
  </si>
  <si>
    <t>HS advised not for S2A - to redirect to AV team.</t>
  </si>
  <si>
    <t xml:space="preserve">RFI #337 (DAS, ROIP, Public Safety Pathways Identification) </t>
  </si>
  <si>
    <t>BW responded 4/3</t>
  </si>
  <si>
    <t>YTO11 Submittal 269R3 DAS Design Package</t>
  </si>
  <si>
    <t>HS responded 4/6</t>
  </si>
  <si>
    <t>273241-24.1 - Phase 2 Radio Over IP - As Built</t>
  </si>
  <si>
    <t>BW responded 4/8</t>
  </si>
  <si>
    <t>275019-25.1 - Phase 2 Distributed Antenna System - PS - As Built</t>
  </si>
  <si>
    <t>BW responded 4/10</t>
  </si>
  <si>
    <t>275019-26.1 - Phase 2 Distributed Antenna System - Commercial - As Built.pdf</t>
  </si>
  <si>
    <t>27 50 19-002-1-ANTENNA SUPPORT DAS</t>
  </si>
  <si>
    <t>275019-002 - Rotec</t>
  </si>
  <si>
    <t>HS responded 4/4</t>
  </si>
  <si>
    <t>275019-003 – ADRF Filter</t>
  </si>
  <si>
    <t>275019-004 – Array structural support</t>
  </si>
  <si>
    <t>RFI 0801 - ROU Relocation Per Power Plan Coordination</t>
  </si>
  <si>
    <t>ACV01</t>
  </si>
  <si>
    <t>#677.0: MC Dean - PS DAS Test Results</t>
  </si>
  <si>
    <t>HS completed 4/14</t>
  </si>
  <si>
    <t>#678.0: MC Dean - ROIP Coax Test Results - COLOs 2&amp;3</t>
  </si>
  <si>
    <t>#679.0: MC Dean - CDAS Coverage Capacity Drive Test for VZN - COLOs 2&amp;3</t>
  </si>
  <si>
    <t>#680.0: MC Dean - CDAS Coverage Capacity Drive Test for ATT - Admin &amp; COLO1</t>
  </si>
  <si>
    <t>#681.0: MC Dean - CDAS Coverage Capacity Drive Test for VZN - Admin &amp; COLO1</t>
  </si>
  <si>
    <t>#682.0: MC Dean - CDAS Coverage Capacity Drive Test for ATT - COLOs 2&amp;3</t>
  </si>
  <si>
    <t>Item 27 32 41 / #1253 DIV 27-026 FLIPEX CABINET COMPONENTS</t>
  </si>
  <si>
    <t>BW completed 4/21</t>
  </si>
  <si>
    <t>Item 27 50 19 / #1272 DIV 27-257 DAS CABLE TEST FOR DTF AND VWRS</t>
  </si>
  <si>
    <t>BW completed - revise and resubmit - 4/21</t>
  </si>
  <si>
    <t>YTO40 - Substitution Request #031 RoIP Approved Contractor</t>
  </si>
  <si>
    <r>
      <rPr>
        <sz val="11"/>
        <color rgb="FF000000"/>
        <rFont val="Arial"/>
        <family val="2"/>
      </rPr>
      <t xml:space="preserve">21-004233 275019-3.0 - Cellular DAS O&amp;M Manual - </t>
    </r>
    <r>
      <rPr>
        <sz val="11"/>
        <color rgb="FFFF0000"/>
        <rFont val="Arial"/>
        <family val="2"/>
      </rPr>
      <t>A/E requested restamp/resend</t>
    </r>
  </si>
  <si>
    <t>HS responded 4/11/25</t>
  </si>
  <si>
    <t>275019-4.0 - PSDAS O&amp;M Manual</t>
  </si>
  <si>
    <t>YTO11 RFI 609R5</t>
  </si>
  <si>
    <t>HS responded 4/10</t>
  </si>
  <si>
    <t>#27 32 41-14.0: ROIP Cx Documentation</t>
  </si>
  <si>
    <t xml:space="preserve">HS responded 4/11 - before official notification came through. </t>
  </si>
  <si>
    <t>#27 50 19-6.0: PSDAS Cx Documentation</t>
  </si>
  <si>
    <t>275019-5.0 - Cellular DAS Cx Documentation</t>
  </si>
  <si>
    <t>HS responded 4/17</t>
  </si>
  <si>
    <t>YTO11 Submittal 269R4 DAS Design Package</t>
  </si>
  <si>
    <t>HS responded 4/15</t>
  </si>
  <si>
    <t>ATL06: RFI #358 (DAS ROU Circuit Designation)</t>
  </si>
  <si>
    <t>Per HS - not for S2A</t>
  </si>
  <si>
    <t>LVL07 Submittal 376 - PSDAS Benchmark Study Test - 23-60861</t>
  </si>
  <si>
    <t>HS responded 4/18</t>
  </si>
  <si>
    <t>LVL07 Submittal 377 - CDAS Benchmark Study Test R - 23-60861</t>
  </si>
  <si>
    <t>LVL07 Submittal 378 - CDAS Certification Letter - 23-60861</t>
  </si>
  <si>
    <t>HS responded 4/18.</t>
  </si>
  <si>
    <t>LVL07 Submittal 379 - PSDAS Certification Letter - 23-60861</t>
  </si>
  <si>
    <t>BW responded 4/17</t>
  </si>
  <si>
    <t>RFI 1464 - Teamlinx - Reference RFI #753 - P2 - RoIP E-house Coverage</t>
  </si>
  <si>
    <t>SUM-01250 - 27 50 19 - R0 - COMMUNICATION SYSTEMS DISTRIBUTED ANTENNA SYSTEM (DAS) - Warranty - Review</t>
  </si>
  <si>
    <t>SUM-01252 - 27 50 19 - R0 - COMMUNICATION SYSTEMS DISTRIBUTED ANTENNA SYSTEM (DAS) - O&amp;M Manual - Review</t>
  </si>
  <si>
    <t xml:space="preserve">FTY02: Action Required for Submittal (#27 50 19-3.0: Cell &amp; PS DAS Design)  </t>
  </si>
  <si>
    <t>BW requested PM add HS and KP to notifications going forward and S2A team does not have access to link.</t>
  </si>
  <si>
    <t>LVL07 RFI 96.2-REOPEN2 - CDAS Verizon BDA-REOPEN2 - 23-60861</t>
  </si>
  <si>
    <t>RFI PH2-0827-R3 - SAT 80/81 PKG 2 - TELE - ERRCS Frequencies R3</t>
  </si>
  <si>
    <t>HS responded 4/17.</t>
  </si>
  <si>
    <t>LVL06 Submittal 650 - Tranche 1-4 DAS As-Builts - 23-60857</t>
  </si>
  <si>
    <t>HS completed 4/25</t>
  </si>
  <si>
    <t>LVL11 Submittal - PSDAS NEMA Enclosure Substituti - 22-60853</t>
  </si>
  <si>
    <t>BW completed week of 4/28</t>
  </si>
  <si>
    <t>RFI #805 ROIP - ROIP GAIN AND LOSS VALUES</t>
  </si>
  <si>
    <t>RFI 0737 - Follow up to RFI 350 - TeamLinx - Signal Source Options</t>
  </si>
  <si>
    <t>AVC43 RFI 27.041.0 - Additional Admin Conduit for - 22-60846</t>
  </si>
  <si>
    <t>HS responded 5/1</t>
  </si>
  <si>
    <t>AVC43 RFI 27.042.0 - PDAS Backer Board - 22-60846</t>
  </si>
  <si>
    <t>RFI 700</t>
  </si>
  <si>
    <t>HS responded 4/30</t>
  </si>
  <si>
    <t>RFI 771 DAS coax cabling between Cell1/Cell2</t>
  </si>
  <si>
    <t>RFI 772</t>
  </si>
  <si>
    <t>0468.1 - Antenna Locations and Structural Framing</t>
  </si>
  <si>
    <t>MNZ03 - PCO 810161 - RFI 492 - Rooftop Doghouse Addition</t>
  </si>
  <si>
    <t>PHX72 CA-D3127038-Sub# 273241-011-00-DAS-ROIP Certifications-FOR REVIEW</t>
  </si>
  <si>
    <t>HS responded 5/5</t>
  </si>
  <si>
    <t>RFI 0414.1 - ROIP IbWave files</t>
  </si>
  <si>
    <t>HS responded 5/7</t>
  </si>
  <si>
    <t>27 50 19 - Submittal #1272 - COMMUNICATION SYSTEMS DISTRIBUTED ANTENNA SYSTEM (DAS)</t>
  </si>
  <si>
    <t>HS + BW completed 5/5</t>
  </si>
  <si>
    <t>RFI 0753 - TeamLinx - ADMIN Annunciator Panel Mounting Location Clarification</t>
  </si>
  <si>
    <t>not for s2A - was mistakenly routed in our direction.</t>
  </si>
  <si>
    <t>Submittal 275019-001-0_391_Distributed Antenna System</t>
  </si>
  <si>
    <t>HS responded 5/6.</t>
  </si>
  <si>
    <t>Submittal 275019-4.1 - PSDAS OM Manual</t>
  </si>
  <si>
    <t>HS responded 5/9</t>
  </si>
  <si>
    <t>AVC43 RFI 27.042.1 - PDAS Backer Board R1 - 22-60846</t>
  </si>
  <si>
    <t>RFI #359: DAS/PSDAS iBwave Files</t>
  </si>
  <si>
    <t>HS reponded 5/7</t>
  </si>
  <si>
    <t>PHX82 CA-D3127048-Sub# 273241-001-00-Radio Over IP</t>
  </si>
  <si>
    <t>PHX82 CA-D3127048-Sub# 275019-001-00-DAS Submittal</t>
  </si>
  <si>
    <t>LVL06 RFI 475 - DRB06 Carrier Circuit - 23-60857</t>
  </si>
  <si>
    <t>YTO11 Submittal 843</t>
  </si>
  <si>
    <t>D3127038-Sub# 275019-002-00-Antenna Validation Workbook</t>
  </si>
  <si>
    <t>HS responded 5/14</t>
  </si>
  <si>
    <t>Submittal 27 05 28-025.0</t>
  </si>
  <si>
    <t>HS responded 5/12</t>
  </si>
  <si>
    <t>275019-001 - Rev. 1 Communication Systems Distributed Antenna Systems - Product Data
Substitution Request</t>
  </si>
  <si>
    <t>BW responded 5/14</t>
  </si>
  <si>
    <t>275019-002 Commercial Cell DAS Shop Drawings submittal</t>
  </si>
  <si>
    <t>BW completed 5/19</t>
  </si>
  <si>
    <t>LVL06 Submittal 695 - Finalized DAS As-Builts - 23-60857</t>
  </si>
  <si>
    <t>Submittal #1280-27 32 41 DIV 27-259 ROIP CABLE TEST FOR DTF AND VWSR</t>
  </si>
  <si>
    <t>HS completed 5/20 - revise and resubmit</t>
  </si>
  <si>
    <t>CHI05 Hoffman - RFI: RFI 1296 - COLO 3 Cell 4 DAS Panel Power</t>
  </si>
  <si>
    <t>HS/BW responded 5/20</t>
  </si>
  <si>
    <t>Item 27 32 41 / #1282 DIV 27-258 ROIP SIGNAL STRENGTH</t>
  </si>
  <si>
    <t>HS responded 6/6</t>
  </si>
  <si>
    <t>Submittal 275019-003 - Rev. 0 has new comments EAT12 Data Center - 6524006</t>
  </si>
  <si>
    <t>BW responded 5/22</t>
  </si>
  <si>
    <r>
      <t>275019-3.1 -</t>
    </r>
    <r>
      <rPr>
        <sz val="11"/>
        <color rgb="FF242424"/>
        <rFont val="Times New Roman"/>
        <family val="1"/>
      </rPr>
      <t> Cellular DAS OM Manual</t>
    </r>
  </si>
  <si>
    <t>HS responded 5/23</t>
  </si>
  <si>
    <r>
      <t>275019-6.1 -</t>
    </r>
    <r>
      <rPr>
        <sz val="11"/>
        <color rgb="FF242424"/>
        <rFont val="Times New Roman"/>
        <family val="1"/>
      </rPr>
      <t> PSDAS Cx Documentation</t>
    </r>
  </si>
  <si>
    <t>LVL06 Submittal 715 - Tranche 5 DAS RoIP Warranty - 23-60857</t>
  </si>
  <si>
    <t>BW responded 5/21</t>
  </si>
  <si>
    <t>LVL06 Submittal 718 - COLO4 5 DAS Test Reports - 23-60857</t>
  </si>
  <si>
    <t>BW responded 5/23</t>
  </si>
  <si>
    <t>LVL07 RFI 275 - PSDAS NEMA Enclosure - 23-60861</t>
  </si>
  <si>
    <t>HS responded 5/22.</t>
  </si>
  <si>
    <t>LVL10-270010-012-R1 - ( ComNet) - Telecom COLO3 W - 22-60848</t>
  </si>
  <si>
    <t>LVL10-270010-024-R1 - ( ComNet) - Telecom COLO4 W - 22-60848</t>
  </si>
  <si>
    <t>Submittal 733 - 006-CPQ03-SUB-T-DAS-006-CPQ03-SUB-T-DAS</t>
  </si>
  <si>
    <t>6/23: per HS remove from list.</t>
  </si>
  <si>
    <t>Item 27 32 41 / #1284 DIV 27-261 CONFIGURATION WITH FINAL IP FOR ROIP</t>
  </si>
  <si>
    <t>HS responded 5/22</t>
  </si>
  <si>
    <t>Item 27 50 19 / #1342 DIV 27-245 CONFIGURATION WITH FINAL IP FOR DAS</t>
  </si>
  <si>
    <t>HS completed 5/23</t>
  </si>
  <si>
    <t>RFI #417 (Revision 1): DAS Rack 5 in FCR PDU</t>
  </si>
  <si>
    <t>BW responded 5/27</t>
  </si>
  <si>
    <t>ID 8073 - DIV 27- BMCD PW- Antenna Installation</t>
  </si>
  <si>
    <t>HS responded 5/27</t>
  </si>
  <si>
    <t>ID 8074 - DIV27- BMCD PW- ROU Installation</t>
  </si>
  <si>
    <t>ID 8075 - DIV27-BMCD PW- SER – Fiplex Master</t>
  </si>
  <si>
    <t xml:space="preserve">HS responded 5/27 - rejected. </t>
  </si>
  <si>
    <t>ID 8076- DIV 27- BMCD PW-RoIP ROU –Water Treatment Facility</t>
  </si>
  <si>
    <t>MNZ03 - 275019-8.0 - CDAS BOM</t>
  </si>
  <si>
    <t>HS responded 6/4</t>
  </si>
  <si>
    <t>Item 27 32 41 / #1280 (Rev 1) DIV 27-259 ROIP CABLE TEST FOR DTF AND VWSR</t>
  </si>
  <si>
    <t>HS responded 6/9</t>
  </si>
  <si>
    <t>Item 27 32 41 / #1338 (Rev 1) DIV 27-244 ROIP TEST CABLE</t>
  </si>
  <si>
    <t>BW responded 6/2.</t>
  </si>
  <si>
    <t>Submittal #852.0 DAS/RoIP labeling</t>
  </si>
  <si>
    <t>BW responded 6/3</t>
  </si>
  <si>
    <t xml:space="preserve">Response to RFI #391 (Day Wireless Design Validation - RoIP, Cellular, Public Safety DAS) </t>
  </si>
  <si>
    <t>HS responded 6/2</t>
  </si>
  <si>
    <t>LVL07 Submittal 387 - CDAS Shop Drawings - 23-60861</t>
  </si>
  <si>
    <t>HS reponded 6/1</t>
  </si>
  <si>
    <t>275019-200 - SAT 80 COLO 3-5 DAS Shop Drawings</t>
  </si>
  <si>
    <t>HS responded 6/3.</t>
  </si>
  <si>
    <t> Item 27 50 19 / #1342 (Rev 1) DIV 27-245 CONFIGURATION WITH FINAL IP FOR DAS</t>
  </si>
  <si>
    <t>HS responded 6/2.</t>
  </si>
  <si>
    <t>273241-002 - SAT 80 COLO 3-5 ROIP Shop Drawings</t>
  </si>
  <si>
    <t xml:space="preserve">RFI PH2-1120 - SAT80 DAS Equipment Grounding
</t>
  </si>
  <si>
    <t>CDAS - Product Certification</t>
  </si>
  <si>
    <t>BW responded 6/6</t>
  </si>
  <si>
    <t>MNZ03 - 275019-7.0 - PSDAS BOM</t>
  </si>
  <si>
    <t>MNZ03 - 275019-9.0 - CDAS - PD</t>
  </si>
  <si>
    <t>Submittal #1336-27 50 19: DTF &amp; VSWR Testing (Rev1)</t>
  </si>
  <si>
    <t>BW responded 6/2</t>
  </si>
  <si>
    <t>CYS17 CA-D3128088-Sub# 017700-431-00-CLOSEOUT_CYS17_COLO 3-5 DASROIP</t>
  </si>
  <si>
    <t>BW responded 6/10</t>
  </si>
  <si>
    <t>LVL07 Submittal 388 - PSDAS Site Acceptance Test - 23-60861</t>
  </si>
  <si>
    <t>HS responded 6/3</t>
  </si>
  <si>
    <t>LVL07 Submittal 389 - CDAS Site Acceptance Test P - 23-60861</t>
  </si>
  <si>
    <t>LVL10-270519-003-R3 - (ComNet) - PSDAS System Des - 22-60848</t>
  </si>
  <si>
    <t>HS responded 6/4.</t>
  </si>
  <si>
    <t>PHX72 CA-D3127038-Sub# 275019-001-02-DAS Package PD &amp; SD-FOR REVIEW</t>
  </si>
  <si>
    <t>RFI #858 TCOM - DOCUMENTATION FOR FINAL DELIVERY OF THE ROIP SYSTEM</t>
  </si>
  <si>
    <t>HS responded 6/5.</t>
  </si>
  <si>
    <t>YTO11 Submittal 895</t>
  </si>
  <si>
    <t>PHX72 CA-D3127038-Sub# 273241-001-02-RoIP Package PD &amp; SD</t>
  </si>
  <si>
    <t>RFI-00794 - ADMIN Annunciator Panel Mounting</t>
  </si>
  <si>
    <t xml:space="preserve">ATL06: New RFI #442 (FCR DAS Fiber Housing Unit Location) </t>
  </si>
  <si>
    <t>HS responded - reroute to telecom</t>
  </si>
  <si>
    <t>275019-12.0 - PSDAS Product Data</t>
  </si>
  <si>
    <t>RFI 781 - DAS addition of conduit</t>
  </si>
  <si>
    <t>HS responded 6/8</t>
  </si>
  <si>
    <t>RFI 782 - Conduit and electrical boxes for cable</t>
  </si>
  <si>
    <t>RFI 784 - DAS Paratonnere to approuves</t>
  </si>
  <si>
    <t>YTO11 Submittal 803R1 - DAS Isolation Testing Report</t>
  </si>
  <si>
    <t>YQB01 - Submittal DAS benchmark Study-RF Survey- DA-1384</t>
  </si>
  <si>
    <t>HS responded 6/10</t>
  </si>
  <si>
    <r>
      <t>275019-001-1_391</t>
    </r>
    <r>
      <rPr>
        <sz val="11"/>
        <color rgb="FF242424"/>
        <rFont val="Times New Roman"/>
        <family val="1"/>
      </rPr>
      <t>_Distributed Antenna System</t>
    </r>
  </si>
  <si>
    <t>LVL11-270010-014-R1 - (ComNet) - Telecom COLO2 Wa - 22-60853</t>
  </si>
  <si>
    <t>HS responded 6/10 - reroute to telecom</t>
  </si>
  <si>
    <t>LVL11-270010-019-R1 - (ComNet) - Telecom COLO3 Wa - 22-60853</t>
  </si>
  <si>
    <t>RFI 0688 - PS &amp; COMM DAS ROU COLO MOUNTING &amp; GROUNDING</t>
  </si>
  <si>
    <t>RFI #864 DAS - DOCUMENTATION FOR FINAL DELIVERY OF THE DAS SYSTEM</t>
  </si>
  <si>
    <t>Submittal 275019-004-0 - PS DAS Site Survey</t>
  </si>
  <si>
    <t>BW responded 6/12</t>
  </si>
  <si>
    <t>RFI 0689 - ROIP Confirmations - Guardhouse ROIP Antenna, Guardhouse Portable ROIP Radio</t>
  </si>
  <si>
    <t>017700-017 - Closeout Procedures - Punch Walk DAS-ROIP - CL</t>
  </si>
  <si>
    <t>DA-1419 - Antenna F16V28DHFB</t>
  </si>
  <si>
    <t>HS responded 6/12</t>
  </si>
  <si>
    <t>DA-1420 - Antenna OY19V18D</t>
  </si>
  <si>
    <t>RFI # 848</t>
  </si>
  <si>
    <t>RFI # 849</t>
  </si>
  <si>
    <t>YTO11 RFI 954 DAS Pathway - Transition Points</t>
  </si>
  <si>
    <t>PHX13 CA-D3127062-Sub# 275019-005-00-ERRCS Admin - COLO2 Closeout Package</t>
  </si>
  <si>
    <t>HS responded 6/13</t>
  </si>
  <si>
    <r>
      <t>RFI 0687.1</t>
    </r>
    <r>
      <rPr>
        <sz val="11"/>
        <color rgb="FF242424"/>
        <rFont val="Times New Roman"/>
        <family val="1"/>
      </rPr>
      <t> - Methods for Coax Connectors &amp; Jumpers</t>
    </r>
  </si>
  <si>
    <t>#1036-1036-CPQ11-SUB-T-W-DAS-202506121336</t>
  </si>
  <si>
    <t>BW responded 6/16</t>
  </si>
  <si>
    <t>#1037-1037-CPQ11-SUB-T-W-DAS-202506121331</t>
  </si>
  <si>
    <t>#1038-1038-CPQ11-SUB-T-W-DAS-202506111911</t>
  </si>
  <si>
    <t>#1039-1039-CPQ11-SUB-T-W-DAS-202506111901</t>
  </si>
  <si>
    <t>#1040-1040-CPQ11-SUB-T-W-DAS-202506111855</t>
  </si>
  <si>
    <t>#1041-1041-CPQ11-SUB-T-W-DAS-202506111850</t>
  </si>
  <si>
    <t>#1042-1042-CPQ11-SUB-T-W-DAS-202506111827</t>
  </si>
  <si>
    <t>GC RFI Bidder review</t>
  </si>
  <si>
    <t>SAT15 – RFI#800</t>
  </si>
  <si>
    <t>6/13/25?</t>
  </si>
  <si>
    <t>HS reponded 6/13</t>
  </si>
  <si>
    <r>
      <t>CHI11 RFI</t>
    </r>
    <r>
      <rPr>
        <sz val="11"/>
        <color rgb="FF242424"/>
        <rFont val="Arial"/>
        <family val="2"/>
      </rPr>
      <t> 0411_Additional Details for the GPS Antenna</t>
    </r>
  </si>
  <si>
    <t>HS responded 6/17 - not for S2A</t>
  </si>
  <si>
    <t>RFI #867 TCOM - CHANGE OF RADIO MODEL</t>
  </si>
  <si>
    <t>HS responded 6/16</t>
  </si>
  <si>
    <t>#27 05 53-001.0: Labelling Panduit</t>
  </si>
  <si>
    <t>Submittal 1049 - DAS Benchmark Study</t>
  </si>
  <si>
    <t>HS responded 6/18</t>
  </si>
  <si>
    <t>SUM-01248 - 27 50 19 - R0 - COMMUNICATION SYSTEMS DISTRIBUTED ANTENNA SYSTEM (DAS) - Commissioning Plan - Review</t>
  </si>
  <si>
    <t>RFI #1518 DAS antenna in Electrical room Colo1</t>
  </si>
  <si>
    <t>HS responded 6/20</t>
  </si>
  <si>
    <t>#27 50 19-005.0: Antenne 5379_GI081-T6971</t>
  </si>
  <si>
    <t>RFI #467 (ROIP Power Clarification)</t>
  </si>
  <si>
    <t>HS 6/23 said to remove from list.</t>
  </si>
  <si>
    <t>27 32 41-15.0: ROIP Cx Documentation - COLO 3</t>
  </si>
  <si>
    <t>HS responded 6/20 - not for S2A</t>
  </si>
  <si>
    <t>27 32 41-16.0: ROIP Cx Documentation - COLO 4</t>
  </si>
  <si>
    <t>HS reponded 6/20 - not for S2A</t>
  </si>
  <si>
    <r>
      <t>275019-7.0 -</t>
    </r>
    <r>
      <rPr>
        <sz val="11"/>
        <color rgb="FF242424"/>
        <rFont val="Times New Roman"/>
        <family val="1"/>
      </rPr>
      <t> DAS Cx Documentation - C3</t>
    </r>
  </si>
  <si>
    <r>
      <t>012500-43.0 -</t>
    </r>
    <r>
      <rPr>
        <sz val="11"/>
        <color rgb="FF242424"/>
        <rFont val="Times New Roman"/>
        <family val="1"/>
      </rPr>
      <t> R7 Radio SR</t>
    </r>
  </si>
  <si>
    <t>HS responded 6/23</t>
  </si>
  <si>
    <r>
      <t>012500-44.0 -</t>
    </r>
    <r>
      <rPr>
        <sz val="11"/>
        <color rgb="FF242424"/>
        <rFont val="Times New Roman"/>
        <family val="1"/>
      </rPr>
      <t> Compact Combining System SR</t>
    </r>
  </si>
  <si>
    <t>Submittal #1336 DIV 27-243 DTF AND VWSR TEST REPORT status</t>
  </si>
  <si>
    <t>HS noted ok to complete 6/30</t>
  </si>
  <si>
    <t>#27 50 19.1-2.1: Distributed Antenna System (DAS)</t>
  </si>
  <si>
    <t>HS responded 6/25</t>
  </si>
  <si>
    <t>RFI 1503 - telus request for 3500MHZ on DAS</t>
  </si>
  <si>
    <t>Issue #8072 DIV27- BMCD PW- DAS Rack</t>
  </si>
  <si>
    <t>CPQ3 - Submittal 775 - 008-CPQ03-SUB-T-DAS-008-CPQ03-SUB-T-DAS</t>
  </si>
  <si>
    <t>6/24 HS responded - need more info</t>
  </si>
  <si>
    <t>#1393 CPQ11-RFI-T-DAS</t>
  </si>
  <si>
    <t>RFI #551 (IFC DAS &amp; DRB13 DAS)</t>
  </si>
  <si>
    <t>LYH10 - 000729 - DAS antenna needing new location on the building</t>
  </si>
  <si>
    <t>PHX82 CA-D3127048-Sub# 273241-001-01-Radio Over IP</t>
  </si>
  <si>
    <t>PHX82 CA-D3127048-Sub# 275019-001-01-DAS Submittal</t>
  </si>
  <si>
    <t>#27.50.19-11.1: DAS Test report</t>
  </si>
  <si>
    <r>
      <t>CHI11 RFI</t>
    </r>
    <r>
      <rPr>
        <sz val="11"/>
        <color rgb="FF242424"/>
        <rFont val="Times New Roman"/>
        <family val="1"/>
      </rPr>
      <t> 0436_DAS FBDA Location</t>
    </r>
  </si>
  <si>
    <t>HS responded 6/26</t>
  </si>
  <si>
    <t>Submittal #DA-1041-R1 - 041 Support Antenne telecom</t>
  </si>
  <si>
    <t>HS responded 6/29</t>
  </si>
  <si>
    <t>CPQ3 - Substitution 386 - Relatório de detalhes do formulário-202506261953</t>
  </si>
  <si>
    <t>275019-8.0 - DAS Cx Documentation - COLO 4</t>
  </si>
  <si>
    <t>MNZ03 - 273241-4.0 - FCC License Documentation</t>
  </si>
  <si>
    <t>SUM-01248 - 27 50 19 - R1 - COMMUNICATION SYSTEMS DAS - Commissioning Plan</t>
  </si>
  <si>
    <t>CPQ3 - Submittal 679 - 007-CPQ03-SUB-T-DAS-001-CPQ03-SUB-T-DAS-GEN</t>
  </si>
  <si>
    <t>Waiting for A/E to send it.  HS asked to remove from list 7/9</t>
  </si>
  <si>
    <t>RFI #731 RoIP Coax Routing</t>
  </si>
  <si>
    <t>Item 27 32 41 / #1299 DIV 27-309 COMMISSIONING ROIP SYSTEM</t>
  </si>
  <si>
    <t>HS responded 6/30</t>
  </si>
  <si>
    <t>RFI Telus AWS4</t>
  </si>
  <si>
    <t>HS - response not needed</t>
  </si>
  <si>
    <t>AVC02: Action Required for RFI #4</t>
  </si>
  <si>
    <t>HS - not for S2A</t>
  </si>
  <si>
    <t>LVL11-273241-003-R1 - (ComNet) - ROIP Closeout Pa - 22-60853</t>
  </si>
  <si>
    <t>LVL11-273241-008-R1 - (ComNet) - ROIP As-Built Dr - 22-60853</t>
  </si>
  <si>
    <r>
      <t>RFI 0689.1</t>
    </r>
    <r>
      <rPr>
        <sz val="11"/>
        <color rgb="FF242424"/>
        <rFont val="Times New Roman"/>
        <family val="1"/>
      </rPr>
      <t> - ROIP Confirmations - Guardhouse ROIP Antenna, Guardhouse Portable ROIP Radio</t>
    </r>
  </si>
  <si>
    <t>ATL06: New RFI #487 (ROU Pathways )</t>
  </si>
  <si>
    <t>HS responded 7/3</t>
  </si>
  <si>
    <t>LVL10 Submittal 270010-013-R1 COLO5 Warranty</t>
  </si>
  <si>
    <t>HS responded 7/7</t>
  </si>
  <si>
    <t>012500-44.0 - Compact Combining System - SR</t>
  </si>
  <si>
    <r>
      <t>RFI #</t>
    </r>
    <r>
      <rPr>
        <sz val="11"/>
        <color rgb="FF242424"/>
        <rFont val="Times New Roman"/>
        <family val="1"/>
      </rPr>
      <t>731.1 RoIP Coax Routing</t>
    </r>
  </si>
  <si>
    <t>HS responded 7/8</t>
  </si>
  <si>
    <t>017700-001-03 - Tranche 1 AsBuilts - CLAB</t>
  </si>
  <si>
    <t>27 05 53-001.1 Labelling Panduit</t>
  </si>
  <si>
    <t>RFI # 849 - reopened with additional info from GC</t>
  </si>
  <si>
    <t>HS rereviewed and saw no changes.  Confirmed 7/8 option 1.</t>
  </si>
  <si>
    <t>YQB06 - DAS submittal 05 50 00-044</t>
  </si>
  <si>
    <t>YQB06 - DAS submittal 05 50 00-044 - R2</t>
  </si>
  <si>
    <t xml:space="preserve">HS answered again.  </t>
  </si>
  <si>
    <t>MSFT YTO11 RFI 1013</t>
  </si>
  <si>
    <t>Submittal DA-1511 Rev 0 ADX V fiber distributed antenna system</t>
  </si>
  <si>
    <t>LYH10 RFI # 000729.1 - DAS antenna needing new location on the building - r1</t>
  </si>
  <si>
    <t xml:space="preserve">Logged as responded to on 6/26.  HS responded/completed 7/9. </t>
  </si>
  <si>
    <t>YQB06: RFI 892</t>
  </si>
  <si>
    <t>HS responded 7/8 but attachment referenced #869</t>
  </si>
  <si>
    <t>YQB06: RFI 896</t>
  </si>
  <si>
    <t>HS responded 7/8 on email thread with subject RFI 892</t>
  </si>
  <si>
    <t>27 32 41 - RADIO COMMUNICATIONS EQUIPMENT</t>
  </si>
  <si>
    <t>HS responded 7/9</t>
  </si>
  <si>
    <r>
      <t>CHI11 RFI</t>
    </r>
    <r>
      <rPr>
        <sz val="11"/>
        <color rgb="FF242424"/>
        <rFont val="Arial"/>
        <family val="2"/>
      </rPr>
      <t> 0451_DayWireless RoIP Design Review</t>
    </r>
  </si>
  <si>
    <t>HS responded 7/11</t>
  </si>
  <si>
    <t xml:space="preserve">PSDAS Shop Drawing Submital Submittal 275019-002 - Rev. 2 EAT12 Data Center - 6524006 </t>
  </si>
  <si>
    <t>HS responded 7/14</t>
  </si>
  <si>
    <r>
      <t xml:space="preserve">RFI 0770_IAD 13 SITE_CIVIL_Retaining Wall Radius -  </t>
    </r>
    <r>
      <rPr>
        <i/>
        <sz val="11"/>
        <color rgb="FFFF0000"/>
        <rFont val="Arial"/>
        <family val="2"/>
      </rPr>
      <t>For S2A?</t>
    </r>
  </si>
  <si>
    <t>NOT for S2A</t>
  </si>
  <si>
    <r>
      <rPr>
        <sz val="11"/>
        <color rgb="FF000000"/>
        <rFont val="Calibri"/>
        <family val="2"/>
        <scheme val="minor"/>
      </rPr>
      <t xml:space="preserve">RFI 745? Change charger locations - </t>
    </r>
    <r>
      <rPr>
        <i/>
        <sz val="11"/>
        <color rgb="FF000000"/>
        <rFont val="Calibri"/>
        <family val="2"/>
        <scheme val="minor"/>
      </rPr>
      <t>KP has no record of RFI notification.</t>
    </r>
  </si>
  <si>
    <t>Not for S2A. HS reaching out to have S2A removed.</t>
  </si>
  <si>
    <t>DAS As-Built Drawings - COLO 3 - Microsoft LVL10 - Submittal:LVL10-273241-018</t>
  </si>
  <si>
    <t>DAS Closeout Package - Admin and COLO 1 to 3 - Submittal:LVL10-273241-017</t>
  </si>
  <si>
    <t>HS responded 7/14 - revise and resubmit</t>
  </si>
  <si>
    <t>email from Andrea Frazier-Sanchez to review RFI categories.</t>
  </si>
  <si>
    <t>KP - nothing on the list for S2A - all for electrical.</t>
  </si>
  <si>
    <t>27 50 19-102.0_DAS Public Safety Fiber - Test Reports</t>
  </si>
  <si>
    <t>HS responded 7/16</t>
  </si>
  <si>
    <t>27 50 19-104.0_Communication Systems Distributed Antenna System (DAS)</t>
  </si>
  <si>
    <t>27 50 19-105.0_DAS Heliax ROIP - Test Reports</t>
  </si>
  <si>
    <r>
      <t>27 50</t>
    </r>
    <r>
      <rPr>
        <sz val="11"/>
        <color rgb="FF242424"/>
        <rFont val="Times New Roman"/>
        <family val="1"/>
      </rPr>
      <t> 19-103.0_DAS ROU Fiber - Test Reports</t>
    </r>
  </si>
  <si>
    <t>27-244.1 - RoIP test</t>
  </si>
  <si>
    <t>MSFT YTO11 SR 54 R1 Substituion Request RoIP Multicoupling combiners</t>
  </si>
  <si>
    <t>HS responded again 7/16.HS responded 7/14 - revise and resubmit</t>
  </si>
  <si>
    <t>RFI 1595 - P2 - Remote Unit DAS Power Supply - MS SAT14 CA</t>
  </si>
  <si>
    <t>HS responded 7/16 - needs to be addressed by electrical.</t>
  </si>
  <si>
    <t>HS responded 7/17</t>
  </si>
  <si>
    <t>275019-002 - Rev. 3</t>
  </si>
  <si>
    <t>Completed 07/23</t>
  </si>
  <si>
    <t>CDAS Verizon BDA-REOPEN3 RFI 96.2</t>
  </si>
  <si>
    <t>Reissued as new RFI under 96.3</t>
  </si>
  <si>
    <t>LVL11 Submittal 270010-020-R1</t>
  </si>
  <si>
    <t>HS responded 7/22</t>
  </si>
  <si>
    <t>LVL07 RFI 96.3</t>
  </si>
  <si>
    <t>BW responded 7/23 - with note 'issue drawings 7/28'</t>
  </si>
  <si>
    <t>Submittal DA-1556 : Connecteurs JMA</t>
  </si>
  <si>
    <t>HS responded 7/21</t>
  </si>
  <si>
    <r>
      <rPr>
        <sz val="11"/>
        <color rgb="FF000000"/>
        <rFont val="Arial"/>
        <family val="2"/>
      </rPr>
      <t xml:space="preserve">RFI 940 - DAS RoIP Jumpers - </t>
    </r>
    <r>
      <rPr>
        <i/>
        <sz val="11"/>
        <color rgb="FFFF0000"/>
        <rFont val="Arial"/>
        <family val="2"/>
      </rPr>
      <t>AE requests to have expedited.</t>
    </r>
  </si>
  <si>
    <t xml:space="preserve">HS responded 7/21 **Hot email response from AE: Shows as overdue. </t>
  </si>
  <si>
    <t xml:space="preserve"> 270820-039 - SAT80-81 - SAT80 to SAT81 DAS Interconnect Testing - Test Reports</t>
  </si>
  <si>
    <r>
      <t>273241-001-0_456</t>
    </r>
    <r>
      <rPr>
        <sz val="11"/>
        <color rgb="FF242424"/>
        <rFont val="Times New Roman"/>
        <family val="1"/>
      </rPr>
      <t>_ROIP</t>
    </r>
  </si>
  <si>
    <t>Harold responded 7/28.</t>
  </si>
  <si>
    <t>Item 27 50 19 / #1308 DIV 27-256 DAS SIGNAL STRENGTH - ASU</t>
  </si>
  <si>
    <t>HS responded 7/29</t>
  </si>
  <si>
    <t>Item 27 50 19 / Submittal #1309 DIV 27-260 DAS SYSTEM EQUIPMENT CONFIGURATION - ASU</t>
  </si>
  <si>
    <t>MSFT YTO11 Submittal 975</t>
  </si>
  <si>
    <t xml:space="preserve">HS responded 7/29 **Hot email response from AE: Shows as overdue. </t>
  </si>
  <si>
    <t>HS responded against 7/28. No record of receiving notification of this one on 7/18.</t>
  </si>
  <si>
    <r>
      <t>275019-001-0_458</t>
    </r>
    <r>
      <rPr>
        <sz val="11"/>
        <color rgb="FF242424"/>
        <rFont val="Times New Roman"/>
        <family val="1"/>
      </rPr>
      <t>_Commercial DAS</t>
    </r>
  </si>
  <si>
    <t>HS responded 7/30</t>
  </si>
  <si>
    <r>
      <t>275019-001-0_459</t>
    </r>
    <r>
      <rPr>
        <sz val="11"/>
        <color rgb="FF242424"/>
        <rFont val="Times New Roman"/>
        <family val="1"/>
      </rPr>
      <t>_Distributed Antenna System ERRCS PD</t>
    </r>
  </si>
  <si>
    <r>
      <t>275019-001-2_391</t>
    </r>
    <r>
      <rPr>
        <sz val="11"/>
        <color rgb="FF242424"/>
        <rFont val="Times New Roman"/>
        <family val="1"/>
      </rPr>
      <t>_Distributed Antenna System</t>
    </r>
  </si>
  <si>
    <t>LVL07 RFI 96.4 - CDAS Verizon BDA - 23-60861</t>
  </si>
  <si>
    <t>BW responded 7/30</t>
  </si>
  <si>
    <t>LVL10 Submittal 2783241-019-R1 - DAS As-Built Drawings - COLO 4 and 5</t>
  </si>
  <si>
    <t>HS reponded 7/30</t>
  </si>
  <si>
    <t>LVL10-273241-020-R1 - (ComNet) - DAS Closeout Package - 22-60848</t>
  </si>
  <si>
    <t>HS responded 8/1. 7/31: Per K Belle, technically due 8/1 but wasn't forwarded to S2A until 7/29 due to SRI oversight.  S2A not on hook for delay</t>
  </si>
  <si>
    <t>LVL11 Submittal 273241-011-R1 - DAS Closeout Package</t>
  </si>
  <si>
    <t>CCO-07: Response to RFI #265 (DRB06 PSDAS)</t>
  </si>
  <si>
    <t>LVL07 RFI 305 - DAS ROU X Camera Clash - 23-60861</t>
  </si>
  <si>
    <t>8/4/2025?</t>
  </si>
  <si>
    <t>HS responded 8/1.</t>
  </si>
  <si>
    <t>QRO06 | Submittal #1336 DIV 27-243 DTF AND VWSR TEST REPORT - BMcD</t>
  </si>
  <si>
    <t>8/7/2025?</t>
  </si>
  <si>
    <t>HS responded 8/4</t>
  </si>
  <si>
    <t>MSFT YTO11 Submittal 981 - Bell Mobility DAS Signal Design</t>
  </si>
  <si>
    <t>HS responded 8/4 - with note bram this will come to you.</t>
  </si>
  <si>
    <t>RFI 767</t>
  </si>
  <si>
    <r>
      <t>RFI 0622.1</t>
    </r>
    <r>
      <rPr>
        <sz val="11"/>
        <color rgb="FF242424"/>
        <rFont val="Arial"/>
        <family val="2"/>
      </rPr>
      <t> - CLSS Fire Alarm Communicator Dual Path - HOT</t>
    </r>
  </si>
  <si>
    <r>
      <t>RFI 0622.2</t>
    </r>
    <r>
      <rPr>
        <sz val="11"/>
        <color rgb="FF242424"/>
        <rFont val="Arial"/>
        <family val="2"/>
      </rPr>
      <t> - Fire Alarm Communicator Dual Path - HOT</t>
    </r>
  </si>
  <si>
    <t>BW responded.</t>
  </si>
  <si>
    <t>ASU - Submittal #1308-27 50 19</t>
  </si>
  <si>
    <t>8/19: HS responded to the submittal on 8/14/2025.  I requested that the contactor revised and resubmit the submittal with ERIP values for the antenna in areas that are underperforming.</t>
  </si>
  <si>
    <t>RFI #244 DRB-06 - AHJ DAS Comment Clarification</t>
  </si>
  <si>
    <t>BW confirmed</t>
  </si>
  <si>
    <t>Submittal 273241-013 - Security Radio Over IP - Completed RoIP Commissioning Document - CLTCR</t>
  </si>
  <si>
    <t>Submittal 275019-004 - DAS Communication Systems - Commissioning Plan - TR</t>
  </si>
  <si>
    <t>YTO11 RFI 1013R1 - DAS Antenna in stairwells</t>
  </si>
  <si>
    <t>MSFT YTO11 Submittal 981R1 - Bell Mobility DAS Signal Design</t>
  </si>
  <si>
    <t>8/15: BW Responded</t>
  </si>
  <si>
    <t>LVL11-273241-012-R1 Submittal Comm Net DAS as-built drawings</t>
  </si>
  <si>
    <t>BW responded noting submittal incomplete.</t>
  </si>
  <si>
    <t>RFI 0492.1 - Pathway for the DASRoIP GPS antenna and from the roof to the first floor</t>
  </si>
  <si>
    <t>8/14: BW responded.</t>
  </si>
  <si>
    <t>DAS Submittal for review - DA-1572 : Plan antenne telecom</t>
  </si>
  <si>
    <t>RFI 1107 DAS Antenna Ceiling Tile Placement in T-Bar</t>
  </si>
  <si>
    <t>Not S2A Scope—BW responded 8/13</t>
  </si>
  <si>
    <t>RFI 1108 DAS Fiber Backbone Cable Type</t>
  </si>
  <si>
    <t>CPQ3</t>
  </si>
  <si>
    <t>RFI 1501 - 008-CPQ03-RFI-T-DAS</t>
  </si>
  <si>
    <t>8/19: TA responded to HS asking for clarification.</t>
  </si>
  <si>
    <t>273241-3.0 - RoIP Technician FCC Certifications</t>
  </si>
  <si>
    <t>8/19: HS Responded - Information only</t>
  </si>
  <si>
    <t>RFI 345 (830) - ROU Location Discrepancy per DRB04</t>
  </si>
  <si>
    <t>8/19: HS Responded. RFI # in subject line (830) does not match RFI assigned in document (345)</t>
  </si>
  <si>
    <t>273241-5.0 - ROIP PD - Microsoft_MNZ03 Data Center Manassas_VA-Project - Submittal</t>
  </si>
  <si>
    <t>8/18: HS Responded</t>
  </si>
  <si>
    <t>273241-6.0 - ROIP BOM - Microsoft_MNZ03 Data Center Manassas</t>
  </si>
  <si>
    <t>RFI 830 - ROU Location Discrepancy per DRB04</t>
  </si>
  <si>
    <t>8/19: Update and resubmit the correct document</t>
  </si>
  <si>
    <t>RFI 892 - Antenna relocation email (A2 and A19)</t>
  </si>
  <si>
    <t>8/19/2025 - HS reviewed and responded to the email</t>
  </si>
  <si>
    <t>RFI #1597 - Antenna labeling</t>
  </si>
  <si>
    <t>8/20/2025 - HS Responded</t>
  </si>
  <si>
    <t>YQB06-RFI-909</t>
  </si>
  <si>
    <t>8/20/2025 - HS -this RFI should have been assinged to the RoIP EOR</t>
  </si>
  <si>
    <t>Submittal #273241-18 ROIP Cx Documentation - COLO 5</t>
  </si>
  <si>
    <t>8/22: This is not in S2A's court</t>
  </si>
  <si>
    <t>RFI 1107R1 DAS Antenna Ceiling Tile Placement in T-Bar</t>
  </si>
  <si>
    <t>8/21: HS responded</t>
  </si>
  <si>
    <t>ATL06: New RFI #550 (ERRCS DAS Power Clarification )</t>
  </si>
  <si>
    <t>8/22: HS responded</t>
  </si>
  <si>
    <t>YQB01 - DAS Submittal for review - DA-1511-R1 : ADX V fiber distributed antenna system</t>
  </si>
  <si>
    <t>8/25: HS, the response will post of 8/25/2025</t>
  </si>
  <si>
    <t>Submittal #620 Revision 0: DAS Shop Drawing</t>
  </si>
  <si>
    <t xml:space="preserve">8/26: HS - contractor failed to notifiy S2A of pending submittal until 8/25. </t>
  </si>
  <si>
    <t>Submittal #623 Revision 0: ROIP Shop Drawings</t>
  </si>
  <si>
    <r>
      <t>DAS Questions: iBwave drawings for the PSDAS</t>
    </r>
    <r>
      <rPr>
        <sz val="11"/>
        <color rgb="FF000000"/>
        <rFont val="Arial"/>
        <family val="2"/>
      </rPr>
      <t> </t>
    </r>
  </si>
  <si>
    <t>8:26: Email exchange, HS reached out to CL for iBwave drawings for the PSDAS IAD12 &amp; IAD13</t>
  </si>
  <si>
    <t>LVL9-11OneCell?</t>
  </si>
  <si>
    <t>TMO BYOC 2.0 5G Requirements Upgrade</t>
  </si>
  <si>
    <t>PO Sent to Andrews</t>
  </si>
  <si>
    <t>Punchlist Walk Admin &amp; COLO 1 Comm/BAS/DAS/EPMS - test data being reviewed. Schedule TBD</t>
  </si>
  <si>
    <t>9/3: BW advised to close.  Waiting on test data.  8/26: Email exchange related to scheduling punch walk.</t>
  </si>
  <si>
    <t>COR 692&amp; 693 RFI 827.3 VHFPS DAS</t>
  </si>
  <si>
    <t>8/26: Ongoing email exchange with AE</t>
  </si>
  <si>
    <t>YTO11 Submittal 981 Bell Mobility DA signal Design</t>
  </si>
  <si>
    <t xml:space="preserve">HS - we reviewed past submittals and determined that nothing was outstanding </t>
  </si>
  <si>
    <t>A/E requests confirmation all RFI's included in record docs.</t>
  </si>
  <si>
    <t>8/27: Email exchange with Swanson Rink (Mira Lammers)</t>
  </si>
  <si>
    <t>RFI #899 TCOM - CW TEST PARAMETERS</t>
  </si>
  <si>
    <t>Drawings Published (7) for EAT12 Data Center (6524006)</t>
  </si>
  <si>
    <t>8/28: HS confirmed nothing for S2A - no billing to client.</t>
  </si>
  <si>
    <t>LYH10 - 000809 - Cell DAS Scope of Work Delineation</t>
  </si>
  <si>
    <t>8/28: BW responded.</t>
  </si>
  <si>
    <t xml:space="preserve">ISSUE #633 - Typo Clarifiction </t>
  </si>
  <si>
    <t xml:space="preserve">HS - nothing for S2A </t>
  </si>
  <si>
    <t>YQB01 - DA-1617_Antenna AD-PA-195-4200-D - SR</t>
  </si>
  <si>
    <t>HS - Reviewed and stamped</t>
  </si>
  <si>
    <t>YQB01-DA-1615_Antenna AD-PA-617-960-D - SR</t>
  </si>
  <si>
    <t>Microsoft CCO06 Phase I: Response to RFI #551 (IFC DAS &amp; DRB13 DAS)</t>
  </si>
  <si>
    <t>Harold Responded</t>
  </si>
  <si>
    <t>RFI #1501</t>
  </si>
  <si>
    <t>HS - Closed- previously replied to - 8/19/2025</t>
  </si>
  <si>
    <t>Submittal 775 - 008-CPQ03-SUB-T-DAS</t>
  </si>
  <si>
    <t>HS - reviewed and returned</t>
  </si>
  <si>
    <t>Submittal 830 #009 – Substitution Request</t>
  </si>
  <si>
    <t>275019-2.0_Distributed Antenna System - PD and SD - Microsoft Loudoun County.</t>
  </si>
  <si>
    <t>BW responded 9/4, advised to send ROiP to the appropriate party.  S2A DAS/ERRCS only.</t>
  </si>
  <si>
    <t>RFI 0873 PS DAS &amp; ROIP Power Receptacles Needed</t>
  </si>
  <si>
    <t>Complete </t>
  </si>
  <si>
    <t>BW responded 9/2, forwarded to Electrical</t>
  </si>
  <si>
    <t>RFI0874_IAD12-13 Coax Cable and Support Clarification</t>
  </si>
  <si>
    <t>BW Responded 9/2</t>
  </si>
  <si>
    <t>MSFT ATL06: Response to RFI #550 (ERRCS DAS Power Clarification )</t>
  </si>
  <si>
    <t>Harold Responded, not in S2A Scope</t>
  </si>
  <si>
    <t>PHX61 DAS Closeout</t>
  </si>
  <si>
    <t>HS - keep this on the list until we see a response, there is no due date</t>
  </si>
  <si>
    <t>YQB01-DA-1615 Antenna AD</t>
  </si>
  <si>
    <t xml:space="preserve">HS - returned </t>
  </si>
  <si>
    <r>
      <rPr>
        <sz val="11"/>
        <color rgb="FF000000"/>
        <rFont val="Arial"/>
        <family val="2"/>
      </rPr>
      <t>270820-001-0_496</t>
    </r>
    <r>
      <rPr>
        <sz val="12"/>
        <color rgb="FF242424"/>
        <rFont val="Arial"/>
        <family val="2"/>
      </rPr>
      <t>_CHI10 to CHI11 DAS Fiber Test Results</t>
    </r>
  </si>
  <si>
    <t>HS - Fiber test results, reviwed for content</t>
  </si>
  <si>
    <r>
      <rPr>
        <sz val="11"/>
        <color rgb="FF000000"/>
        <rFont val="Arial"/>
        <family val="2"/>
      </rPr>
      <t>270820-001-0_497</t>
    </r>
    <r>
      <rPr>
        <sz val="12"/>
        <color rgb="FF242424"/>
        <rFont val="Arial"/>
        <family val="2"/>
      </rPr>
      <t>_CHI10-CHI11 ROIP Fiber Test Results</t>
    </r>
  </si>
  <si>
    <t>HS-reponded and advised submittal needs to be reviewed by EOR</t>
  </si>
  <si>
    <t xml:space="preserve">CHI11 Busse - Design - Submittal Forwarded: 270820-001-0_496_CHI10 to CHI11 DAS Fiber </t>
  </si>
  <si>
    <t xml:space="preserve">HS - Review and returned </t>
  </si>
  <si>
    <t>CHI11 Busse - Design - Submittal Forwarded: 270820-001-0_497_CHI10-CHI11 ROIP Fiber</t>
  </si>
  <si>
    <t xml:space="preserve">CPQ11 - #1049-SUB-T-W-DAS-202509041403 Bendhmarc Survey </t>
  </si>
  <si>
    <t>IAD12/13 Submittal 275019-2.0_Distributed Antenna System - PD and SD</t>
  </si>
  <si>
    <t>HS - This was not for S2A - we reviewed for potential content</t>
  </si>
  <si>
    <t>RFI 1677 - P2 - TeamLinx - DAS Remote Unit Fiber Counts</t>
  </si>
  <si>
    <t xml:space="preserve">Bram - answered this.  A/E requesting additional revisions/clarifications. </t>
  </si>
  <si>
    <t>DRB-022 Drawings Published.</t>
  </si>
  <si>
    <t>Unclear if any action for S2A or not.</t>
  </si>
  <si>
    <t>ASU Item 27 50 19 / #1308 (Rev 2) DIV 27-256 DAS SIGNAL STRENGTH</t>
  </si>
  <si>
    <t>RFI 0874_IAD 12-13 - Coax Cable and Antenna Support Clarification</t>
  </si>
  <si>
    <t>HS - Reponded</t>
  </si>
  <si>
    <r>
      <t>RFI 0492.1</t>
    </r>
    <r>
      <rPr>
        <sz val="12"/>
        <color rgb="FF242424"/>
        <rFont val="Times New Roman"/>
        <family val="1"/>
      </rPr>
      <t> - Pathway for the DASRoIP GPS antenna and from the roof to the first floor</t>
    </r>
  </si>
  <si>
    <t>S2A rereviewed this submittal</t>
  </si>
  <si>
    <t>QRO02 - #1308 Signal Strength Submittal</t>
  </si>
  <si>
    <t>We have reviewed this submittal multiple times, there are areas of coverage were the signal strength remains a concern - reference page 65 &amp; 49</t>
  </si>
  <si>
    <t>SAT15CA</t>
  </si>
  <si>
    <t>P2 - RFI 0950 - Corbins - DAS Unit Power Requirement Clarification</t>
  </si>
  <si>
    <t>HS - this was not for S2A, we reviewed and sent back to the A/E</t>
  </si>
  <si>
    <t>LVL07CA</t>
  </si>
  <si>
    <t>LVL07 Submittal 454 - Admin &amp; COLO 1 CDAS COAX Te - 23-60861</t>
  </si>
  <si>
    <t>HS - Answered - Approved</t>
  </si>
  <si>
    <t>LVL07 Submittal 455 - Admin COLO1 PSDAS COAX Test - 23-60861</t>
  </si>
  <si>
    <t>LVL07 Submittal 456 - Admin COLO1 PSDAS CW Test R - 23-60861</t>
  </si>
  <si>
    <t>HS - Answered.  Revise and resubmit, we need to see injection values, distance from antenna measurements were taken, and performance assumptions</t>
  </si>
  <si>
    <t>LVL12CA</t>
  </si>
  <si>
    <t>LVL12 Submittal 27 50 19-1.0 - ComNet, DAS For Co - 23-60867</t>
  </si>
  <si>
    <t>HS - Answered.  Note: Submittal doc shows an intiated date of 9/9 but S2A did not receive notification until 9/11.</t>
  </si>
  <si>
    <t>LVL12 Submittal 27 50 19-2.0 - ComNet, DAS For Co - 23-60867</t>
  </si>
  <si>
    <t>HS - Answered</t>
  </si>
  <si>
    <r>
      <t>275019-2.0 -</t>
    </r>
    <r>
      <rPr>
        <sz val="12"/>
        <color rgb="FF242424"/>
        <rFont val="Times New Roman"/>
        <family val="1"/>
      </rPr>
      <t> PS DAS SD</t>
    </r>
  </si>
  <si>
    <t>HS - Answered, I recommend that they move to a ADRF based PSDAS</t>
  </si>
  <si>
    <t>QRO02 - Issue #8486 Observations/Comments: (DAS ROU –Water Treatment Facility)</t>
  </si>
  <si>
    <t>HS - Reviewed and submitted</t>
  </si>
  <si>
    <t>RFI 1710 - P2 - Teamlinx - ROIP Connection for ADMIN1 to ADMIN2</t>
  </si>
  <si>
    <r>
      <t>273241-2.0 -</t>
    </r>
    <r>
      <rPr>
        <sz val="12"/>
        <color rgb="FF242424"/>
        <rFont val="Times New Roman"/>
        <family val="1"/>
      </rPr>
      <t> RoIP Commissioning Submittal</t>
    </r>
  </si>
  <si>
    <t>HS - answered, revise and resubmit, we need to know who is doing the commissioning</t>
  </si>
  <si>
    <r>
      <t>273241-7.0 -</t>
    </r>
    <r>
      <rPr>
        <sz val="12"/>
        <color rgb="FF242424"/>
        <rFont val="Times New Roman"/>
        <family val="1"/>
      </rPr>
      <t> RoIP SD</t>
    </r>
  </si>
  <si>
    <t>HS - Complete</t>
  </si>
  <si>
    <r>
      <t>275019-13.0 -</t>
    </r>
    <r>
      <rPr>
        <sz val="12"/>
        <color rgb="FF242424"/>
        <rFont val="Times New Roman"/>
        <family val="1"/>
      </rPr>
      <t> CDAS BOM</t>
    </r>
  </si>
  <si>
    <t>HS - Complete - we need the contractor to back out the ISP related scope or have MSFT agree that the contractor is to install it.</t>
  </si>
  <si>
    <t>MNZ03 - 275019-1.0 - CDAS SD submittal</t>
  </si>
  <si>
    <t>MNZ03 - MCD RFI#381 - T-Mobile</t>
  </si>
  <si>
    <t>MNZ03 - RoIP shop drawings #275019-005</t>
  </si>
  <si>
    <r>
      <t>RFI 0881</t>
    </r>
    <r>
      <rPr>
        <sz val="12"/>
        <color rgb="FF242424"/>
        <rFont val="Times New Roman"/>
        <family val="1"/>
      </rPr>
      <t> - CDAS T-Mobile Support</t>
    </r>
  </si>
  <si>
    <t>HS - answered - note that AE identified this RFI with two different #s 381 and #881</t>
  </si>
  <si>
    <t xml:space="preserve">CHI05 - Punchlist Document </t>
  </si>
  <si>
    <t>HS - we reviewed the CHI05 Punch list document for comments that might impact DAS installations</t>
  </si>
  <si>
    <t>RFI#041 - IAD05 Room number and antenna clarification</t>
  </si>
  <si>
    <t>HS - I reviewed the RFI, this is not for S2A</t>
  </si>
  <si>
    <r>
      <t>RFI 0689.2</t>
    </r>
    <r>
      <rPr>
        <sz val="12"/>
        <color rgb="FF242424"/>
        <rFont val="Times New Roman"/>
        <family val="1"/>
      </rPr>
      <t> - ROIP Confirmations - Guardhouse ROIP Antenna, Portable ROIP Radio</t>
    </r>
  </si>
  <si>
    <t>RFI-0645 - EAT12-M-K-00-4 - BAS DETAILS AND POINTS - LIFT STATION Rev. 03</t>
  </si>
  <si>
    <t>HS - reviewed.  This is not for S2A</t>
  </si>
  <si>
    <t>MSFT YTO11 RFI 1156</t>
  </si>
  <si>
    <t>HS - answered</t>
  </si>
  <si>
    <t>PHX13 CA-D3127062-Sub# 275019-006-00-Commercial DAS O&amp;M's-FOR REVIEW</t>
  </si>
  <si>
    <t>PHX13 CA-D3127062-Sub# 275019-007-00-Public Safety DAS As-Builts-FOR REVIEW</t>
  </si>
  <si>
    <t>YQB04 - RFI#1660 Antenna positioning in the electrical rooms</t>
  </si>
  <si>
    <t>HS - reviewed and respoded</t>
  </si>
  <si>
    <t>CHI11 - RoIP SD Submittal #511-273241</t>
  </si>
  <si>
    <t>HS - reviewed and responded to.</t>
  </si>
  <si>
    <r>
      <rPr>
        <sz val="11"/>
        <color rgb="FF242424"/>
        <rFont val="Calibri"/>
        <family val="2"/>
        <scheme val="minor"/>
      </rPr>
      <t>Submittal 017700-21.0 -</t>
    </r>
    <r>
      <rPr>
        <sz val="12"/>
        <color rgb="FF242424"/>
        <rFont val="Calibri"/>
        <family val="2"/>
        <scheme val="minor"/>
      </rPr>
      <t> WT Contract Drawings As-Built DAS</t>
    </r>
  </si>
  <si>
    <r>
      <rPr>
        <sz val="11"/>
        <color rgb="FF242424"/>
        <rFont val="Calibri"/>
        <family val="2"/>
        <scheme val="minor"/>
      </rPr>
      <t>Submittal 017700-22.0 -</t>
    </r>
    <r>
      <rPr>
        <sz val="12"/>
        <color rgb="FF242424"/>
        <rFont val="Calibri"/>
        <family val="2"/>
        <scheme val="minor"/>
      </rPr>
      <t> WT Contract Drawing As-Builts Public Safety</t>
    </r>
  </si>
  <si>
    <t>Submittal 273241-020-R2 - (ComNet) - DAS Closeout Pac - 22-60848</t>
  </si>
  <si>
    <t>RFI #570.3 (Antenna Masts - Top of Mast Elevation)</t>
  </si>
  <si>
    <t>CHI11 Busse - Design - RFI Forwarded: CHI11 RFI 0543_RoiP Radio Programming</t>
  </si>
  <si>
    <t>HS - reviewed and responded to</t>
  </si>
  <si>
    <t xml:space="preserve">CHI11 Busse - Design - RFI Forwarded: CHI11 RFI 0544_FBDA Programming Confirmation </t>
  </si>
  <si>
    <t>Submittal 459 - DAS as Built Drawings - 23-60861</t>
  </si>
  <si>
    <t>LVL11-273241-012-R2 - (ComNet) - DAS As-Built Dra - 22-60853</t>
  </si>
  <si>
    <t>AVC17/18</t>
  </si>
  <si>
    <t>AVC17/18: New RFI #490 (RoIP Combiner Temp Solution )</t>
  </si>
  <si>
    <t>HS - I reviewed this RFI, this needs to be sent to Day Wireless</t>
  </si>
  <si>
    <t>AVC17/18: The Due Date of RFI #487 (CDAS Interface)</t>
  </si>
  <si>
    <t>DRB-09 - COLO 3 &amp; 4 Fit-out (Packages 2 &amp; 3) - Issued for Construction</t>
  </si>
  <si>
    <t>HS - added comments to RFIs that impcated the project</t>
  </si>
  <si>
    <t>Submittal 273241-012-R2 - (ComNet) - DAS As-Built Dra - 22-60853</t>
  </si>
  <si>
    <t>9/26: BW session is closed and BW cannot access it. Not for S2A</t>
  </si>
  <si>
    <t>IAD04 Loudoun County VA - Submittal Forwarded: 275019-13.0 - DAS Cx Documentation</t>
  </si>
  <si>
    <t>BW responded 9/25</t>
  </si>
  <si>
    <t>IAD04 Loudoun County VA - Submittal Forwarded: 275019-14.0 - DAS Cx Documentatio</t>
  </si>
  <si>
    <t>YTO11 - DRB-09 - COLO 3 &amp; 4DAS/ROIP disciplines input on the lessons learned</t>
  </si>
  <si>
    <t>CC008</t>
  </si>
  <si>
    <t>GC Bidder Questions</t>
  </si>
  <si>
    <t>9/29: HS nothing for S2A to address</t>
  </si>
  <si>
    <t>Submittal 479 - PSDAS Backbone to LVL06 (OT - 23-60861</t>
  </si>
  <si>
    <t>RFI 841 DAS Head End Power Requirements Follow Up </t>
  </si>
  <si>
    <r>
      <t xml:space="preserve">
273241-2.1 -</t>
    </r>
    <r>
      <rPr>
        <sz val="11"/>
        <color rgb="FF242424"/>
        <rFont val="Calibri"/>
        <family val="2"/>
        <scheme val="minor"/>
      </rPr>
      <t> RoIP Commissioning Submittal</t>
    </r>
  </si>
  <si>
    <t xml:space="preserve">HS - Reviewed and responded to </t>
  </si>
  <si>
    <r>
      <t>RFI 0923</t>
    </r>
    <r>
      <rPr>
        <sz val="11"/>
        <color rgb="FF242424"/>
        <rFont val="Calibri"/>
        <family val="2"/>
        <scheme val="minor"/>
      </rPr>
      <t> - DASROIP Antenna - Removal of BackBoxesWall Penetrations at Stair 3</t>
    </r>
  </si>
  <si>
    <r>
      <t>Submittal 275019-13.1 -</t>
    </r>
    <r>
      <rPr>
        <sz val="11"/>
        <color rgb="FF242424"/>
        <rFont val="Calibri"/>
        <family val="2"/>
        <scheme val="minor"/>
      </rPr>
      <t> CDAS BOM</t>
    </r>
  </si>
  <si>
    <t>BW Responded.</t>
  </si>
  <si>
    <t>Submittal #688.0 - Linkwave Cellular Design Package</t>
  </si>
  <si>
    <t>Submittal #689.0 - RoIP Design Package</t>
  </si>
  <si>
    <t xml:space="preserve">IAD05: New RFI #585 (Confirmation on Use of 4' x 8' Plywood for ROU Panels ) </t>
  </si>
  <si>
    <t>Submittal 27 50 19-3.0 - ComNet, DAS Testin - 23-60867</t>
  </si>
  <si>
    <t>BW reviewed and responded</t>
  </si>
  <si>
    <t>Submittal 482 - MCD Telecom DAS O&amp;M Manual - 23-60861</t>
  </si>
  <si>
    <t>Issue #8071</t>
  </si>
  <si>
    <t>DAS Submittal for review - Oct 2 - DA-1647</t>
  </si>
  <si>
    <t xml:space="preserve">BW reviewed and responded. </t>
  </si>
  <si>
    <t>275019-13. 2 - CDAS BOM - Microsoft_MNZ03 Data Center Manassas VA-Project - Submittal:275019-13-2:UEbBu</t>
  </si>
  <si>
    <t>017700-024 - DAS-ROIP As-Builts - Phase 1 - CLAB</t>
  </si>
  <si>
    <t>RFI #499 (PSDAS Design Changes)</t>
  </si>
  <si>
    <t>HS reviewed and responded to</t>
  </si>
  <si>
    <t>WT Contract Drawings As-Built "DAS" REV1</t>
  </si>
  <si>
    <t>BW reviewed and responded 10/10</t>
  </si>
  <si>
    <t>BW Reponded 10/20. This was a mistake on the A.E. side, they uploaded the wrong version.
KC: 10/20: Bram has this been updated so it can be closed out?
BW reviewed and responded 10/10</t>
  </si>
  <si>
    <t>Submittal 456.1 - Admin COLO1 PSDAS CW</t>
  </si>
  <si>
    <t>BW reviewed and responded to</t>
  </si>
  <si>
    <t>Submittal 494 - Admin COLO1 PSDAS AHJ Appro - 23-60861</t>
  </si>
  <si>
    <t>270519-005-R1 - (ComNet) - PSDAS As Built A - 22-60848</t>
  </si>
  <si>
    <t>HS reviewed and responded 10/10</t>
  </si>
  <si>
    <t>273241-020-R3 - (ComNet) - DAS Closeout Pac - 22-60848</t>
  </si>
  <si>
    <r>
      <t>RFI 0259.1</t>
    </r>
    <r>
      <rPr>
        <sz val="11"/>
        <color rgb="FF242424"/>
        <rFont val="Segoe UI"/>
        <family val="2"/>
      </rPr>
      <t> - WP-1 Relocation in COLO 1 CE3</t>
    </r>
  </si>
  <si>
    <t>Submittal #623.1: ROIP Shop Drawings</t>
  </si>
  <si>
    <t>Submittal 513 - Admin &amp; COLO 1 CDAS Antenna - 23-60861</t>
  </si>
  <si>
    <t>Submittal 514 - Admin &amp; COLO 1 PSDAS Grid a - 23-60861</t>
  </si>
  <si>
    <t>Submittal 515 - Admin &amp; COLO 1 CDAS Post-In - 23-60861</t>
  </si>
  <si>
    <t>Submittal 512 - Admin &amp; COLO 1 CDAS Commiss - 23-60861</t>
  </si>
  <si>
    <t>Submittal 479.1 - PSDAS Backbone to LVL06 ( - 23-60861</t>
  </si>
  <si>
    <t>RFI 0949 - SOC ROIP Base Sation Final Placement</t>
  </si>
  <si>
    <r>
      <rPr>
        <sz val="11"/>
        <color rgb="FF000000"/>
        <rFont val="Arial"/>
        <family val="2"/>
      </rPr>
      <t xml:space="preserve">REOPENED: </t>
    </r>
    <r>
      <rPr>
        <i/>
        <sz val="11"/>
        <color rgb="FF000000"/>
        <rFont val="Arial"/>
        <family val="2"/>
      </rPr>
      <t xml:space="preserve">Clark is asking that you coordinate with the Microsoft Ops Team and complete your response. They have reopened for updated response.
(10/15) Tom Stewart: This RFI will be tracked and reported in the weekly ITIM meeting. </t>
    </r>
  </si>
  <si>
    <t>RFI 1769 E-House Coverage</t>
  </si>
  <si>
    <t>Issue #8463 Observations/Comments: (RoIP ROU –Water Treatment Facility)</t>
  </si>
  <si>
    <t>HS:  the issue is still open on the contractors side</t>
  </si>
  <si>
    <t>SUM-01251 - 27 50 19 - R0 - COMMUNICATION SYSTEMS DISTRIBUTED ANTENNA SYSTEM (DAS) - Training</t>
  </si>
  <si>
    <t>BW Reviewed and responded to</t>
  </si>
  <si>
    <t>RFI 1204: ROIP Channel Talk Group - RFI#1156 Follow Up</t>
  </si>
  <si>
    <t>Ph 01, Pkg 467-27 50 19-REV 0 LYH10 Public Safety DAS Closeout Documentation Admin-COLO2 - Submittal Packages</t>
  </si>
  <si>
    <t>BW reviewed and responded to 10/20</t>
  </si>
  <si>
    <t>Ph 01, Pkg 468-275019-REV 0 LYH10 Cellular DAS Closeout Documentation Admin-COLO1 - Submittal Packages</t>
  </si>
  <si>
    <t>BW reviewed and responded 10/21.</t>
  </si>
  <si>
    <t xml:space="preserve"> 275019-13.2 CDAS BOM</t>
  </si>
  <si>
    <t>D3127072-Sub# 273241-002-00-ROIP System As-Builts</t>
  </si>
  <si>
    <t>HS reviewed and responded 10/23</t>
  </si>
  <si>
    <t>D3127072-Sub# 275019-003-00-Public Safety DAS As-Builts</t>
  </si>
  <si>
    <t>BW reviewed and responded 10/23</t>
  </si>
  <si>
    <t>D3127072-Sub# 275019-004-00-Commercial DAS System As-Builts</t>
  </si>
  <si>
    <t>RFI 512 CDAS Signal Source</t>
  </si>
  <si>
    <t>RFI 1215 in BlueBeam</t>
  </si>
  <si>
    <t>HS reviewed and responded 10/22</t>
  </si>
  <si>
    <t>SAT81</t>
  </si>
  <si>
    <t>RFI PH2-0827-R4 -SAT 81 PKG 4 &amp; 13 - TELE - SAT 81 Colo 2-5 Fitout DAS-ROIP</t>
  </si>
  <si>
    <t>Not in S2A scope</t>
  </si>
  <si>
    <t>O&amp;M Manuals - Submittals_Telecom_dépot initial</t>
  </si>
  <si>
    <t>273241-020-R4 - (ComNet) - DAS Closeout Pac - 22-60848</t>
  </si>
  <si>
    <t>RFI 1798 - P2 - TeamLinx - Dedicated Signal Sources.pdf</t>
  </si>
  <si>
    <t>RFI #733 - FOC &amp; SOC RoIP Power Requirements</t>
  </si>
  <si>
    <t>HS reviewed and responded to: not for SCA</t>
  </si>
  <si>
    <t>RFI 337 - CDAS WSPs and Frequency bands - 23-60861</t>
  </si>
  <si>
    <t>RFI #387 FCR DAS equipment location</t>
  </si>
  <si>
    <t>RFI 0979 - Teamlinx - Updated Signal Source - DAS System.pdf</t>
  </si>
  <si>
    <t>RFI #525 (MC Dean - Discontinued PSDAS Components)</t>
  </si>
  <si>
    <t>Submittal #689.1 - RoIP Design Package</t>
  </si>
  <si>
    <t>Forwarded from telecom</t>
  </si>
  <si>
    <t>SAT40DS</t>
  </si>
  <si>
    <t>RFI-01033 - Request to shift position of admin Antenna</t>
  </si>
  <si>
    <t>HS reviewed and responded to.</t>
  </si>
  <si>
    <t>275019  2.1  - Distributed Antenna System - PD and SD</t>
  </si>
  <si>
    <t>273241-8.0 - ROIP Tech Certifications</t>
  </si>
  <si>
    <t>#1308 (Rev 3) DIV 27-256 DAS SIGNAL STRENGTH</t>
  </si>
  <si>
    <t>Submittal 275019-209 - SAT 81 VHF PS DAS System</t>
  </si>
  <si>
    <r>
      <rPr>
        <sz val="11"/>
        <color rgb="FF000000"/>
        <rFont val="Calibri"/>
        <scheme val="minor"/>
      </rPr>
      <t>Submittal </t>
    </r>
    <r>
      <rPr>
        <sz val="12"/>
        <color rgb="FF4E5860"/>
        <rFont val="Calibri"/>
        <scheme val="minor"/>
      </rPr>
      <t>275019-208 - SAT 80 VHF PS DAS System</t>
    </r>
  </si>
  <si>
    <t>SAT81 COLO 2-5 Fit out Pkg 4, 11-13 Technical Exceptions</t>
  </si>
  <si>
    <r>
      <t>see attached RFI 827.3 response and confirm the team’s response is </t>
    </r>
    <r>
      <rPr>
        <i/>
        <sz val="11"/>
        <color rgb="FF242424"/>
        <rFont val="Calibri"/>
        <scheme val="minor"/>
      </rPr>
      <t>“ERRCS (both 800MHz and VHF) frequencies to be included in this scope.”</t>
    </r>
  </si>
  <si>
    <t>Phase I: Response to RFI #743 (PS DAS Protective Barrier)</t>
  </si>
  <si>
    <t>PSDAS Cx Documentation - COLO 4</t>
  </si>
  <si>
    <t>PSDAS Cx Documentation - COLO 5</t>
  </si>
  <si>
    <t>Submittal #27 50 19-006 Revision 0: Grounding Kit</t>
  </si>
  <si>
    <r>
      <t>This is a substitution submittal. </t>
    </r>
    <r>
      <rPr>
        <b/>
        <i/>
        <sz val="11"/>
        <color rgb="FF242424"/>
        <rFont val="Aptos"/>
        <family val="2"/>
        <charset val="1"/>
      </rPr>
      <t>If approved, please provide your stamp on the cover page and signature on substitution form (2</t>
    </r>
    <r>
      <rPr>
        <b/>
        <i/>
        <vertAlign val="superscript"/>
        <sz val="11"/>
        <color rgb="FF242424"/>
        <rFont val="Aptos"/>
        <family val="2"/>
        <charset val="1"/>
      </rPr>
      <t>nd</t>
    </r>
    <r>
      <rPr>
        <b/>
        <i/>
        <sz val="11"/>
        <color rgb="FF242424"/>
        <rFont val="Aptos"/>
        <family val="2"/>
        <charset val="1"/>
      </rPr>
      <t> page).</t>
    </r>
  </si>
  <si>
    <t>RFI #533 (Guardhouse RoIP &amp; Security Enclosure Clash )</t>
  </si>
  <si>
    <t>AVC17/28</t>
  </si>
  <si>
    <t>Submittal (#570.0: MC Dean - AVC17 RoIP - Shop Drawings)</t>
  </si>
  <si>
    <t>Not in S2A scops</t>
  </si>
  <si>
    <t>RFI #746 (Public Safety DAS Backboard)</t>
  </si>
  <si>
    <t>RFI 1034</t>
  </si>
  <si>
    <t>Mohammed Taleb confirmed closed</t>
  </si>
  <si>
    <t>PS DAS Protective Barrier Clarification</t>
  </si>
  <si>
    <t>Submittal Distributed: (#27 50 19-10.0: PSDAS Cx Documentation - COLO 4)</t>
  </si>
  <si>
    <t xml:space="preserve">Submittal Distributed: (#27 50 19-12.0: PSDAS Cx Documentation - COLO 5)
</t>
  </si>
  <si>
    <t>275019-7.1 - DAS Cx Documentation - COLO 3</t>
  </si>
  <si>
    <t>RFI #743 (PS DAS Protective Barrier)</t>
  </si>
  <si>
    <t>Submittal (#577.0: MC Dean - AVC17 CDAS BOM)</t>
  </si>
  <si>
    <t>Submittal (#578.0: MC Dean - AVC17 PSDAS BOM)</t>
  </si>
  <si>
    <t>Submittal (#579.0: MC Dean - AVC17 CDAS - Shop Drawings)</t>
  </si>
  <si>
    <t>Submittal (#580.0: MC Dean - AVC17 PSDAS - Shop Drawings)</t>
  </si>
  <si>
    <t>Submittal (#581.0: MC Dean - AVC17 Tranche 1 PSDAS - O&amp;Ms)</t>
  </si>
  <si>
    <t>Submittal (#582.0: MC Dean - AVC17 CDAS - O&amp;Ms)</t>
  </si>
  <si>
    <t>Submittal 581 COLO2-3 DAS Backbone</t>
  </si>
  <si>
    <t>27 50 19 - Distributated Antenna System</t>
  </si>
  <si>
    <t>RFI 1136 Mast for one outdoor wall-mounted ROIP antennas</t>
  </si>
  <si>
    <t>GC RFI item #32</t>
  </si>
  <si>
    <r>
      <t xml:space="preserve">
RFI 0651</t>
    </r>
    <r>
      <rPr>
        <sz val="11"/>
        <color rgb="FF242424"/>
        <rFont val="Segoe UI"/>
        <charset val="1"/>
      </rPr>
      <t> - ROU Panel FiberCoax Pathway</t>
    </r>
  </si>
  <si>
    <t>RFI #769 (PS DAS monitoring Modem)</t>
  </si>
  <si>
    <t>For owner, not S2A</t>
  </si>
  <si>
    <t>Submittal (#27 50 19-9.0: PSDAS Cx Documentation - COLO 3)</t>
  </si>
  <si>
    <t>HS asks that the contractor needs to provide or directs us accordingly to additional information</t>
  </si>
  <si>
    <t>Submittal 585 - PSDAS COLO 2 &amp; COLO 3 Grid - 23-60861</t>
  </si>
  <si>
    <t>Submittal 586 - CDAS COLO 2 &amp; COLO 3 Antenn - 23-60861</t>
  </si>
  <si>
    <t>Submittal 587 - COLO 2 &amp; COLO 3 CDAS Post-I - 23-60861</t>
  </si>
  <si>
    <t>Submittal 588 - COLO 2 &amp; COLO 3 PSDAS Anten - 23-60861</t>
  </si>
  <si>
    <t>Submittal 273241-8.1 - ROIP Tech Certifications</t>
  </si>
  <si>
    <r>
      <t>RFI 0391.1</t>
    </r>
    <r>
      <rPr>
        <sz val="11"/>
        <color rgb="FF242424"/>
        <rFont val="Segoe UI"/>
        <charset val="1"/>
      </rPr>
      <t> - Further Clarification on DASPS-DAS Design</t>
    </r>
  </si>
  <si>
    <t>273241-8.1 - ROIP Tech Certifications</t>
  </si>
  <si>
    <t>275019-1.1 - CDAS Shop Drawings</t>
  </si>
  <si>
    <t>Signal Source DAS Switch Configuration/Programming</t>
  </si>
  <si>
    <t>275019-14.0 - CDAS - Post Wall RF Benchmark Study Report</t>
  </si>
  <si>
    <t>275019-15.0 - PSDAS — Post Wall RF Benchmark Study Report</t>
  </si>
  <si>
    <t>27 50 19 - R0 - COMMUNICATION SYSTEMS DISTRIBUTED ANTENNA SYSTEM (DAS) - Warranty (Admin and COLO-1) - Review</t>
  </si>
  <si>
    <t>27 50 19 - R0 - COMMUNICATION SYSTEMS DISTRIBUTED ANTENNA SYSTEM (DAS) - Warranty (COLO-2)</t>
  </si>
  <si>
    <t>27 50 19 - R0 -  COMMUNICATION SYSTEMS DISTRIBUTED ANTENNA SYSTEM (DAS) - Warranty (COLO-3) - Review</t>
  </si>
  <si>
    <t>RFI-01057-Rev 1 - Clarification on Antenna Height Above Roof</t>
  </si>
  <si>
    <t>(REOPENED) HS reviewed and responded to</t>
  </si>
  <si>
    <r>
      <t>Submittal </t>
    </r>
    <r>
      <rPr>
        <sz val="12"/>
        <color rgb="FF4E5860"/>
        <rFont val="Calibri"/>
        <scheme val="minor"/>
      </rPr>
      <t>275019-208-01 - SAT 80 VHF PS DAS System</t>
    </r>
  </si>
  <si>
    <r>
      <t>Submittal </t>
    </r>
    <r>
      <rPr>
        <sz val="12"/>
        <color rgb="FF4E5860"/>
        <rFont val="Calibri"/>
        <scheme val="minor"/>
      </rPr>
      <t>275019-209-01 - SAT 81 VHF PS DAS System</t>
    </r>
  </si>
  <si>
    <t>RFI 1307 ROIP Power requirements</t>
  </si>
  <si>
    <t>RFI-592 - SER ROIP Power Requirements</t>
  </si>
  <si>
    <t>HS reviewed and responded to, 12/3: EMAIL QUESTION FROM KEVIN PATEL: if GC needs extra receptacle for 2nd ATS then they can use the same source as 1st ATS, not 4 different source are required for 4 different receptacle correct?</t>
  </si>
  <si>
    <t>EAT03 - Record Documents Instructions</t>
  </si>
  <si>
    <t>BW submitted</t>
  </si>
  <si>
    <t>LVL07 Submittal 592 - COLO 2 &amp; COLO 3 CDAS Commis</t>
  </si>
  <si>
    <t>BW reviewed and responded to.</t>
  </si>
  <si>
    <t>LVL07 Submittal 593 - COLO 2 &amp; COLO 3 PSDAS COAX -</t>
  </si>
  <si>
    <t>LVL07 Submittal 594</t>
  </si>
  <si>
    <t>RFI-01070 - VZW Signal Source DAS System Clarification</t>
  </si>
  <si>
    <t xml:space="preserve">RFI 1321 ROIP Cabinet </t>
  </si>
  <si>
    <t>RFI 1322 Base Station Ceiling Antenna</t>
  </si>
  <si>
    <t>Submittal #783.1- DAS / ROIP Rooftop Antenna Mast Non-Penetrating</t>
  </si>
  <si>
    <t>Submittal 605 - COLO 2 &amp; COLO 3 PSDAS AHJ A - 23-60861</t>
  </si>
  <si>
    <t>275019-208-02 - SAT 80 VHF PS DAS System</t>
  </si>
  <si>
    <r>
      <t>Submittal </t>
    </r>
    <r>
      <rPr>
        <sz val="12"/>
        <color rgb="FF4E5860"/>
        <rFont val="Calibri"/>
        <scheme val="minor"/>
      </rPr>
      <t>275019-209-02 - SAT 81 VHF PS DAS System</t>
    </r>
  </si>
  <si>
    <t>GC TE's for Review</t>
  </si>
  <si>
    <t>RFI 1623 - 008-CPQ03-RFI-T-DAS</t>
  </si>
  <si>
    <t>Submittal 608 - Tranche 2 &amp; 3 PSDAS and CDA - 23-60861</t>
  </si>
  <si>
    <t>DA-1041-R2 - 041 support antenne télécom</t>
  </si>
  <si>
    <t>FYT02</t>
  </si>
  <si>
    <t>Submittal # 27 05 19-7.0</t>
  </si>
  <si>
    <t>DFC-0026 Operation &amp; Maintenance Manual for Commercial DAS - Telecon</t>
  </si>
  <si>
    <t>01 78 23-007 O&amp;M Manuals - Submittals_Telecom_dépot initial</t>
  </si>
  <si>
    <t>275019-11.0 - PSDAS Cx Documentation - COLO 2</t>
  </si>
  <si>
    <t>BW reponded</t>
  </si>
  <si>
    <t>CPQ7</t>
  </si>
  <si>
    <t>RFI-737-COLO1 ANTENNA POSITION</t>
  </si>
  <si>
    <t>HS reviewsed and responded to</t>
  </si>
  <si>
    <t>RFI 1073 - Removal of GPS antenna from DAS Scope - Microsoft_MNZ03 Data Center Mana</t>
  </si>
  <si>
    <t>RFI #547</t>
  </si>
  <si>
    <t>HS reviewed and responded to - nothing for S2A</t>
  </si>
  <si>
    <t>Submittal 679 - 007-CPQ03-SUB-T-DAS</t>
  </si>
  <si>
    <t>Ricardo originally sent on 12/19</t>
  </si>
  <si>
    <t>Submittal 275019-005 - Rev. 0 has new comments (EAT12 Data Center - 6524006)</t>
  </si>
  <si>
    <t>27 50 19-3 Revision 3 Cell DAS Design</t>
  </si>
  <si>
    <t>27 50 19-8 Revision 1 FTY02 DAS Benchmark Study - RF Benchmark</t>
  </si>
  <si>
    <r>
      <t>275019-1.1 -</t>
    </r>
    <r>
      <rPr>
        <sz val="12"/>
        <color rgb="FF242424"/>
        <rFont val="Times New Roman"/>
        <charset val="1"/>
      </rPr>
      <t> AdminCOLO 1 - DAS Cx Documentation</t>
    </r>
  </si>
  <si>
    <t>Submittal 608.1 - Tranche 2 &amp; 3 PSDAS and C - 23-60861</t>
  </si>
  <si>
    <t>LVL13</t>
  </si>
  <si>
    <t>Redesign GC RFP RFI Log for Review</t>
  </si>
  <si>
    <t xml:space="preserve">Submittal 275019-005-00-commercial DAS system O &amp; M </t>
  </si>
  <si>
    <t>275019-017 - DAS - Closeout Package - Phase 1</t>
  </si>
  <si>
    <t>Duplicate</t>
  </si>
  <si>
    <t>RFI-602.1 Relocated ROIP Antenna Location and Rerouted Conduit</t>
  </si>
  <si>
    <t>Follow-up: See email with Michael Rostecki from today, 1/15</t>
  </si>
  <si>
    <t>RFI #609 GPS Antenna Junction Box</t>
  </si>
  <si>
    <t>Sub# 275019-005-00- Public Safety Distributed Antenna System (PS DAS)</t>
  </si>
  <si>
    <t>RFI 409 - Pathway Conflict and Reroute Request – Admin to COLO1 Cell 1 Backboard</t>
  </si>
  <si>
    <r>
      <t>275019-2.0 -</t>
    </r>
    <r>
      <rPr>
        <sz val="12"/>
        <color rgb="FF242424"/>
        <rFont val="Times New Roman"/>
        <charset val="1"/>
      </rPr>
      <t> AdminCOLO 1 - PSDAS Cx Documentation</t>
    </r>
  </si>
  <si>
    <r>
      <t xml:space="preserve">
275019-2.1 -</t>
    </r>
    <r>
      <rPr>
        <sz val="12"/>
        <color rgb="FF242424"/>
        <rFont val="Times New Roman"/>
        <charset val="1"/>
      </rPr>
      <t> AdminCOLO 1 - PSDAS Cx Documentation</t>
    </r>
  </si>
  <si>
    <t>SAT15 - 27_50_19-017 - DAS - Closeout Package - Phase 1 - CLTCR</t>
  </si>
  <si>
    <t>SUM-01253 - 27 50 19 - R0 - COMMUNICATION SYSTEMS DISTRIBUTED ANTENNA SYSTEM (DAS) - As-Builts – Review</t>
  </si>
  <si>
    <t>RFI PH2-1184  -SAT80 Colo3 DAS-PS backbone fiber</t>
  </si>
  <si>
    <t>RFI PH2-1184  -SAT80 Colo3 DAS-PS backbone fiber</t>
  </si>
  <si>
    <t>RFI PH2-1184-R1 - SAT80 Colo3 DAS-PS backbone fiber</t>
  </si>
  <si>
    <t>27 50 19 - COMMUNICATION SYSTEMS DISTRIBUTED ANTENNA SYSTEM (DAS</t>
  </si>
  <si>
    <t>RFI 1338 Bell Fiber Proposal</t>
  </si>
  <si>
    <t>ROIP Corpnet Connection - Test Results</t>
  </si>
  <si>
    <r>
      <t xml:space="preserve">
275019-8.1 -</t>
    </r>
    <r>
      <rPr>
        <sz val="11"/>
        <color rgb="FF242424"/>
        <rFont val="Segoe UI"/>
        <charset val="1"/>
      </rPr>
      <t> DAS Cx Documentation - COLO 4</t>
    </r>
  </si>
  <si>
    <t xml:space="preserve">HS reviewed and responded to </t>
  </si>
  <si>
    <r>
      <t>275019-9.1 -</t>
    </r>
    <r>
      <rPr>
        <sz val="11"/>
        <color rgb="FF242424"/>
        <rFont val="Segoe UI"/>
        <charset val="1"/>
      </rPr>
      <t> PSDAS Cx Documentation - COLO 3</t>
    </r>
  </si>
  <si>
    <t>RFI 547</t>
  </si>
  <si>
    <t>273241-008-00 - Radio Over Ip</t>
  </si>
  <si>
    <t>HS reviewed and responded to - not for S2A</t>
  </si>
  <si>
    <r>
      <t>RFI 682</t>
    </r>
    <r>
      <rPr>
        <sz val="11"/>
        <color rgb="FF242424"/>
        <rFont val="Segoe UI"/>
        <charset val="1"/>
      </rPr>
      <t> - RoIP Fiber Master Unit</t>
    </r>
  </si>
  <si>
    <t>RFI: #1101: Public Safety DAS Headend Equipment Confirmation</t>
  </si>
  <si>
    <t>GPS Antenna Junction Box</t>
  </si>
  <si>
    <t>HS reviewed and responded to. They need to resubmit.</t>
  </si>
  <si>
    <t>27 32 41 - RADIO OVER IP - ROIP PRODUCT DATA &amp; SHOPS - PRODUCT DATA</t>
  </si>
  <si>
    <t>RFI #682 (RoIP Fiber Master Unit)</t>
  </si>
  <si>
    <t>SUM-02145 - 27 32 41 - R0 - Radio over IP - As Builts - Review</t>
  </si>
  <si>
    <t>RFI 1365 Guardhouse rPDU Clarification</t>
  </si>
  <si>
    <t>27 08 20-5 Revision 1 Admin &amp; Colo 1 - Test Reports - Package 1</t>
  </si>
  <si>
    <t>Not for S2A - Fiber Reports</t>
  </si>
  <si>
    <t>27 08 20-8 Revision 0 ADMIN &amp; COLO 1 - Test Reports Package 2</t>
  </si>
  <si>
    <t>27 08 20 - Fiber Testing for Communications Systems</t>
  </si>
  <si>
    <t>S2A responded to, waiting for revised response</t>
  </si>
  <si>
    <t>Waiting for response if a further response from S2A is needed.</t>
  </si>
  <si>
    <r>
      <t xml:space="preserve">
275019-14.1 -</t>
    </r>
    <r>
      <rPr>
        <sz val="11"/>
        <color rgb="FF242424"/>
        <rFont val="Segoe UI"/>
        <charset val="1"/>
      </rPr>
      <t> DAS Cx Documentation - COLO 5</t>
    </r>
  </si>
  <si>
    <t>273241-003-00-ROIP System Closeout PackageTest Reports</t>
  </si>
  <si>
    <t>275019-009-00-Public Safety DAS Test Reports</t>
  </si>
  <si>
    <t>275019-007-00-Public Safety DAS Test Reports-FOR REVIEW</t>
  </si>
  <si>
    <t>27 50 19 - R1 - COMMUNICATION SYSTEMS DISTRIBUTED ANTENNA SYSTEM (DAS) - As-Builts - Review</t>
  </si>
  <si>
    <t>IAD04CA</t>
  </si>
  <si>
    <r>
      <t xml:space="preserve">
275019-13.1 -</t>
    </r>
    <r>
      <rPr>
        <sz val="12"/>
        <color rgb="FF242424"/>
        <rFont val="Times New Roman"/>
        <charset val="1"/>
      </rPr>
      <t> DAS Cx Documentation - COLO 2</t>
    </r>
  </si>
  <si>
    <t>RFI 1120 - Carrier DAS Service - EFEMTO System</t>
  </si>
  <si>
    <t>275019-010-00-Commercial DAS Test Reports-FOR REVIEW</t>
  </si>
  <si>
    <t>DA-1781-R3 27-50-19 DAS- Repeater- SDR-33-AC</t>
  </si>
  <si>
    <t>RFI-660 Revision 0: DAS Pathway - Transition Points</t>
  </si>
  <si>
    <t>RFI 949.1 - FOC and SOC ROIP Base Station Confirmation</t>
  </si>
  <si>
    <t>D3127072-Sub# 273241-003-00-ROIP Systems Closeout Package-FOR REVIEW</t>
  </si>
  <si>
    <t>27 00 10-2.0 IES BIR O&amp;M</t>
  </si>
  <si>
    <t>Sub# 275019-005-01-Public Safety Distributed Antenna System (PS DAS)) -FOR REVIEW-Due 02-11-2026</t>
  </si>
  <si>
    <t>RFI 1651-RFI-T-DAS</t>
  </si>
  <si>
    <r>
      <t>RFI 413.3</t>
    </r>
    <r>
      <rPr>
        <sz val="11"/>
        <color rgb="FF242424"/>
        <rFont val="Segoe UI"/>
        <charset val="1"/>
      </rPr>
      <t> - (Expedite Requested) ROIP Base Station  AHU01 Circuit Overlap</t>
    </r>
  </si>
  <si>
    <t>Note for S2A</t>
  </si>
  <si>
    <t>RFI 1127</t>
  </si>
  <si>
    <t>RFI-1161 R1- DAS Modules delayed for AWS4 - Retard pour les modules DAS AWS4</t>
  </si>
  <si>
    <t>RFI-670: GPS Antenna - Coax Jumper</t>
  </si>
  <si>
    <t>RFI-673: DAS Fiber Backbone Cable Type</t>
  </si>
  <si>
    <r>
      <t>RFI </t>
    </r>
    <r>
      <rPr>
        <sz val="11"/>
        <color rgb="FF4E5860"/>
        <rFont val="Calibri"/>
        <scheme val="minor"/>
      </rPr>
      <t>RFI 1895 - P2 - Follow up to RFI 1798 - Dedicated Signal Sources</t>
    </r>
  </si>
  <si>
    <t>RFI-1215 DAS REPEATER BAND AWS4 REQUESTED TELUS</t>
  </si>
  <si>
    <t>RFI-667 Revision 1: DAS Donor Antenna Relocation</t>
  </si>
  <si>
    <t>Submittal #913 Revision 0: DAS Design - Carrier Approvals</t>
  </si>
  <si>
    <t>Phase I: Status Update on RFI #743, PS DAS Protective Barrier</t>
  </si>
  <si>
    <t>Phase I: Status Update on RFI #818, Antenna Mast Junction Box</t>
  </si>
  <si>
    <t>275019-13.1 - DAS Cx Documentation - COLO 2 submittal (275019-13.0)</t>
  </si>
  <si>
    <t>D3127038-Sub# 275019-003-00-Admin DAS-ROIP Backbone-FOR REVIEW</t>
  </si>
  <si>
    <t>Submittal #688 Revision 1: Linkwave - Cellular Design Package</t>
  </si>
  <si>
    <t>Submittal #924 Revision 0: ER1 to IDF (2x24SMF) Fiber Backbone Test Results</t>
  </si>
  <si>
    <t>107696 Microsoft LYH10, Ph 01, Pkg 521-270519-REV 0 LYH10 Public Safety DAS Closeout Documentation COLO3-5 - Submittal Packages</t>
  </si>
  <si>
    <t>107696 Microsoft LYH10, Ph 01, Pkg 522-275019-REV 0 LYH10 Cellular DAS Closeout Documentation COLO2-5 - Submittal Packages</t>
  </si>
  <si>
    <t>12/24/2025 </t>
  </si>
  <si>
    <t>RFI 689 - Guardhouse ROIP Proposal </t>
  </si>
  <si>
    <t>Closed  </t>
  </si>
  <si>
    <t>Data Center: Response to RFI #547 (ROIP and DAS Receptacle Locations )</t>
  </si>
  <si>
    <t>Sub# 275019-009-01-Public Safety DAS Test Reports-FOR REVIEW-Due 02-19-2026</t>
  </si>
  <si>
    <t>RFI #577: Confirmation of Available Rack Space and Head-End Equipment Expansion at PHX70</t>
  </si>
  <si>
    <t>Submittal 797.0, COMMUNICATION SYSTEMS DISTRIBUTED ANTENNA SYSTEM (DAS) - PUBLIC SAFETY - PRODUCT DATA</t>
  </si>
  <si>
    <t>EAT04: Status Update on Submittal 796.0, COMMUNICATION SYSTEMS DISTRIBUTED ANTENNA SYSTEM (DAS) - TELECOM DAS - PRODUCT DATA</t>
  </si>
  <si>
    <t>Submittal 674 - COLO 4 DAS Backbone Fiber T - 23-60861</t>
  </si>
  <si>
    <t>Submittal #913 Revision 1: DAS Design - Carrier Approvals</t>
  </si>
  <si>
    <t>RFI-1161 R2 - DAS Modules delayed for AWS4 - Retard pour les modules DAS AWS4</t>
  </si>
  <si>
    <t>HS reviewed and responded</t>
  </si>
  <si>
    <t xml:space="preserve">Submittal 677 COLO 5 DAS </t>
  </si>
  <si>
    <t>Submittal #526 Cellular Das Redlines</t>
  </si>
  <si>
    <t>BW responded 2-20</t>
  </si>
  <si>
    <t>Submittal #528 Public Safety DAS Redlines</t>
  </si>
  <si>
    <t>275019-007-0 Public Safety Test</t>
  </si>
  <si>
    <t>BW Responded. We were late.</t>
  </si>
  <si>
    <t>RFI 302</t>
  </si>
  <si>
    <t>RFI 1667 - CPQ11-RFI-T-DAS</t>
  </si>
  <si>
    <t>Submittal 3106 - CPQ11-R-DAS - #08 - Pranchas de DAS - E-mial 04 de 04</t>
  </si>
  <si>
    <t>HS Reviewed and responded to</t>
  </si>
  <si>
    <t>Ph 01, Pkg 526-27 50 19-REV 1 LYH10 - Cellular DAS Redline Drawings - Submittal Packages</t>
  </si>
  <si>
    <t>Bram reviewed and responded to</t>
  </si>
  <si>
    <t>Ph 01, Pkg 528-27 50 19-REV 1 LYH10 - Public Safety DAS Redline Drawings - Submittal Packages</t>
  </si>
  <si>
    <t>RFI 308</t>
  </si>
  <si>
    <t>RFI 307</t>
  </si>
  <si>
    <t>RFI 306</t>
  </si>
  <si>
    <t>Submittal #27 50 19-9.0 - DAS ROIP Equipment - O&amp;M Manual
27 50 19 - Communication Systems Distributed Antenna System (DAS)_x000D_</t>
  </si>
  <si>
    <t>Submittal 010-CPQ03-SUB-T-DAS-010-CPQ03-SUB-T-DAS-R00</t>
  </si>
  <si>
    <t>Submittal 01 77 00-80.0</t>
  </si>
  <si>
    <t>RFI-712 Revision 0 - DAS Antennas in Stairwells</t>
  </si>
  <si>
    <t>HS reviewed and responded.</t>
  </si>
  <si>
    <r>
      <t>RFI 710</t>
    </r>
    <r>
      <rPr>
        <sz val="12"/>
        <color rgb="FF242424"/>
        <rFont val="Times New Roman"/>
        <charset val="1"/>
      </rPr>
      <t> - Admin L02Colo 3 DAS Cable Reroute</t>
    </r>
  </si>
  <si>
    <t>ALT06</t>
  </si>
  <si>
    <t>RFI #699, Colo 5 DAS fiber housing location.</t>
  </si>
  <si>
    <t>Submittal 27 08 20-23.0</t>
  </si>
  <si>
    <t>RFI #833</t>
  </si>
  <si>
    <t>Design - Submittal Forwarded: 275019-001-0_617_ERRCS As Built Drawing</t>
  </si>
  <si>
    <t>Design - Submittal Forwarded: 273241-001-0_618_ROIP As Built Drawings</t>
  </si>
  <si>
    <t>Design - Submittal Forwarded: 275019-001-0_615_Commercial DAS As Builts</t>
  </si>
  <si>
    <t>Submittal 797.2, COMMUNICATION SYSTEMS DISTRIBUTED ANTENNA SYSTEM (DAS)</t>
  </si>
  <si>
    <t>HS reviewed and responded to this submittal</t>
  </si>
  <si>
    <t>Submittal Forwarded: 275019-9.2 - PSDAS Cx Documentation - COLO 3</t>
  </si>
  <si>
    <t>Due date says 2/19</t>
  </si>
  <si>
    <r>
      <t>RFI 710.1</t>
    </r>
    <r>
      <rPr>
        <sz val="12"/>
        <color rgb="FF242424"/>
        <rFont val="Times New Roman"/>
        <charset val="1"/>
      </rPr>
      <t> - Admin L02Colo 3 DAS Cable Reroute</t>
    </r>
  </si>
  <si>
    <t>IAD05_P18436_COR_0494_Coax_Pathway_to_ROU</t>
  </si>
  <si>
    <t>017700-5.0 - Whole IFC Set Tranche 1 As-Built</t>
  </si>
  <si>
    <t>Waiting on contract extension</t>
  </si>
  <si>
    <t>RFI 0915_ROIP-R56 Certification</t>
  </si>
  <si>
    <t>273241-3.0_ROIP - Installer Qualifications and Test Tech Cert</t>
  </si>
  <si>
    <t>Submittal 693 - COLO 4 &amp; 5 CDAS As-Builts</t>
  </si>
  <si>
    <t>Submittal 695 - COLO 4 &amp; 5 CDAS Commissioning Report</t>
  </si>
  <si>
    <t>Submittal 696 - COLO 4 &amp; 5 CDAS Antenna Verification Test Results</t>
  </si>
  <si>
    <t>Submittal 698 - COLO 4 &amp; 5 CDAS Post-Installation Walk Test Report</t>
  </si>
  <si>
    <t>Submittal 701 - COLO 4 &amp; 5 CDAS COAX Test Results</t>
  </si>
  <si>
    <t>Submittal 702 - CDAS Warranty</t>
  </si>
  <si>
    <t>Submittal 694 - COLO 4 &amp; 5 PSDAS As-Builts</t>
  </si>
  <si>
    <t>Submittal 697 - PSDAS Grid and DAQ Test Results</t>
  </si>
  <si>
    <t>Submittal 699 - COLO 4 &amp; 5 PSDAS Antenna Verificatiion Test Results</t>
  </si>
  <si>
    <t>Submittal 700 - COLO 4 &amp; 5 PSDAS COAX Test Results</t>
  </si>
  <si>
    <t>Submittal 703 - PSDAS Warranty</t>
  </si>
  <si>
    <t>RFI 1193 - L2L3 Secure IT Storage CR</t>
  </si>
  <si>
    <t>RFI 361.4 - Cable Access in LV01-ADMIN Corridor E</t>
  </si>
  <si>
    <t>Sub# 275019-003-00-RWC Documentation for DAS (For Record Submittal)-FOR REVIEW-Due 03-24-2026</t>
  </si>
  <si>
    <t>PHX82 CA-D3127048-Sub# 275019-002-00-Radio Over IP Design for Colo 3</t>
  </si>
  <si>
    <t>Closed-HS</t>
  </si>
  <si>
    <t>P2 - 273243-002 - Team LINX - ROIP Product Data</t>
  </si>
  <si>
    <t>P2 - 273243-001 - Team LINX - ROIP Shop Drawings - SD.pdf</t>
  </si>
  <si>
    <t>SUM-01254 - 27 50 19 - R0 - COMMUNICATION SYSTEMS DISTRIBUTED ANTENNA SYSTEM (PS DAS) - Test Reports - Review</t>
  </si>
  <si>
    <t>SUM-02170 - 27 50 19 - R0 - COMMUNICATION SYSTEMS DISTRIBUTED ANTENNA SYSTEM (DAS) - Equipment List - Review</t>
  </si>
  <si>
    <t>SUM-02171 - 27 50 19 - R0 - COMMUNICATION SYSTEMS DISTRIBUTED ANTENNA SYSTEM (DAS) - Review</t>
  </si>
  <si>
    <t>COLO 2-5 ROIP Shop Drawings</t>
  </si>
  <si>
    <t>Submittal 27 50 19-1.0: DAS SWEEP TEST REPORT.</t>
  </si>
  <si>
    <t>Submittal 27 50 19-2.0: DAS RAPPORT SCANNER REPORT POST INSTALL.</t>
  </si>
  <si>
    <t>Submittal 27 50 19-3.0: DAS RAPPORT SCANNER REPORT PRE-INSTALL.</t>
  </si>
  <si>
    <t>Preliminary Design</t>
  </si>
  <si>
    <t>As-Builts</t>
  </si>
  <si>
    <t>Submittal #688 Revision 2: Linkwave - Cellular Design Package</t>
  </si>
  <si>
    <t>HS responded to email</t>
  </si>
  <si>
    <t>SUB 1034 - DAS Cellular- Rooftop Antenna Relocation (SUB 688 Follow up)</t>
  </si>
  <si>
    <t>Submittal 1036 Revision 1 - Rooftop Antenna Location</t>
  </si>
  <si>
    <t>RFI-740 ROIP Electrical Power Source</t>
  </si>
  <si>
    <t>Submittal 1036 Revision 0 - Rooftop Antenna Location</t>
  </si>
  <si>
    <t>Submittal 27 50 19-2.1: DAS RAPPORT SCANNER REPORT POST INSTALL.</t>
  </si>
  <si>
    <t>Submittal Forwarded: 275019-001-1_617_ERRCS As Built Drawings</t>
  </si>
  <si>
    <t>MNZ</t>
  </si>
  <si>
    <t>RFI 1120.1.</t>
  </si>
  <si>
    <t>formal response this week with an updated design.</t>
  </si>
  <si>
    <t>282300-5.1 - O&amp;M Submittal</t>
  </si>
  <si>
    <t>281300-2.1 - O&amp;M</t>
  </si>
  <si>
    <t>Submittal 1034 Revision 1 - DAS Cellular- Rooftop Antenna Relocation (SUB 688 Follow up)</t>
  </si>
  <si>
    <t>IAD04_05</t>
  </si>
  <si>
    <r>
      <rPr>
        <sz val="11"/>
        <color rgb="FF000000"/>
        <rFont val="Calibri"/>
        <scheme val="minor"/>
      </rPr>
      <t>270820-46.0 -</t>
    </r>
    <r>
      <rPr>
        <sz val="12"/>
        <color rgb="FF242424"/>
        <rFont val="Calibri"/>
        <scheme val="minor"/>
      </rPr>
      <t> COLO 1 DASRoIP Fiber Test Results</t>
    </r>
  </si>
  <si>
    <t>273241-9.0 - ROIP Coverage Test</t>
  </si>
  <si>
    <t>Submittal 011-CPQ11-SUB-T-DAS-GEN-R01</t>
  </si>
  <si>
    <t>SUBMITTAL 743 - DASY - DAS Documentation</t>
  </si>
  <si>
    <t>011-CPQ03-SUB-T-DAS</t>
  </si>
  <si>
    <t>CPQ 7 - Testing DAS</t>
  </si>
  <si>
    <t>Waiting on submittal number from Ricardo</t>
  </si>
  <si>
    <t>275019-1.2 - Admin-COLO 1 - DAS Cx Documentation</t>
  </si>
  <si>
    <t>RFI 266.2 - ROIP System Plug Types</t>
  </si>
  <si>
    <t>DAS-ROIP Asbuilts</t>
  </si>
  <si>
    <t>RFI 789 Revision 0: Conduit for ROIP Base Station Antenna</t>
  </si>
  <si>
    <t>RFI #127, Vestibule and Mech Gallery DAS Pathway Change</t>
  </si>
  <si>
    <t>P2 - 017700-028 -  Closeout Procedures - DAS-ROIP As-builts - CLAB</t>
  </si>
  <si>
    <t>RFI #740 Revision 1: ROIP Electrical Power Source</t>
  </si>
  <si>
    <t>RFI 1222 - Additional Power Requirement for SOC Transaction Drawers</t>
  </si>
  <si>
    <t>RFI 797 Revision 0: Fleet Map Confirmation</t>
  </si>
  <si>
    <t>YQB - Class A's - DAS</t>
  </si>
  <si>
    <t>Email from Abbas Mouhaidli asking for information for the DAS system across sites</t>
  </si>
  <si>
    <t>Submittal: 275019-16.0 - O&amp;M</t>
  </si>
  <si>
    <t>EAT02</t>
  </si>
  <si>
    <t>RFI 96.3: Cell DAS ROU Connectivity to EAT02 Headend Clarification</t>
  </si>
  <si>
    <t>STRUCT-SUM-270000-022 SAT 40 DAS PD &amp; SD (270000-022)</t>
  </si>
  <si>
    <t>Submittal Forwarded: 27 50 19-106.0_DAS COLOs 2-5 - Coverage Report - Submittal:27 50 19-106.0:SNLTE</t>
  </si>
  <si>
    <t>RFI 1601 - PS DAS Submittal Comments</t>
  </si>
  <si>
    <t>RFI 1240 - DAS ROU Layout Confirmation</t>
  </si>
  <si>
    <t>RFI 0689.3 - Confirmation of ROIP removal from Guardhouse</t>
  </si>
  <si>
    <t>RFI 1120 - Carrier DAS Service</t>
  </si>
  <si>
    <t>Submittal Forwarded: 275019-001-2_617_ERRCS As Built Drawings</t>
  </si>
  <si>
    <t>RFI 1243 - Guardhouse PNL03 &amp; 04 Circuitry</t>
  </si>
  <si>
    <t>RFI 0906 - ERCES DONOR ANTENNA</t>
  </si>
  <si>
    <t>Submittal 011-CPQ11-SUB-T-DAS-GEN</t>
  </si>
  <si>
    <t>Submittal Forwarded: 017700-6.0 - Whole IFC Set Tranche 2 As-Built</t>
  </si>
  <si>
    <t>Sub# 275019-004-00-Cell+PS+ROIP DAS Warranty-FOR REVIEW-Due 05-01-202</t>
  </si>
  <si>
    <t xml:space="preserve">YQB04 </t>
  </si>
  <si>
    <t xml:space="preserve">Submittal 27 00 10-07 DAS O&amp;M
</t>
  </si>
  <si>
    <t xml:space="preserve">27 50 19-106.1_DAS COLOs 2-5 - Coverage Report </t>
  </si>
  <si>
    <t>RFI-58 RFI issued for review</t>
  </si>
  <si>
    <t>Not S2A Scope</t>
  </si>
  <si>
    <t>RFI-59 RFI issued for review</t>
  </si>
  <si>
    <t>275019-14.2 - DAS Cx Documentation - COLO 5</t>
  </si>
  <si>
    <r>
      <t>275019-8.2 -</t>
    </r>
    <r>
      <rPr>
        <sz val="12"/>
        <color rgb="FF242424"/>
        <rFont val="Times New Roman"/>
        <charset val="1"/>
      </rPr>
      <t> DAS Cx Documentation - COLO 4</t>
    </r>
  </si>
  <si>
    <t>017700-6.0 - Whole IFC Set Tranche 2 As-Built</t>
  </si>
  <si>
    <t>RFI 0906 - NEW COMMENTS</t>
  </si>
  <si>
    <t>Tranche 2 DAS - PSDAS As-Built.pdf</t>
  </si>
  <si>
    <t>Walk Test Report</t>
  </si>
  <si>
    <t>Passive Test Report</t>
  </si>
  <si>
    <t>SUM-01266 - 27 32 41 - R0 - RADIO OVER IP-Certifications - Workforce - Review</t>
  </si>
  <si>
    <t>RFI 826 Revision 0 - Guardhouse rPDU Clarification</t>
  </si>
  <si>
    <t>Just for visibility for S2A?</t>
  </si>
  <si>
    <t>SUM-01262 - 27 32 41 - R0 - RADIO OVER IP - Validation Reports - Review</t>
  </si>
  <si>
    <t>SUM-01261 - 27 32 41 - R0 - RADIO OVER IP - Bill of Material - Review</t>
  </si>
  <si>
    <t>SUM-01260 - 27 32 41 - R0 - RADIO OVER IP - Reports - Review</t>
  </si>
  <si>
    <t>SUM-01259 - 27 32 41 - R0 - RADIO OVER IP - Installed Repeater Report</t>
  </si>
  <si>
    <t>SUM-01256 - 27 32 41 - R0 - RADIO OVER IP - License Docs - Review</t>
  </si>
  <si>
    <t>Submittal 27 00 00-1.0: 27 - Closeout documents - O&amp;M manuals - Telecom .</t>
  </si>
  <si>
    <t>RFI 818 Revision 0 - DAS ROU Missing Electrical Power</t>
  </si>
  <si>
    <t>275019-3.0 - Colo 2-3-4-5 PSDAS Cx Documentation</t>
  </si>
  <si>
    <t>275019-4.0 - COLO 2-3-4 - DAS Cx Documentation</t>
  </si>
  <si>
    <t>01 78 23-070.1 - Training -  DAS / plan de formation</t>
  </si>
  <si>
    <t>Told to remove from list by WZMH</t>
  </si>
  <si>
    <t xml:space="preserve">Submittal #27 00 00-1 Revision 1: 27 - Closeout documents - O&amp;M manuals - Telecom
</t>
  </si>
  <si>
    <r>
      <t>270820-46.1 -</t>
    </r>
    <r>
      <rPr>
        <sz val="12"/>
        <color rgb="FF242424"/>
        <rFont val="Times New Roman"/>
        <charset val="1"/>
      </rPr>
      <t> COLO 1 DASRoIP Fiber Test Results</t>
    </r>
  </si>
  <si>
    <t>Looking for a “Not Reviewed / For Record Only” stamp</t>
  </si>
  <si>
    <t>Submittal 011-CPQ11-SUB-T-DAS-GEN R3</t>
  </si>
  <si>
    <t>Compelted</t>
  </si>
  <si>
    <t>Submittal 752.0, MC Dean - COLOs 4&amp;5 PSDAS Shop Drawing</t>
  </si>
  <si>
    <t>SUM-02170-R1 - 27 50 19 - R1 - COMMUNICATION SYSTEMS DISTRIBUTED ANTENNA SYSTEM (DAS) - Equipment List - Review</t>
  </si>
  <si>
    <t>HS reviewed and responded ot</t>
  </si>
  <si>
    <t>SUM-01249 - 27 50 19 - R0 - COMMUNICATION SYSTEMS DISTRIBUTED ANTENNA SYSTEM (PS &amp; DAS) - Benchmark Study - Review</t>
  </si>
  <si>
    <t>SUM-01254-R1 - 27 50 19 - R1 - COMMUNICATION SYSTEMS DISTRIBUTED ANTENNA SYSTEM (PS DAS) - Test Reports - Review</t>
  </si>
  <si>
    <r>
      <rPr>
        <sz val="11"/>
        <color rgb="FF000000"/>
        <rFont val="Calibri"/>
        <scheme val="minor"/>
      </rPr>
      <t>27 50</t>
    </r>
    <r>
      <rPr>
        <sz val="12"/>
        <color rgb="FF242424"/>
        <rFont val="Times New Roman"/>
      </rPr>
      <t> 19-107.0_PS DAS - Commissioning CoP</t>
    </r>
  </si>
  <si>
    <t>27 50 19-106.2_DAS COLOs 2-5 - Coverage Report</t>
  </si>
  <si>
    <r>
      <t>27 32</t>
    </r>
    <r>
      <rPr>
        <sz val="12"/>
        <color rgb="FF242424"/>
        <rFont val="Times New Roman"/>
        <charset val="1"/>
      </rPr>
      <t> 41-105.0_Radio Over Internet Protocol - Commissioning CoP</t>
    </r>
  </si>
  <si>
    <t>Sub# 275019-005-04-Public Safety Distributed Antenna System (PS DAS)</t>
  </si>
  <si>
    <r>
      <rPr>
        <sz val="11"/>
        <color rgb="FF000000"/>
        <rFont val="Calibri"/>
      </rPr>
      <t>270820-45.2 -</t>
    </r>
    <r>
      <rPr>
        <sz val="12"/>
        <color rgb="FF242424"/>
        <rFont val="Times New Roman"/>
      </rPr>
      <t> Admin DASRoIP Fiber Test Results</t>
    </r>
  </si>
  <si>
    <t>01 78 23-070.1</t>
  </si>
  <si>
    <r>
      <t>270820-47.0 -</t>
    </r>
    <r>
      <rPr>
        <sz val="12"/>
        <color rgb="FF242424"/>
        <rFont val="Times New Roman"/>
        <charset val="1"/>
      </rPr>
      <t> COLO 3 DASRoIP Fiber Test Results</t>
    </r>
  </si>
  <si>
    <t>SUB 1241 Colo 3 - DAS Design Package</t>
  </si>
  <si>
    <r>
      <t>270820-48.0 -</t>
    </r>
    <r>
      <rPr>
        <sz val="12"/>
        <color rgb="FF242424"/>
        <rFont val="Times New Roman"/>
        <charset val="1"/>
      </rPr>
      <t> COLO 4 DASRoIP Fiber Test Results</t>
    </r>
  </si>
  <si>
    <t>27 32 41-105.1_Radio Over Internet Protocol - Commissioning CoP</t>
  </si>
  <si>
    <t>Submittal Forwarded: 27 32 41-106.0_Verizon Wireless Rebroadcast Agreement - Close Out</t>
  </si>
  <si>
    <t>RFI 906.1 R2</t>
  </si>
  <si>
    <t>HW reviewed and responded to</t>
  </si>
  <si>
    <t>Submittal 743: DAS Documentation</t>
  </si>
  <si>
    <t>RFI 0914</t>
  </si>
  <si>
    <r>
      <t>017700-7.0 -</t>
    </r>
    <r>
      <rPr>
        <sz val="12"/>
        <color rgb="FF242424"/>
        <rFont val="Times New Roman"/>
        <charset val="1"/>
      </rPr>
      <t> Whole IFC Set Tranche 3 As-Built</t>
    </r>
  </si>
  <si>
    <t>sub# 275019-005-04-Public Safety Distributed Antenna System (PS DAS))</t>
  </si>
  <si>
    <t>Submittal Forwarded: 27 32 41-105.0_Radio Over Internet Protocol - Commissioning CoP</t>
  </si>
  <si>
    <t>Submittal 757.0, COLO 4&amp;5 CDAS Shop Drawings</t>
  </si>
  <si>
    <t>RFI 152: EAT05 CELL SDR Solution Confirmation</t>
  </si>
  <si>
    <r>
      <t>270820-48.0 -</t>
    </r>
    <r>
      <rPr>
        <sz val="11"/>
        <color rgb="FF242424"/>
        <rFont val="Segoe UI"/>
        <charset val="1"/>
      </rPr>
      <t> COLO 4 DASRoIP Fiber Test Results</t>
    </r>
  </si>
  <si>
    <t>270820-47.0 - COLO 3 DASRoIP Fiber Test Results</t>
  </si>
  <si>
    <t>270820-45.2 - Admin DASRoIP Fiber Test Results</t>
  </si>
  <si>
    <t>01 78 23-070.2 Training -  DAS / Documents de présentation de formation complet</t>
  </si>
  <si>
    <t>Response to RFI #467, DRB-09 Clarifications</t>
  </si>
  <si>
    <t>RFI 0303 has been assigned to you (Microsoft EAT 13 - 6525008)</t>
  </si>
  <si>
    <t>Response to RFI #709, AVC18 RoIP Sub-Contractor</t>
  </si>
  <si>
    <t>Submittal 1277 ROIP As Builts</t>
  </si>
  <si>
    <t>FULL REVIEW Submittal 01 78 23-8.0: Closeout Documents - AS-BUILT Deliverables.</t>
  </si>
  <si>
    <t>INITIAL REVIEW Submittal 01 78 23-8.0: Closeout Documents - AS-BUILT Deliverables.</t>
  </si>
  <si>
    <t>P2 - 273241-019 - DAS-ROIP Warranty - TeamLinx Wireless - COLO 3</t>
  </si>
  <si>
    <t>Submittal Forwarded: 27 50 19-108.0_CHI05 P2 - DAS_PS_ROIP - As Builts</t>
  </si>
  <si>
    <t>submittal 01 77 00-1.0, Closeout Document - Warranty Booklet</t>
  </si>
  <si>
    <t>Sub# 273241-012-00-Admin: DAS-ROIP - Test Reports-FOR REVIEW-Due 06-18-2026</t>
  </si>
  <si>
    <t>Sub# 273241-013-00-COLO 1: DAS-ROIP - Test Reports-FOR REVIEW-Due 06-18-2026</t>
  </si>
  <si>
    <t>Sub# 273241-014-00-COLO 2: DAS-ROIP - Test Reports-FOR REVIEW-Due 06-18-2026</t>
  </si>
  <si>
    <t>Submittal P2 - 017700-053 - Team LINX - Phase 2 DAS-ROIP As-Builts - CLAB</t>
  </si>
  <si>
    <t>RFI #480, 7/8" Coax Color - DRB09 - PSDAS</t>
  </si>
  <si>
    <r>
      <t xml:space="preserve">Submittal Forwarded: </t>
    </r>
    <r>
      <rPr>
        <sz val="12"/>
        <color rgb="FF000000"/>
        <rFont val="Calibri"/>
        <scheme val="minor"/>
      </rPr>
      <t>275019-5</t>
    </r>
    <r>
      <rPr>
        <sz val="12"/>
        <color rgb="FF242424"/>
        <rFont val="Calibri"/>
        <scheme val="minor"/>
      </rPr>
      <t>.</t>
    </r>
    <r>
      <rPr>
        <sz val="12"/>
        <color rgb="FF000000"/>
        <rFont val="Calibri"/>
        <scheme val="minor"/>
      </rPr>
      <t>0</t>
    </r>
    <r>
      <rPr>
        <sz val="12"/>
        <color rgb="FF242424"/>
        <rFont val="Calibri"/>
        <scheme val="minor"/>
      </rPr>
      <t xml:space="preserve"> - </t>
    </r>
    <r>
      <rPr>
        <sz val="12"/>
        <color rgb="FF000000"/>
        <rFont val="Calibri"/>
        <scheme val="minor"/>
      </rPr>
      <t>COLO</t>
    </r>
    <r>
      <rPr>
        <sz val="12"/>
        <color rgb="FF242424"/>
        <rFont val="Calibri"/>
        <scheme val="minor"/>
      </rPr>
      <t xml:space="preserve"> </t>
    </r>
    <r>
      <rPr>
        <sz val="12"/>
        <color rgb="FF000000"/>
        <rFont val="Calibri"/>
        <scheme val="minor"/>
      </rPr>
      <t>5</t>
    </r>
    <r>
      <rPr>
        <sz val="12"/>
        <color rgb="FF242424"/>
        <rFont val="Calibri"/>
        <scheme val="minor"/>
      </rPr>
      <t xml:space="preserve"> - </t>
    </r>
    <r>
      <rPr>
        <sz val="12"/>
        <color rgb="FF000000"/>
        <rFont val="Calibri"/>
        <scheme val="minor"/>
      </rPr>
      <t>DAS</t>
    </r>
    <r>
      <rPr>
        <sz val="12"/>
        <color rgb="FF242424"/>
        <rFont val="Calibri"/>
        <scheme val="minor"/>
      </rPr>
      <t xml:space="preserve"> </t>
    </r>
    <r>
      <rPr>
        <sz val="12"/>
        <color rgb="FF000000"/>
        <rFont val="Calibri"/>
        <scheme val="minor"/>
      </rPr>
      <t>Cx</t>
    </r>
    <r>
      <rPr>
        <sz val="12"/>
        <color rgb="FF242424"/>
        <rFont val="Calibri"/>
        <scheme val="minor"/>
      </rPr>
      <t xml:space="preserve"> </t>
    </r>
    <r>
      <rPr>
        <sz val="12"/>
        <color rgb="FF000000"/>
        <rFont val="Calibri"/>
        <scheme val="minor"/>
      </rPr>
      <t>Documentation</t>
    </r>
  </si>
  <si>
    <t>HS received files to review on 6/30</t>
  </si>
  <si>
    <t>017700-8.0 - Whole IFC Set Tranche 4 As-Built</t>
  </si>
  <si>
    <t>YTO40 Action Required: RFI-890 Revision 0: RoIP Radio IDs Confirmation</t>
  </si>
  <si>
    <t>Sub# 270010-006-00-CELL, PUBLIC SAFETY &amp; ROIP DAS Closeout Package (As-builts)-FOR REVIEW-Due 07-07-2026</t>
  </si>
  <si>
    <t>DASROIP</t>
  </si>
  <si>
    <t>EAT13 - Communication Systems Distributed Antenna Systems - Reports - Submittal 275019-001</t>
  </si>
  <si>
    <t>DAS Design Submittal 275019-004</t>
  </si>
  <si>
    <t>Submittal 275019-002</t>
  </si>
  <si>
    <t>DFC-0026-R1 O&amp;M - DAS</t>
  </si>
  <si>
    <t>#729 - CDAS Terminations</t>
  </si>
  <si>
    <t>DAS-ROIP O&amp;M Manuals</t>
  </si>
  <si>
    <t>Submittal 01 77 00-1.1: Closeout Document - Warranty Booklet.</t>
  </si>
  <si>
    <t>submittal 01 77 00-1.1, Closeout Document - Warranty Booklet</t>
  </si>
  <si>
    <t>P2 - 273241-020 - DAS-ROIP Warranty - TeamLinx Wireless - COLO 4 - CLW</t>
  </si>
  <si>
    <t xml:space="preserve">#891 - MC Dean - AVC18 CDAS Shop Drawings </t>
  </si>
  <si>
    <t xml:space="preserve">#892 - MC Dean - AVC18 PSDAS Shop Drawings </t>
  </si>
  <si>
    <t>EXP Submittal #112</t>
  </si>
  <si>
    <t>PCO 332 - Design Revision Bulletin 6</t>
  </si>
  <si>
    <t>Submittal 01 77 00-1.1: Closeout Document - Warranty Booklet</t>
  </si>
  <si>
    <t>RFI #4, MNZ04 - Parking Garage Telecom Device Plan</t>
  </si>
  <si>
    <t>Submittal 27 50 19-9.0: Communication Systems Distributed Antenna System - O&amp;M Manual.</t>
  </si>
  <si>
    <t>RFI 612</t>
  </si>
  <si>
    <t>Submittal 1408 Revision 0: - Cellular DAS Design Package - 27 50 19 - COMMUNICATION SYSTEMS DAS</t>
  </si>
  <si>
    <t>submittal 1329.0, DAS Cellular Coax Cable Test Results - YTO11 Package 1 (Admin, COLO 1, COLO 2)</t>
  </si>
  <si>
    <t>submittal 1330.0, ROIP Coax Cable Testing Results - YTO11 Package 1 (Admin, COLO 1 and COLO 2)</t>
  </si>
  <si>
    <t>RFI #747, AVC18 Exterior RoIP Antenna</t>
  </si>
  <si>
    <t>RFI 0370 - DAS Wall mount FCR Fiber housing conflict</t>
  </si>
  <si>
    <t>BW Reviewed and responsed to</t>
  </si>
  <si>
    <t>Public Safety DAS (ERRCS) - Shop Drawings</t>
  </si>
  <si>
    <t>Submittal 915.0: MC Dean - AVC18 CDAS Product Data</t>
  </si>
  <si>
    <t>Submittal 916.0: MC Dean - AVC18 PSDAS Product Data</t>
  </si>
  <si>
    <t>YQB01-Substantial completion certificate **URGENT**</t>
  </si>
  <si>
    <t>Site Reports</t>
  </si>
  <si>
    <t>Submittal #918 AVC18 PSDAS Test Plans</t>
  </si>
  <si>
    <t>Submittal #917 AVC18 CDAS Test Plans</t>
  </si>
  <si>
    <t>ATL06 – 27-50-19-9, O&amp;M Manuals</t>
  </si>
  <si>
    <t>273241-10.1 - RoIP - Sample Warranty - Microsoft_MNZ03 Data Center Manassas_VA-Project - Submittal:273241-10.1:UEbBu</t>
  </si>
  <si>
    <t>275019-17.0 - DAS - Sample Warranty - Microsoft_MNZ03 Data Center Manassas_VA-Project - Submittal:275019-17.0 :UEbBu</t>
  </si>
  <si>
    <t>EAT13 RFI - 0370</t>
  </si>
  <si>
    <t>As-Builts_Telecom_TELECON</t>
  </si>
  <si>
    <t>Closeout Document - Warranty Booklet</t>
  </si>
  <si>
    <t>Submittal 1353.0: DAS &amp; ROIP Closeout Package</t>
  </si>
  <si>
    <t>P2 - 273241-021 - DAS-ROIP Warranty - TeamLinx Wireless - COLO 5 - CLW.pdf</t>
  </si>
  <si>
    <t>RFI 0395 - COLO 1 DAS Equip. Location Clarification</t>
  </si>
  <si>
    <t>Priority Level</t>
  </si>
  <si>
    <t>Proposal</t>
  </si>
  <si>
    <t>Balance</t>
  </si>
  <si>
    <t>Invoiced to Date</t>
  </si>
  <si>
    <t>BILLED COMPLETE</t>
  </si>
  <si>
    <t>Must notify contractor when billings hit 80% of contract.</t>
  </si>
  <si>
    <t>IAD04_05CA</t>
  </si>
  <si>
    <t>Date Added</t>
  </si>
  <si>
    <t>Contacts</t>
  </si>
  <si>
    <t>Completed?</t>
  </si>
  <si>
    <t>Expense Report Captured?</t>
  </si>
  <si>
    <t>Scheduled Date</t>
  </si>
  <si>
    <t>Travel Confirmed</t>
  </si>
  <si>
    <t>Punchwalk date</t>
  </si>
  <si>
    <t>Testing Reports Received</t>
  </si>
  <si>
    <t>Closeout Materials Received?</t>
  </si>
  <si>
    <t>Site walk report status</t>
  </si>
  <si>
    <t>Expenses Submitted for Invoicing</t>
  </si>
  <si>
    <t>Todd Wescott</t>
  </si>
  <si>
    <t>4/15: On weekly touch base call T Wescott indicated he'd be reaching out to all disciplines to coordinate site visits within the next couple of weeks.</t>
  </si>
  <si>
    <t>8/20-8/23/25</t>
  </si>
  <si>
    <t>BW - Yes</t>
  </si>
  <si>
    <t>6/3-6/4</t>
  </si>
  <si>
    <t>Y</t>
  </si>
  <si>
    <t>BIR</t>
  </si>
  <si>
    <t xml:space="preserve">BW walkthrough with Verizon. Out all day Thursday, out in the morning on Friday. </t>
  </si>
  <si>
    <t>8/20-8/21</t>
  </si>
  <si>
    <t>7/9/25: HS asked to have added to site visit list.</t>
  </si>
  <si>
    <t>8/27-8/29</t>
  </si>
  <si>
    <t>BW- Yes</t>
  </si>
  <si>
    <t xml:space="preserve"> remington.Clausen@skanska.com - on site Candy.Glass@jacobs.com - Jacobs On-site CM</t>
  </si>
  <si>
    <t>Emailed Remington/Candy S2A contacts 4/10/25</t>
  </si>
  <si>
    <t xml:space="preserve">michael.Cheung@skanska.com  - on site coordinator
Candy.Glass@jacobs.com - Jacobs On-site CM </t>
  </si>
  <si>
    <t>Michael advised 4/10/25 - target week of 5/25</t>
  </si>
  <si>
    <t>PHX14-COLO3</t>
  </si>
  <si>
    <t>TENTATIVE - 7/24: Email received from Michael Cheung requesting to pick date/time for punch walk visit.  S2A advised not going.</t>
  </si>
  <si>
    <t>karen.walker@jacobs.com - Jacobs On-site CM</t>
  </si>
  <si>
    <t>Per K Walker 4/15: turned over to client.</t>
  </si>
  <si>
    <t>Per K Walker 4/15/25: PHX72 is at erecting steel framing and roofing, along with constructing infrastructure.  Will keep us posted on walk thru sched - still aways out.</t>
  </si>
  <si>
    <t>Brian.Gailfus@jacobs.com</t>
  </si>
  <si>
    <t xml:space="preserve">8/26: Test data is being reviewed. </t>
  </si>
  <si>
    <t>BURNS</t>
  </si>
  <si>
    <t>4/22-4/24 - HS</t>
  </si>
  <si>
    <t>Yes</t>
  </si>
  <si>
    <t>LINX</t>
  </si>
  <si>
    <t>6/9-6/12</t>
  </si>
  <si>
    <t>IAD</t>
  </si>
  <si>
    <t>DWS</t>
  </si>
  <si>
    <t>6/16/25: BW called out may need visit soon.</t>
  </si>
  <si>
    <t>YQB's</t>
  </si>
  <si>
    <t>6/16/25: HW called out may be coming up.</t>
  </si>
  <si>
    <t>10/14/25: BW called out may need visit soon. TBD.</t>
  </si>
  <si>
    <t>11/6: Need two hours at each site</t>
  </si>
  <si>
    <t>x</t>
  </si>
  <si>
    <t>10/31: Sultan Katrangi: S2A will do a single visit when the system is tested. ($5,200 for expenses)</t>
  </si>
  <si>
    <t>11/07: Punchwalk will be first week of December - Scope is Package 1, but COLO1+Admin only, COLO2 will come later, at which we’ll be setting up another punch walk.</t>
  </si>
  <si>
    <t>CPQs</t>
  </si>
  <si>
    <t>11/10-11/15</t>
  </si>
  <si>
    <t>Early Dec</t>
  </si>
  <si>
    <t>11/10: The DAS Cx team will be on site the week of 11/17/2025.</t>
  </si>
  <si>
    <t>Estimates to Date</t>
  </si>
  <si>
    <t>Balance:</t>
  </si>
  <si>
    <t>Invoiced Amount</t>
  </si>
  <si>
    <t>Scope</t>
  </si>
  <si>
    <t>Estimate</t>
  </si>
  <si>
    <t>Approved</t>
  </si>
  <si>
    <t>Inv Amt</t>
  </si>
  <si>
    <t>Invoiced to A/E</t>
  </si>
  <si>
    <t>Month Billed</t>
  </si>
  <si>
    <t>Centerline Invoice #</t>
  </si>
  <si>
    <t>S2A Invoice#</t>
  </si>
  <si>
    <t>EAT03CA</t>
  </si>
  <si>
    <t>EAT12CA</t>
  </si>
  <si>
    <t>Moving PS Antenna </t>
  </si>
  <si>
    <t>IAD04DRB10</t>
  </si>
  <si>
    <t>IAD04 HeadEnd Mod</t>
  </si>
  <si>
    <t>IAD11DRB</t>
  </si>
  <si>
    <t>IAD11 HeadEnd Mod</t>
  </si>
  <si>
    <t>update ibwaves - reflect new dedicated signal source in LVL08</t>
  </si>
  <si>
    <t>MNZ03DRB04</t>
  </si>
  <si>
    <t>MNZ03 HeadEnd Mod</t>
  </si>
  <si>
    <t>SJC02Revision</t>
  </si>
  <si>
    <t>Substation ROiP Revisions - to be delivered in IFP/IFC package</t>
  </si>
  <si>
    <t>Needs to be billed to A/E after  IFP issuance 8/14</t>
  </si>
  <si>
    <t>run test without shell space antennas</t>
  </si>
  <si>
    <t>PSDAS Update - City of Palmetto code changes - design+CAD</t>
  </si>
  <si>
    <t>CADS delivered 7/17 ($1,300) - ibWaves delivered 7/10 - S2A to review and then CL will start CADS</t>
  </si>
  <si>
    <t>7/1 Title and Date CAD updates</t>
  </si>
  <si>
    <t>7/11 Title and Date CAD (PDF?) updates</t>
  </si>
  <si>
    <t>sheet index, too, and CADs. client to be billed with July cycle.</t>
  </si>
  <si>
    <t>Update cads based on updated ibWaves</t>
  </si>
  <si>
    <t>delievered 7/16</t>
  </si>
  <si>
    <t>Descope DRB08 IFC package 7/10</t>
  </si>
  <si>
    <t>LVL</t>
  </si>
  <si>
    <t>Consolidation of LVL 9,10,11 data centers into LVL08 file</t>
  </si>
  <si>
    <t>bill to LVL10CA contract.</t>
  </si>
  <si>
    <t>Reverse of PHX72 descope done in May</t>
  </si>
  <si>
    <t>11/03: Only partially billed. Original estimate was $2,350 for both PHX72 and 82.
8/28: Estimate $2,350 CADS only</t>
  </si>
  <si>
    <t>Reverse of PHX82 descope done in May (CANCELED)</t>
  </si>
  <si>
    <t>N</t>
  </si>
  <si>
    <t>-</t>
  </si>
  <si>
    <t xml:space="preserve">1/26: Work canceled and never billed by CL11/07: CL work back on but reduced, similar to work done for PHX72
11/03: CL work canceled. 
8/28: Estimate $2,350 CADS only </t>
  </si>
  <si>
    <t>add in colo 4 to ibwaves</t>
  </si>
  <si>
    <t>10/1: Contract added to Notora Open PO contract folder</t>
  </si>
  <si>
    <t>CAD Updates</t>
  </si>
  <si>
    <t>Had a note about a $500 obligation to Stephen.  Perhaps the original estimate amount was changed?</t>
  </si>
  <si>
    <t>CAD Reprint?</t>
  </si>
  <si>
    <t>This was a NTP (BW has email)</t>
  </si>
  <si>
    <t>PSDAS design that includes the Admin area and all 5 COLOs</t>
  </si>
  <si>
    <t>Design Revision + CADs</t>
  </si>
  <si>
    <t>Design Revision</t>
  </si>
  <si>
    <t>$1,300 for DES REV per site, $3,150 for CADs per site</t>
  </si>
  <si>
    <t>CADS</t>
  </si>
  <si>
    <r>
      <t>Each project would be </t>
    </r>
    <r>
      <rPr>
        <sz val="12"/>
        <color rgb="FF000000"/>
        <rFont val="Arial"/>
      </rPr>
      <t>$1,300 for the revision and $1,500 for the CAD updates</t>
    </r>
  </si>
  <si>
    <t>CLT010</t>
  </si>
  <si>
    <t>233523_x000D_</t>
  </si>
  <si>
    <t>Verizon iBwave Package</t>
  </si>
  <si>
    <t xml:space="preserve">Update design </t>
  </si>
  <si>
    <t>iBwave Design Package</t>
  </si>
  <si>
    <t>CAD set</t>
  </si>
  <si>
    <t>LVL10/11</t>
  </si>
  <si>
    <t>Contractor Questions</t>
  </si>
  <si>
    <t>OEM Research and Revision</t>
  </si>
  <si>
    <t>Public Safety Design Revision</t>
  </si>
  <si>
    <t xml:space="preserve">Y </t>
  </si>
  <si>
    <t>CAD Revisions</t>
  </si>
  <si>
    <t>Week</t>
  </si>
  <si>
    <t>Day</t>
  </si>
  <si>
    <t>Task</t>
  </si>
  <si>
    <t>January</t>
  </si>
  <si>
    <t>February</t>
  </si>
  <si>
    <t>March</t>
  </si>
  <si>
    <t>April</t>
  </si>
  <si>
    <t>May</t>
  </si>
  <si>
    <t>June</t>
  </si>
  <si>
    <t>July</t>
  </si>
  <si>
    <t>August</t>
  </si>
  <si>
    <t>Sep</t>
  </si>
  <si>
    <t>October</t>
  </si>
  <si>
    <t>November</t>
  </si>
  <si>
    <t>December</t>
  </si>
  <si>
    <t>Week 1</t>
  </si>
  <si>
    <t>Open Items</t>
  </si>
  <si>
    <t xml:space="preserve">
</t>
  </si>
  <si>
    <t>Prepare Invoice Template &amp; Time Tracker Doc For Each Project</t>
  </si>
  <si>
    <t>3:00 PM - Weekly Touch Base Meeting</t>
  </si>
  <si>
    <t>Update Project List and Create New Timesheets</t>
  </si>
  <si>
    <t>YQB Invoices Due</t>
  </si>
  <si>
    <t>Week 2</t>
  </si>
  <si>
    <t>Notora Invoice Reconciliation</t>
  </si>
  <si>
    <t>Week 3</t>
  </si>
  <si>
    <t>Log Into MSFT Account</t>
  </si>
  <si>
    <t>All Invoicing Due Date</t>
  </si>
  <si>
    <t>Week 4</t>
  </si>
  <si>
    <t>Reconcile Received to Date Amount in Billing Spreadsheet</t>
  </si>
  <si>
    <t>Send out A/R Reports</t>
  </si>
  <si>
    <t>Archive Important Docs</t>
  </si>
  <si>
    <t>Process Timesheets</t>
  </si>
  <si>
    <t>Monthly Billing/Contracts/AR Status Meeting with Harold</t>
  </si>
  <si>
    <t>Week 5</t>
  </si>
  <si>
    <t>Last Day of the Month - Prepare Monthly Billing Spreadsheet</t>
  </si>
  <si>
    <t>Active</t>
  </si>
  <si>
    <t>ATLANTA, GA</t>
  </si>
  <si>
    <t>Catherine Hannon</t>
  </si>
  <si>
    <t>Nick Mayor</t>
  </si>
  <si>
    <t>BN49-CA</t>
  </si>
  <si>
    <t>Daniel Jones</t>
  </si>
  <si>
    <t>BN80-CA</t>
  </si>
  <si>
    <t>CHICAGO</t>
  </si>
  <si>
    <t>Andrew Krebs</t>
  </si>
  <si>
    <t>akrebs@syska.com</t>
  </si>
  <si>
    <t>Harold Sheley</t>
  </si>
  <si>
    <t>CHI10</t>
  </si>
  <si>
    <t>Clint Moreno</t>
  </si>
  <si>
    <t>CO09</t>
  </si>
  <si>
    <t>QUINCY, WA</t>
  </si>
  <si>
    <t>CPG</t>
  </si>
  <si>
    <t>Mark Heinrich</t>
  </si>
  <si>
    <t>Turner</t>
  </si>
  <si>
    <t>John Clark</t>
  </si>
  <si>
    <t>Colo 1 is scheduled to start being built around 6/5/2023</t>
  </si>
  <si>
    <t>IAD02/03</t>
  </si>
  <si>
    <t>POC is Marty Angeli</t>
  </si>
  <si>
    <t>LVL01-03</t>
  </si>
  <si>
    <t>K-WMCE</t>
  </si>
  <si>
    <t>PHX11</t>
  </si>
  <si>
    <t>Howard Way</t>
  </si>
  <si>
    <t>Howard.Way@jacobs.com</t>
  </si>
  <si>
    <t>QRO1</t>
  </si>
  <si>
    <t>MEXICO CITY, MEXICO</t>
  </si>
  <si>
    <t>Charlie Ussery</t>
  </si>
  <si>
    <t>cmussery@burnsmcd.com</t>
  </si>
  <si>
    <t>QRO2</t>
  </si>
  <si>
    <t>QRO6</t>
  </si>
  <si>
    <t>SAT12</t>
  </si>
  <si>
    <t>James Ball</t>
  </si>
  <si>
    <t>SCL03</t>
  </si>
  <si>
    <t>LIMA, CHILE</t>
  </si>
  <si>
    <t>Black and Veatch</t>
  </si>
  <si>
    <t>Shilpa A. Maganti</t>
  </si>
  <si>
    <t>MagantiSA@bv.com</t>
  </si>
  <si>
    <t>SCL05</t>
  </si>
  <si>
    <t>KP Adds:</t>
  </si>
  <si>
    <t>Pagethink</t>
  </si>
  <si>
    <t>David Lamutt</t>
  </si>
  <si>
    <t>dlamutt@pagethink.com</t>
  </si>
  <si>
    <t>Jason Guzman</t>
  </si>
  <si>
    <t>jguzman@ha-ny.com</t>
  </si>
  <si>
    <t>YBQ01</t>
  </si>
  <si>
    <t>WZMH</t>
  </si>
  <si>
    <t>kyurkovska@wzmh.com</t>
  </si>
  <si>
    <t>CYS13CA</t>
  </si>
  <si>
    <t>CYS13 Record Drawings (Admin and COLOs 1 through 5) to close out the project. The latest federated model is available in Navisworks and all disciplines should have final approved redlines (with the exception of Mechanical, where we are tracking down some last info). Please begin working on Record Drawings with the idea to submit as early as possible in August (date TBC once we receive final Mech info). The client has asked us to submit these as soon as possible, so we’re being asked to advance what we can.</t>
  </si>
  <si>
    <t>Phase</t>
  </si>
  <si>
    <t>Subtask</t>
  </si>
  <si>
    <t>Due Date</t>
  </si>
  <si>
    <t>Microsoft (Progress)</t>
  </si>
  <si>
    <t>Andrews (Progress)</t>
  </si>
  <si>
    <t>S2 Advisors (Progress)</t>
  </si>
  <si>
    <t>DAS Contractor (Progress)</t>
  </si>
  <si>
    <t>PAPERWORK</t>
  </si>
  <si>
    <t>Contract Organization</t>
  </si>
  <si>
    <t>Draft contracts</t>
  </si>
  <si>
    <t>[Progress ▼]</t>
  </si>
  <si>
    <t>Purchase Orders</t>
  </si>
  <si>
    <t>Submit to finance</t>
  </si>
  <si>
    <t>CONSTRUCTION</t>
  </si>
  <si>
    <t>Site Prep</t>
  </si>
  <si>
    <t>Clear land</t>
  </si>
  <si>
    <t>Electrical Install</t>
  </si>
  <si>
    <t>Install conduits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</si>
</sst>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6" formatCode="&quot;$&quot;#,##0_);[Red]\(&quot;$&quot;#,##0\)"/>
    <numFmt numFmtId="8" formatCode="&quot;$&quot;#,##0.00_);[Red]\(&quot;$&quot;#,##0.00\)"/>
    <numFmt numFmtId="164" formatCode="&quot;$&quot;#,##0.00"/>
    <numFmt numFmtId="165" formatCode="m/d/yy;@"/>
    <numFmt numFmtId="166" formatCode="_([$$-409]* #,##0.00_);_([$$-409]* \(#,##0.00\);_([$$-409]* &quot;-&quot;??_);_(@_)"/>
  </numFmts>
  <fonts count="110">
    <font>
      <sz val="11"/>
      <color theme="1"/>
      <name val="Calibri"/>
      <family val="2"/>
      <scheme val="minor"/>
    </font>
    <font>
      <sz val="11"/>
      <color theme="1"/>
      <name val="Calibri"/>
      <scheme val="minor"/>
    </font>
    <font>
      <sz val="11"/>
      <color theme="1"/>
      <name val="Calibri"/>
      <scheme val="minor"/>
    </font>
    <font>
      <sz val="11"/>
      <color theme="1"/>
      <name val="Calibri"/>
      <family val="2"/>
      <scheme val="minor"/>
    </font>
    <font>
      <sz val="11"/>
      <color theme="1"/>
      <name val="Calibri"/>
      <family val="2"/>
      <scheme val="minor"/>
    </font>
    <font>
      <b/>
      <sz val="11"/>
      <color theme="1"/>
      <name val="Calibri"/>
      <family val="2"/>
      <scheme val="minor"/>
    </font>
    <font>
      <u/>
      <sz val="11"/>
      <color theme="10"/>
      <name val="Calibri"/>
      <family val="2"/>
      <scheme val="minor"/>
    </font>
    <font>
      <sz val="11"/>
      <color rgb="FF000000"/>
      <name val="Calibri"/>
      <family val="2"/>
      <scheme val="minor"/>
    </font>
    <font>
      <sz val="11"/>
      <color theme="1"/>
      <name val="Calibri"/>
      <family val="2"/>
      <charset val="1"/>
    </font>
    <font>
      <b/>
      <u/>
      <sz val="11"/>
      <color theme="1"/>
      <name val="Calibri"/>
      <family val="2"/>
      <charset val="1"/>
    </font>
    <font>
      <sz val="11"/>
      <color rgb="FFFF0000"/>
      <name val="Calibri"/>
      <family val="2"/>
      <scheme val="minor"/>
    </font>
    <font>
      <b/>
      <sz val="14"/>
      <color theme="1"/>
      <name val="Calibri"/>
      <family val="2"/>
      <scheme val="minor"/>
    </font>
    <font>
      <b/>
      <sz val="14"/>
      <color theme="4"/>
      <name val="Calibri"/>
      <family val="2"/>
      <scheme val="minor"/>
    </font>
    <font>
      <b/>
      <sz val="14"/>
      <color theme="5"/>
      <name val="Calibri"/>
      <family val="2"/>
      <scheme val="minor"/>
    </font>
    <font>
      <sz val="12"/>
      <color rgb="FF000000"/>
      <name val="Arial"/>
      <family val="2"/>
    </font>
    <font>
      <sz val="12"/>
      <color rgb="FF000000"/>
      <name val="Aptos"/>
      <family val="2"/>
    </font>
    <font>
      <sz val="12"/>
      <color rgb="FF242424"/>
      <name val="Segoe UI"/>
      <family val="2"/>
    </font>
    <font>
      <sz val="11"/>
      <color rgb="FF000000"/>
      <name val="Arial"/>
      <family val="2"/>
    </font>
    <font>
      <i/>
      <sz val="11"/>
      <color rgb="FFFF0000"/>
      <name val="Arial"/>
      <family val="2"/>
    </font>
    <font>
      <sz val="12"/>
      <color rgb="FFFF0000"/>
      <name val="Aptos"/>
      <family val="2"/>
    </font>
    <font>
      <i/>
      <sz val="11"/>
      <color rgb="FFED7D31"/>
      <name val="Calibri"/>
      <family val="2"/>
      <scheme val="minor"/>
    </font>
    <font>
      <b/>
      <sz val="11"/>
      <color rgb="FF000000"/>
      <name val="Calibri"/>
      <family val="2"/>
      <scheme val="minor"/>
    </font>
    <font>
      <b/>
      <sz val="11"/>
      <color theme="1"/>
      <name val="Arial"/>
      <family val="2"/>
    </font>
    <font>
      <sz val="11"/>
      <color theme="1"/>
      <name val="Arial"/>
      <family val="2"/>
    </font>
    <font>
      <b/>
      <sz val="12"/>
      <color rgb="FF000000"/>
      <name val="Arial"/>
      <family val="2"/>
    </font>
    <font>
      <i/>
      <sz val="11"/>
      <color rgb="FF000000"/>
      <name val="Calibri"/>
      <family val="2"/>
      <scheme val="minor"/>
    </font>
    <font>
      <sz val="11"/>
      <color theme="1"/>
      <name val="Arial"/>
      <family val="2"/>
    </font>
    <font>
      <sz val="11"/>
      <color rgb="FFFF0000"/>
      <name val="Arial"/>
      <family val="2"/>
    </font>
    <font>
      <u/>
      <sz val="11"/>
      <color rgb="FFFF0000"/>
      <name val="Arial"/>
      <family val="2"/>
    </font>
    <font>
      <u/>
      <sz val="11"/>
      <color theme="10"/>
      <name val="Arial"/>
      <family val="2"/>
    </font>
    <font>
      <sz val="12"/>
      <name val="Arial"/>
      <family val="2"/>
    </font>
    <font>
      <sz val="12"/>
      <color rgb="FF000000"/>
      <name val="Calibri"/>
      <family val="2"/>
      <scheme val="minor"/>
    </font>
    <font>
      <sz val="12"/>
      <name val="Calibri"/>
      <family val="2"/>
      <scheme val="minor"/>
    </font>
    <font>
      <sz val="11"/>
      <color rgb="FF242424"/>
      <name val="Times New Roman"/>
      <family val="1"/>
    </font>
    <font>
      <sz val="11"/>
      <color rgb="FF000000"/>
      <name val="Aptos"/>
      <family val="2"/>
    </font>
    <font>
      <sz val="11"/>
      <color rgb="FF242424"/>
      <name val="Segoe UI"/>
      <family val="2"/>
    </font>
    <font>
      <sz val="11"/>
      <color rgb="FF000000"/>
      <name val="Segoe UI"/>
      <family val="2"/>
    </font>
    <font>
      <i/>
      <sz val="11"/>
      <color rgb="FF000000"/>
      <name val="Arial"/>
      <family val="2"/>
    </font>
    <font>
      <i/>
      <sz val="11"/>
      <color rgb="FF000000"/>
      <name val="Aptos"/>
      <family val="2"/>
    </font>
    <font>
      <sz val="11"/>
      <color rgb="FF0A0A0A"/>
      <name val="Aptos Display"/>
      <family val="2"/>
    </font>
    <font>
      <sz val="11"/>
      <color rgb="FFFF0000"/>
      <name val="Aptos Display"/>
      <family val="2"/>
    </font>
    <font>
      <i/>
      <sz val="11"/>
      <color rgb="FFFF0000"/>
      <name val="Aptos Display"/>
      <family val="2"/>
    </font>
    <font>
      <sz val="11"/>
      <color rgb="FFFF0000"/>
      <name val="Aptos"/>
      <family val="2"/>
    </font>
    <font>
      <sz val="11"/>
      <color rgb="FF282828"/>
      <name val="Aptos"/>
      <family val="2"/>
    </font>
    <font>
      <sz val="11"/>
      <color rgb="FF000000"/>
      <name val="Aptos"/>
      <family val="2"/>
      <charset val="1"/>
    </font>
    <font>
      <sz val="11"/>
      <color rgb="FF282828"/>
      <name val="Arial"/>
      <family val="2"/>
    </font>
    <font>
      <sz val="11"/>
      <color rgb="FF242424"/>
      <name val="Arial"/>
      <family val="2"/>
    </font>
    <font>
      <sz val="12"/>
      <color rgb="FF242424"/>
      <name val="Arial"/>
      <family val="2"/>
    </font>
    <font>
      <sz val="12"/>
      <color rgb="FF242424"/>
      <name val="Times New Roman"/>
      <family val="1"/>
    </font>
    <font>
      <sz val="11"/>
      <color rgb="FF242424"/>
      <name val="Calibri"/>
      <family val="2"/>
    </font>
    <font>
      <sz val="11"/>
      <color theme="1"/>
      <name val="Arial"/>
      <family val="2"/>
    </font>
    <font>
      <sz val="11"/>
      <color rgb="FF242424"/>
      <name val="Calibri"/>
      <family val="2"/>
      <scheme val="minor"/>
    </font>
    <font>
      <sz val="12"/>
      <color rgb="FF242424"/>
      <name val="Calibri"/>
      <family val="2"/>
      <scheme val="minor"/>
    </font>
    <font>
      <sz val="11"/>
      <color rgb="FF242424"/>
      <name val="Calibri"/>
      <family val="2"/>
      <charset val="1"/>
    </font>
    <font>
      <sz val="11"/>
      <color rgb="FF000000"/>
      <name val="Calibri"/>
      <scheme val="minor"/>
    </font>
    <font>
      <i/>
      <sz val="11"/>
      <color rgb="FF242424"/>
      <name val="Calibri"/>
      <scheme val="minor"/>
    </font>
    <font>
      <sz val="12"/>
      <color rgb="FF4E5860"/>
      <name val="Calibri"/>
      <scheme val="minor"/>
    </font>
    <font>
      <sz val="12"/>
      <color rgb="FF242424"/>
      <name val="Segoe UI"/>
      <charset val="1"/>
    </font>
    <font>
      <b/>
      <i/>
      <sz val="11"/>
      <color rgb="FF242424"/>
      <name val="Aptos"/>
      <family val="2"/>
      <charset val="1"/>
    </font>
    <font>
      <b/>
      <i/>
      <vertAlign val="superscript"/>
      <sz val="11"/>
      <color rgb="FF242424"/>
      <name val="Aptos"/>
      <family val="2"/>
      <charset val="1"/>
    </font>
    <font>
      <sz val="11"/>
      <color rgb="FF242424"/>
      <name val="Aptos"/>
      <family val="2"/>
      <charset val="1"/>
    </font>
    <font>
      <sz val="12"/>
      <color rgb="FF000000"/>
      <name val="Arial"/>
    </font>
    <font>
      <sz val="12"/>
      <color rgb="FFFF0000"/>
      <name val="Arial"/>
    </font>
    <font>
      <sz val="12"/>
      <name val="Arial"/>
    </font>
    <font>
      <b/>
      <sz val="11"/>
      <color theme="1"/>
      <name val="Calibri"/>
      <scheme val="minor"/>
    </font>
    <font>
      <sz val="12"/>
      <color rgb="FF000000"/>
      <name val="Calibri"/>
      <scheme val="minor"/>
    </font>
    <font>
      <sz val="11"/>
      <color rgb="FF242424"/>
      <name val="Calibri"/>
      <scheme val="minor"/>
    </font>
    <font>
      <sz val="11"/>
      <color rgb="FF242424"/>
      <name val="Aptos Narrow"/>
      <charset val="1"/>
    </font>
    <font>
      <sz val="11"/>
      <color rgb="FF242424"/>
      <name val="Segoe UI"/>
      <charset val="1"/>
    </font>
    <font>
      <sz val="10"/>
      <color theme="1"/>
      <name val="Aptos"/>
      <family val="2"/>
      <charset val="1"/>
    </font>
    <font>
      <sz val="11"/>
      <color theme="1"/>
      <name val="Arial"/>
    </font>
    <font>
      <i/>
      <sz val="11"/>
      <color rgb="FF000000"/>
      <name val="Calibri"/>
      <scheme val="minor"/>
    </font>
    <font>
      <sz val="11"/>
      <color rgb="FF4E5860"/>
      <name val="Arial"/>
      <family val="1"/>
      <charset val="1"/>
    </font>
    <font>
      <b/>
      <sz val="11"/>
      <color rgb="FF000000"/>
      <name val="Helvetica Neue"/>
      <charset val="1"/>
    </font>
    <font>
      <sz val="11"/>
      <color theme="1"/>
      <name val="Helvetica"/>
      <charset val="1"/>
    </font>
    <font>
      <b/>
      <sz val="11"/>
      <color theme="0"/>
      <name val="Helvetica Neue"/>
      <charset val="1"/>
    </font>
    <font>
      <i/>
      <sz val="11"/>
      <color rgb="FF000000"/>
      <name val="Helvetica Neue"/>
      <charset val="1"/>
    </font>
    <font>
      <b/>
      <sz val="12"/>
      <color rgb="FF000000"/>
      <name val="Arial"/>
    </font>
    <font>
      <strike/>
      <sz val="12"/>
      <color rgb="FF000000"/>
      <name val="Calibri"/>
      <scheme val="minor"/>
    </font>
    <font>
      <strike/>
      <sz val="11"/>
      <color theme="1"/>
      <name val="Calibri"/>
      <family val="2"/>
      <scheme val="minor"/>
    </font>
    <font>
      <sz val="10"/>
      <color rgb="FF000000"/>
      <name val="Aptos"/>
      <charset val="1"/>
    </font>
    <font>
      <b/>
      <sz val="10"/>
      <color rgb="FF000000"/>
      <name val="Aptos"/>
      <charset val="1"/>
    </font>
    <font>
      <sz val="12"/>
      <color rgb="FF242424"/>
      <name val="Times New Roman"/>
      <charset val="1"/>
    </font>
    <font>
      <sz val="14"/>
      <color rgb="FF000000"/>
      <name val="Calibri"/>
      <family val="2"/>
      <charset val="1"/>
    </font>
    <font>
      <sz val="11"/>
      <color rgb="FF000000"/>
      <name val="Arial"/>
    </font>
    <font>
      <sz val="11"/>
      <color rgb="FF4E5860"/>
      <name val="Calibri"/>
      <scheme val="minor"/>
    </font>
    <font>
      <b/>
      <sz val="11"/>
      <color theme="1"/>
      <name val="Aptos"/>
      <family val="2"/>
    </font>
    <font>
      <sz val="11"/>
      <color theme="1"/>
      <name val="Aptos"/>
      <family val="2"/>
    </font>
    <font>
      <sz val="11"/>
      <color theme="1"/>
      <name val="Aptos"/>
    </font>
    <font>
      <sz val="12"/>
      <color theme="1"/>
      <name val="Calibri"/>
      <family val="2"/>
      <scheme val="minor"/>
    </font>
    <font>
      <b/>
      <sz val="12"/>
      <color theme="1"/>
      <name val="Arial"/>
    </font>
    <font>
      <sz val="12"/>
      <color theme="1"/>
      <name val="Arial"/>
    </font>
    <font>
      <b/>
      <sz val="11"/>
      <color theme="1"/>
      <name val="Arial"/>
    </font>
    <font>
      <sz val="12"/>
      <color rgb="FF242424"/>
      <name val="Arial"/>
    </font>
    <font>
      <sz val="12"/>
      <color theme="1"/>
      <name val="Arial"/>
      <family val="2"/>
    </font>
    <font>
      <sz val="11"/>
      <color rgb="FF000000"/>
      <name val="Aptos"/>
    </font>
    <font>
      <sz val="11"/>
      <color rgb="FF242424"/>
      <name val="Aptos"/>
    </font>
    <font>
      <sz val="11"/>
      <color rgb="FF000000"/>
      <name val="Segoe UI"/>
      <charset val="1"/>
    </font>
    <font>
      <sz val="12"/>
      <color rgb="FF242424"/>
      <name val="Calibri"/>
      <scheme val="minor"/>
    </font>
    <font>
      <b/>
      <sz val="12"/>
      <color rgb="FF000000"/>
      <name val="Calibri"/>
      <scheme val="minor"/>
    </font>
    <font>
      <b/>
      <sz val="12"/>
      <color theme="1"/>
      <name val="Calibri"/>
      <scheme val="minor"/>
    </font>
    <font>
      <sz val="12"/>
      <color theme="1"/>
      <name val="Calibri"/>
      <scheme val="minor"/>
    </font>
    <font>
      <sz val="12"/>
      <color rgb="FF242424"/>
      <name val="Times New Roman"/>
    </font>
    <font>
      <sz val="11"/>
      <color rgb="FF000000"/>
      <name val="Calibri"/>
    </font>
    <font>
      <sz val="11"/>
      <color rgb="FF000000"/>
      <name val="Calibri"/>
      <family val="2"/>
    </font>
    <font>
      <b/>
      <sz val="14"/>
      <color theme="0"/>
      <name val="Calibri"/>
      <family val="2"/>
      <scheme val="minor"/>
    </font>
    <font>
      <sz val="11"/>
      <name val="Calibri"/>
      <family val="2"/>
      <scheme val="minor"/>
    </font>
    <font>
      <sz val="11"/>
      <color rgb="FFFF0000"/>
      <name val="Calibri"/>
      <family val="2"/>
    </font>
    <font>
      <sz val="11"/>
      <color theme="1"/>
      <name val="Inter"/>
      <charset val="1"/>
    </font>
    <font>
      <sz val="10"/>
      <color rgb="FF000000"/>
      <name val="Arial"/>
      <family val="2"/>
      <charset val="1"/>
    </font>
  </fonts>
  <fills count="28">
    <fill>
      <patternFill patternType="none"/>
    </fill>
    <fill>
      <patternFill patternType="gray125"/>
    </fill>
    <fill>
      <patternFill patternType="solid">
        <fgColor theme="2" tint="-0.249977111117893"/>
        <bgColor indexed="64"/>
      </patternFill>
    </fill>
    <fill>
      <patternFill patternType="solid">
        <fgColor rgb="FFFFFF00"/>
        <bgColor indexed="64"/>
      </patternFill>
    </fill>
    <fill>
      <patternFill patternType="solid">
        <fgColor theme="7" tint="0.39997558519241921"/>
        <bgColor indexed="64"/>
      </patternFill>
    </fill>
    <fill>
      <patternFill patternType="solid">
        <fgColor theme="9" tint="0.79998168889431442"/>
        <bgColor indexed="64"/>
      </patternFill>
    </fill>
    <fill>
      <patternFill patternType="solid">
        <fgColor theme="8" tint="0.79998168889431442"/>
        <bgColor indexed="64"/>
      </patternFill>
    </fill>
    <fill>
      <patternFill patternType="solid">
        <fgColor theme="4" tint="0.79998168889431442"/>
        <bgColor indexed="64"/>
      </patternFill>
    </fill>
    <fill>
      <patternFill patternType="solid">
        <fgColor theme="2" tint="-9.9978637043366805E-2"/>
        <bgColor indexed="64"/>
      </patternFill>
    </fill>
    <fill>
      <patternFill patternType="solid">
        <fgColor theme="0"/>
        <bgColor indexed="64"/>
      </patternFill>
    </fill>
    <fill>
      <patternFill patternType="solid">
        <fgColor rgb="FFFFC000"/>
        <bgColor indexed="64"/>
      </patternFill>
    </fill>
    <fill>
      <patternFill patternType="solid">
        <fgColor theme="4" tint="-0.249977111117893"/>
        <bgColor indexed="64"/>
      </patternFill>
    </fill>
    <fill>
      <patternFill patternType="solid">
        <fgColor theme="5" tint="-0.249977111117893"/>
        <bgColor indexed="64"/>
      </patternFill>
    </fill>
    <fill>
      <patternFill patternType="solid">
        <fgColor theme="9" tint="-0.249977111117893"/>
        <bgColor indexed="64"/>
      </patternFill>
    </fill>
    <fill>
      <patternFill patternType="solid">
        <fgColor theme="7" tint="-0.249977111117893"/>
        <bgColor indexed="64"/>
      </patternFill>
    </fill>
    <fill>
      <patternFill patternType="solid">
        <fgColor theme="4" tint="0.59999389629810485"/>
        <bgColor indexed="64"/>
      </patternFill>
    </fill>
    <fill>
      <patternFill patternType="solid">
        <fgColor theme="5" tint="0.39997558519241921"/>
        <bgColor indexed="64"/>
      </patternFill>
    </fill>
    <fill>
      <patternFill patternType="solid">
        <fgColor theme="5" tint="0.79998168889431442"/>
        <bgColor indexed="64"/>
      </patternFill>
    </fill>
    <fill>
      <patternFill patternType="solid">
        <fgColor theme="9" tint="0.39997558519241921"/>
        <bgColor indexed="64"/>
      </patternFill>
    </fill>
    <fill>
      <patternFill patternType="solid">
        <fgColor theme="7" tint="0.79998168889431442"/>
        <bgColor indexed="64"/>
      </patternFill>
    </fill>
    <fill>
      <patternFill patternType="solid">
        <fgColor theme="6" tint="-0.499984740745262"/>
        <bgColor indexed="64"/>
      </patternFill>
    </fill>
    <fill>
      <patternFill patternType="solid">
        <fgColor theme="6" tint="0.39997558519241921"/>
        <bgColor indexed="64"/>
      </patternFill>
    </fill>
    <fill>
      <patternFill patternType="solid">
        <fgColor theme="6" tint="0.79998168889431442"/>
        <bgColor indexed="64"/>
      </patternFill>
    </fill>
    <fill>
      <patternFill patternType="solid">
        <fgColor theme="5" tint="0.59999389629810485"/>
        <bgColor indexed="64"/>
      </patternFill>
    </fill>
    <fill>
      <patternFill patternType="solid">
        <fgColor theme="8" tint="-0.249977111117893"/>
        <bgColor indexed="64"/>
      </patternFill>
    </fill>
    <fill>
      <patternFill patternType="solid">
        <fgColor theme="0" tint="-4.9989318521683403E-2"/>
        <bgColor indexed="64"/>
      </patternFill>
    </fill>
    <fill>
      <patternFill patternType="solid">
        <fgColor theme="2"/>
        <bgColor indexed="64"/>
      </patternFill>
    </fill>
    <fill>
      <patternFill patternType="solid">
        <fgColor rgb="FFE2EFDA"/>
        <bgColor indexed="64"/>
      </patternFill>
    </fill>
  </fills>
  <borders count="62">
    <border>
      <left/>
      <right/>
      <top/>
      <bottom/>
      <diagonal/>
    </border>
    <border>
      <left/>
      <right/>
      <top/>
      <bottom style="thin">
        <color indexed="64"/>
      </bottom>
      <diagonal/>
    </border>
    <border>
      <left style="thin">
        <color rgb="FF000000"/>
      </left>
      <right style="thin">
        <color rgb="FF000000"/>
      </right>
      <top style="thin">
        <color rgb="FF000000"/>
      </top>
      <bottom style="thin">
        <color rgb="FF000000"/>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top style="thin">
        <color indexed="64"/>
      </top>
      <bottom/>
      <diagonal/>
    </border>
    <border>
      <left style="thin">
        <color rgb="FF000000"/>
      </left>
      <right style="thin">
        <color rgb="FF000000"/>
      </right>
      <top style="thin">
        <color rgb="FF000000"/>
      </top>
      <bottom/>
      <diagonal/>
    </border>
    <border>
      <left style="medium">
        <color rgb="FF000000"/>
      </left>
      <right style="medium">
        <color rgb="FF000000"/>
      </right>
      <top style="medium">
        <color rgb="FF000000"/>
      </top>
      <bottom style="medium">
        <color rgb="FF000000"/>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style="medium">
        <color indexed="64"/>
      </bottom>
      <diagonal/>
    </border>
    <border>
      <left/>
      <right style="medium">
        <color rgb="FF000000"/>
      </right>
      <top/>
      <bottom style="medium">
        <color indexed="64"/>
      </bottom>
      <diagonal/>
    </border>
    <border>
      <left style="medium">
        <color rgb="FF000000"/>
      </left>
      <right/>
      <top/>
      <bottom/>
      <diagonal/>
    </border>
    <border>
      <left/>
      <right style="medium">
        <color rgb="FF000000"/>
      </right>
      <top/>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style="medium">
        <color rgb="FF000000"/>
      </left>
      <right/>
      <top style="thin">
        <color indexed="64"/>
      </top>
      <bottom/>
      <diagonal/>
    </border>
    <border>
      <left/>
      <right style="medium">
        <color rgb="FF000000"/>
      </right>
      <top style="thin">
        <color indexed="64"/>
      </top>
      <bottom/>
      <diagonal/>
    </border>
    <border>
      <left style="thin">
        <color rgb="FF000000"/>
      </left>
      <right style="thin">
        <color rgb="FF000000"/>
      </right>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bottom style="thin">
        <color rgb="FF000000"/>
      </bottom>
      <diagonal/>
    </border>
    <border>
      <left/>
      <right style="thin">
        <color rgb="FF000000"/>
      </right>
      <top style="thin">
        <color rgb="FF000000"/>
      </top>
      <bottom/>
      <diagonal/>
    </border>
    <border>
      <left style="thin">
        <color rgb="FF000000"/>
      </left>
      <right style="thin">
        <color rgb="FF000000"/>
      </right>
      <top/>
      <bottom/>
      <diagonal/>
    </border>
    <border>
      <left style="thin">
        <color rgb="FF000000"/>
      </left>
      <right/>
      <top style="thin">
        <color rgb="FF000000"/>
      </top>
      <bottom/>
      <diagonal/>
    </border>
    <border>
      <left style="medium">
        <color rgb="FF000000"/>
      </left>
      <right style="thin">
        <color rgb="FF000000"/>
      </right>
      <top style="medium">
        <color rgb="FF000000"/>
      </top>
      <bottom/>
      <diagonal/>
    </border>
    <border>
      <left style="thin">
        <color rgb="FF000000"/>
      </left>
      <right style="thin">
        <color rgb="FF000000"/>
      </right>
      <top style="medium">
        <color rgb="FF000000"/>
      </top>
      <bottom/>
      <diagonal/>
    </border>
    <border>
      <left style="thin">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medium">
        <color rgb="FF000000"/>
      </left>
      <right style="thin">
        <color rgb="FF000000"/>
      </right>
      <top/>
      <bottom/>
      <diagonal/>
    </border>
    <border>
      <left style="thin">
        <color rgb="FF000000"/>
      </left>
      <right style="medium">
        <color rgb="FF000000"/>
      </right>
      <top style="thin">
        <color rgb="FF000000"/>
      </top>
      <bottom style="thin">
        <color rgb="FF000000"/>
      </bottom>
      <diagonal/>
    </border>
    <border>
      <left style="medium">
        <color rgb="FF000000"/>
      </left>
      <right style="thin">
        <color rgb="FF000000"/>
      </right>
      <top/>
      <bottom style="medium">
        <color rgb="FF000000"/>
      </bottom>
      <diagonal/>
    </border>
    <border>
      <left style="thin">
        <color rgb="FF000000"/>
      </left>
      <right style="thin">
        <color rgb="FF000000"/>
      </right>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style="thin">
        <color rgb="FF000000"/>
      </left>
      <right style="medium">
        <color rgb="FF000000"/>
      </right>
      <top style="thin">
        <color rgb="FF000000"/>
      </top>
      <bottom/>
      <diagonal/>
    </border>
    <border>
      <left style="thin">
        <color rgb="FF000000"/>
      </left>
      <right/>
      <top style="medium">
        <color rgb="FF000000"/>
      </top>
      <bottom style="thin">
        <color rgb="FF000000"/>
      </bottom>
      <diagonal/>
    </border>
    <border>
      <left/>
      <right style="thin">
        <color rgb="FF000000"/>
      </right>
      <top style="medium">
        <color rgb="FF000000"/>
      </top>
      <bottom style="thin">
        <color rgb="FF000000"/>
      </bottom>
      <diagonal/>
    </border>
    <border>
      <left style="thin">
        <color rgb="FF000000"/>
      </left>
      <right/>
      <top/>
      <bottom style="thin">
        <color rgb="FF000000"/>
      </bottom>
      <diagonal/>
    </border>
    <border>
      <left style="thin">
        <color rgb="FF000000"/>
      </left>
      <right/>
      <top/>
      <bottom/>
      <diagonal/>
    </border>
    <border>
      <left/>
      <right/>
      <top style="thin">
        <color rgb="FF000000"/>
      </top>
      <bottom style="thin">
        <color rgb="FF000000"/>
      </bottom>
      <diagonal/>
    </border>
    <border>
      <left/>
      <right/>
      <top style="thin">
        <color rgb="FF000000"/>
      </top>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medium">
        <color theme="1" tint="0.499984740745262"/>
      </left>
      <right style="thin">
        <color theme="1" tint="0.499984740745262"/>
      </right>
      <top style="medium">
        <color theme="1" tint="0.499984740745262"/>
      </top>
      <bottom style="thin">
        <color theme="1" tint="0.499984740745262"/>
      </bottom>
      <diagonal/>
    </border>
    <border>
      <left style="thin">
        <color theme="1" tint="0.499984740745262"/>
      </left>
      <right style="thin">
        <color theme="1" tint="0.499984740745262"/>
      </right>
      <top style="medium">
        <color theme="1" tint="0.499984740745262"/>
      </top>
      <bottom style="thin">
        <color theme="1" tint="0.499984740745262"/>
      </bottom>
      <diagonal/>
    </border>
    <border>
      <left style="thin">
        <color theme="1" tint="0.499984740745262"/>
      </left>
      <right style="medium">
        <color theme="1" tint="0.499984740745262"/>
      </right>
      <top style="medium">
        <color theme="1" tint="0.499984740745262"/>
      </top>
      <bottom style="thin">
        <color theme="1" tint="0.499984740745262"/>
      </bottom>
      <diagonal/>
    </border>
    <border>
      <left style="medium">
        <color theme="1" tint="0.499984740745262"/>
      </left>
      <right style="thin">
        <color theme="1" tint="0.499984740745262"/>
      </right>
      <top style="thin">
        <color theme="1" tint="0.499984740745262"/>
      </top>
      <bottom style="thin">
        <color theme="1" tint="0.499984740745262"/>
      </bottom>
      <diagonal/>
    </border>
    <border>
      <left style="thin">
        <color theme="1" tint="0.499984740745262"/>
      </left>
      <right style="medium">
        <color theme="1" tint="0.499984740745262"/>
      </right>
      <top style="thin">
        <color theme="1" tint="0.499984740745262"/>
      </top>
      <bottom style="thin">
        <color theme="1" tint="0.499984740745262"/>
      </bottom>
      <diagonal/>
    </border>
    <border>
      <left style="medium">
        <color theme="1" tint="0.499984740745262"/>
      </left>
      <right style="thin">
        <color theme="1" tint="0.499984740745262"/>
      </right>
      <top style="thin">
        <color theme="1" tint="0.499984740745262"/>
      </top>
      <bottom style="medium">
        <color theme="1" tint="0.499984740745262"/>
      </bottom>
      <diagonal/>
    </border>
    <border>
      <left style="thin">
        <color theme="1" tint="0.499984740745262"/>
      </left>
      <right style="thin">
        <color theme="1" tint="0.499984740745262"/>
      </right>
      <top style="thin">
        <color theme="1" tint="0.499984740745262"/>
      </top>
      <bottom style="medium">
        <color theme="1" tint="0.499984740745262"/>
      </bottom>
      <diagonal/>
    </border>
    <border>
      <left style="thin">
        <color theme="1" tint="0.499984740745262"/>
      </left>
      <right style="medium">
        <color theme="1" tint="0.499984740745262"/>
      </right>
      <top style="thin">
        <color theme="1" tint="0.499984740745262"/>
      </top>
      <bottom style="medium">
        <color theme="1" tint="0.499984740745262"/>
      </bottom>
      <diagonal/>
    </border>
    <border>
      <left style="thin">
        <color theme="1" tint="0.499984740745262"/>
      </left>
      <right/>
      <top style="medium">
        <color theme="1" tint="0.499984740745262"/>
      </top>
      <bottom style="thin">
        <color theme="1" tint="0.499984740745262"/>
      </bottom>
      <diagonal/>
    </border>
    <border>
      <left style="thin">
        <color theme="1" tint="0.499984740745262"/>
      </left>
      <right/>
      <top style="thin">
        <color theme="1" tint="0.499984740745262"/>
      </top>
      <bottom style="thin">
        <color theme="1" tint="0.499984740745262"/>
      </bottom>
      <diagonal/>
    </border>
    <border>
      <left style="thin">
        <color theme="1" tint="0.499984740745262"/>
      </left>
      <right/>
      <top style="thin">
        <color theme="1" tint="0.499984740745262"/>
      </top>
      <bottom style="medium">
        <color theme="1" tint="0.499984740745262"/>
      </bottom>
      <diagonal/>
    </border>
  </borders>
  <cellStyleXfs count="2">
    <xf numFmtId="0" fontId="0" fillId="0" borderId="0"/>
    <xf numFmtId="0" fontId="6" fillId="0" borderId="0" applyNumberFormat="0" applyFill="0" applyBorder="0" applyAlignment="0" applyProtection="0"/>
  </cellStyleXfs>
  <cellXfs count="915">
    <xf numFmtId="0" fontId="0" fillId="0" borderId="0" xfId="0"/>
    <xf numFmtId="14" fontId="0" fillId="0" borderId="0" xfId="0" applyNumberFormat="1"/>
    <xf numFmtId="0" fontId="5" fillId="0" borderId="1" xfId="0" applyFont="1" applyBorder="1"/>
    <xf numFmtId="0" fontId="5" fillId="0" borderId="1" xfId="0" applyFont="1" applyBorder="1" applyAlignment="1">
      <alignment wrapText="1"/>
    </xf>
    <xf numFmtId="0" fontId="0" fillId="0" borderId="0" xfId="0" applyAlignment="1">
      <alignment wrapText="1"/>
    </xf>
    <xf numFmtId="0" fontId="6" fillId="0" borderId="0" xfId="1"/>
    <xf numFmtId="14" fontId="5" fillId="0" borderId="1" xfId="0" applyNumberFormat="1" applyFont="1" applyBorder="1" applyAlignment="1">
      <alignment wrapText="1"/>
    </xf>
    <xf numFmtId="14" fontId="5" fillId="0" borderId="1" xfId="0" applyNumberFormat="1" applyFont="1" applyBorder="1"/>
    <xf numFmtId="0" fontId="0" fillId="0" borderId="0" xfId="0" applyAlignment="1">
      <alignment horizontal="center" vertical="center"/>
    </xf>
    <xf numFmtId="0" fontId="5" fillId="0" borderId="0" xfId="0" applyFont="1"/>
    <xf numFmtId="0" fontId="5" fillId="0" borderId="0" xfId="0" applyFont="1" applyAlignment="1">
      <alignment horizontal="center"/>
    </xf>
    <xf numFmtId="0" fontId="0" fillId="0" borderId="0" xfId="0" applyAlignment="1">
      <alignment horizontal="center"/>
    </xf>
    <xf numFmtId="0" fontId="5" fillId="0" borderId="0" xfId="0" applyFont="1" applyAlignment="1">
      <alignment horizontal="left"/>
    </xf>
    <xf numFmtId="0" fontId="8" fillId="0" borderId="0" xfId="0" applyFont="1"/>
    <xf numFmtId="0" fontId="9" fillId="0" borderId="0" xfId="0" applyFont="1"/>
    <xf numFmtId="0" fontId="8" fillId="2" borderId="0" xfId="0" applyFont="1" applyFill="1"/>
    <xf numFmtId="0" fontId="10" fillId="0" borderId="0" xfId="0" applyFont="1"/>
    <xf numFmtId="0" fontId="0" fillId="3" borderId="0" xfId="0" applyFill="1"/>
    <xf numFmtId="0" fontId="0" fillId="4" borderId="0" xfId="0" applyFill="1"/>
    <xf numFmtId="0" fontId="0" fillId="0" borderId="2" xfId="0" applyBorder="1"/>
    <xf numFmtId="14" fontId="0" fillId="0" borderId="2" xfId="0" applyNumberFormat="1" applyBorder="1"/>
    <xf numFmtId="0" fontId="5" fillId="0" borderId="0" xfId="0" applyFont="1" applyAlignment="1">
      <alignment wrapText="1"/>
    </xf>
    <xf numFmtId="0" fontId="5" fillId="0" borderId="0" xfId="0" applyFont="1" applyAlignment="1">
      <alignment horizontal="center" wrapText="1"/>
    </xf>
    <xf numFmtId="14" fontId="5" fillId="0" borderId="0" xfId="0" applyNumberFormat="1" applyFont="1" applyAlignment="1">
      <alignment wrapText="1"/>
    </xf>
    <xf numFmtId="14" fontId="5" fillId="0" borderId="0" xfId="0" applyNumberFormat="1" applyFont="1"/>
    <xf numFmtId="0" fontId="0" fillId="0" borderId="2" xfId="0" applyBorder="1" applyAlignment="1">
      <alignment horizontal="center" vertical="center"/>
    </xf>
    <xf numFmtId="14" fontId="0" fillId="0" borderId="2" xfId="0" applyNumberFormat="1" applyBorder="1" applyAlignment="1">
      <alignment horizontal="center" vertical="center"/>
    </xf>
    <xf numFmtId="14" fontId="0" fillId="0" borderId="2" xfId="0" applyNumberFormat="1" applyBorder="1" applyAlignment="1">
      <alignment horizontal="center" vertical="center" wrapText="1"/>
    </xf>
    <xf numFmtId="0" fontId="0" fillId="5" borderId="2" xfId="0" applyFill="1" applyBorder="1" applyAlignment="1">
      <alignment horizontal="center" vertical="center"/>
    </xf>
    <xf numFmtId="0" fontId="0" fillId="6" borderId="2" xfId="0" applyFill="1" applyBorder="1" applyAlignment="1">
      <alignment horizontal="center" vertical="center"/>
    </xf>
    <xf numFmtId="0" fontId="6" fillId="5" borderId="2" xfId="1" applyFill="1" applyBorder="1" applyAlignment="1">
      <alignment horizontal="center" vertical="center"/>
    </xf>
    <xf numFmtId="14" fontId="0" fillId="5" borderId="2" xfId="0" applyNumberFormat="1" applyFill="1" applyBorder="1" applyAlignment="1">
      <alignment horizontal="center" vertical="center"/>
    </xf>
    <xf numFmtId="14" fontId="0" fillId="7" borderId="2" xfId="0" applyNumberFormat="1" applyFill="1" applyBorder="1" applyAlignment="1">
      <alignment horizontal="center" vertical="center"/>
    </xf>
    <xf numFmtId="14" fontId="0" fillId="7" borderId="2" xfId="0" applyNumberFormat="1" applyFill="1" applyBorder="1" applyAlignment="1">
      <alignment horizontal="center" vertical="center" wrapText="1"/>
    </xf>
    <xf numFmtId="14" fontId="0" fillId="5" borderId="2" xfId="0" applyNumberFormat="1" applyFill="1" applyBorder="1" applyAlignment="1">
      <alignment horizontal="center" vertical="center" wrapText="1"/>
    </xf>
    <xf numFmtId="14" fontId="0" fillId="6" borderId="2" xfId="0" applyNumberFormat="1" applyFill="1" applyBorder="1" applyAlignment="1">
      <alignment horizontal="center" vertical="center"/>
    </xf>
    <xf numFmtId="14" fontId="0" fillId="6" borderId="2" xfId="0" applyNumberFormat="1" applyFill="1" applyBorder="1" applyAlignment="1">
      <alignment horizontal="center" vertical="center" wrapText="1"/>
    </xf>
    <xf numFmtId="0" fontId="7" fillId="5" borderId="2" xfId="0" applyFont="1" applyFill="1" applyBorder="1" applyAlignment="1">
      <alignment horizontal="center" vertical="center"/>
    </xf>
    <xf numFmtId="0" fontId="0" fillId="5" borderId="2" xfId="0" applyFill="1" applyBorder="1" applyAlignment="1">
      <alignment horizontal="center" vertical="center" wrapText="1"/>
    </xf>
    <xf numFmtId="0" fontId="6" fillId="6" borderId="2" xfId="1" applyFill="1" applyBorder="1" applyAlignment="1">
      <alignment horizontal="center" vertical="center"/>
    </xf>
    <xf numFmtId="0" fontId="0" fillId="0" borderId="6" xfId="0" applyBorder="1"/>
    <xf numFmtId="0" fontId="0" fillId="0" borderId="7" xfId="0" applyBorder="1"/>
    <xf numFmtId="0" fontId="5" fillId="0" borderId="6" xfId="0" applyFont="1" applyBorder="1" applyAlignment="1">
      <alignment horizontal="center"/>
    </xf>
    <xf numFmtId="0" fontId="5" fillId="0" borderId="7" xfId="0" applyFont="1" applyBorder="1" applyAlignment="1">
      <alignment horizontal="center"/>
    </xf>
    <xf numFmtId="0" fontId="0" fillId="0" borderId="8" xfId="0" applyBorder="1"/>
    <xf numFmtId="0" fontId="0" fillId="0" borderId="9" xfId="0" applyBorder="1"/>
    <xf numFmtId="0" fontId="0" fillId="0" borderId="10" xfId="0" applyBorder="1"/>
    <xf numFmtId="0" fontId="0" fillId="6" borderId="2" xfId="0" applyFill="1" applyBorder="1" applyAlignment="1">
      <alignment horizontal="left" vertical="center"/>
    </xf>
    <xf numFmtId="0" fontId="0" fillId="5" borderId="2" xfId="0" applyFill="1" applyBorder="1" applyAlignment="1">
      <alignment horizontal="left" vertical="center"/>
    </xf>
    <xf numFmtId="0" fontId="0" fillId="0" borderId="2" xfId="0" applyBorder="1" applyAlignment="1">
      <alignment horizontal="left" vertical="center"/>
    </xf>
    <xf numFmtId="0" fontId="11" fillId="0" borderId="11" xfId="0" applyFont="1" applyBorder="1" applyAlignment="1">
      <alignment vertical="center" wrapText="1"/>
    </xf>
    <xf numFmtId="0" fontId="0" fillId="0" borderId="11" xfId="0" applyBorder="1"/>
    <xf numFmtId="14" fontId="0" fillId="6" borderId="0" xfId="0" applyNumberFormat="1" applyFill="1" applyAlignment="1">
      <alignment horizontal="center" vertical="center" wrapText="1"/>
    </xf>
    <xf numFmtId="0" fontId="0" fillId="0" borderId="12" xfId="0" applyBorder="1"/>
    <xf numFmtId="14" fontId="0" fillId="0" borderId="12" xfId="0" applyNumberFormat="1" applyBorder="1"/>
    <xf numFmtId="0" fontId="0" fillId="0" borderId="2" xfId="0" applyBorder="1" applyAlignment="1">
      <alignment horizontal="left"/>
    </xf>
    <xf numFmtId="0" fontId="0" fillId="0" borderId="12" xfId="0" applyBorder="1" applyAlignment="1">
      <alignment horizontal="left"/>
    </xf>
    <xf numFmtId="0" fontId="0" fillId="0" borderId="0" xfId="0" applyAlignment="1">
      <alignment horizontal="left"/>
    </xf>
    <xf numFmtId="0" fontId="6" fillId="0" borderId="2" xfId="1" applyFill="1" applyBorder="1" applyAlignment="1">
      <alignment horizontal="center" vertical="center"/>
    </xf>
    <xf numFmtId="0" fontId="0" fillId="0" borderId="2" xfId="0" applyBorder="1" applyAlignment="1">
      <alignment horizontal="center" vertical="center" wrapText="1"/>
    </xf>
    <xf numFmtId="0" fontId="0" fillId="0" borderId="2" xfId="0" applyBorder="1" applyAlignment="1">
      <alignment horizontal="left" vertical="center" wrapText="1"/>
    </xf>
    <xf numFmtId="14" fontId="0" fillId="0" borderId="0" xfId="0" applyNumberFormat="1" applyAlignment="1">
      <alignment horizontal="center" vertical="center" wrapText="1"/>
    </xf>
    <xf numFmtId="0" fontId="7" fillId="0" borderId="2" xfId="0" applyFont="1" applyBorder="1" applyAlignment="1">
      <alignment horizontal="center" vertical="center"/>
    </xf>
    <xf numFmtId="14" fontId="5" fillId="0" borderId="0" xfId="0" applyNumberFormat="1" applyFont="1" applyAlignment="1">
      <alignment horizontal="left"/>
    </xf>
    <xf numFmtId="14" fontId="0" fillId="0" borderId="2" xfId="0" applyNumberFormat="1" applyBorder="1" applyAlignment="1">
      <alignment horizontal="left" vertical="center"/>
    </xf>
    <xf numFmtId="14" fontId="0" fillId="0" borderId="2" xfId="0" applyNumberFormat="1" applyBorder="1" applyAlignment="1">
      <alignment horizontal="left"/>
    </xf>
    <xf numFmtId="14" fontId="0" fillId="0" borderId="12" xfId="0" applyNumberFormat="1" applyBorder="1" applyAlignment="1">
      <alignment horizontal="left"/>
    </xf>
    <xf numFmtId="14" fontId="0" fillId="0" borderId="0" xfId="0" applyNumberFormat="1" applyAlignment="1">
      <alignment horizontal="left"/>
    </xf>
    <xf numFmtId="14" fontId="0" fillId="0" borderId="2" xfId="0" applyNumberFormat="1" applyBorder="1" applyAlignment="1">
      <alignment horizontal="left" vertical="center" wrapText="1"/>
    </xf>
    <xf numFmtId="0" fontId="0" fillId="6" borderId="2" xfId="0" applyFill="1" applyBorder="1" applyAlignment="1">
      <alignment horizontal="center" vertical="center" wrapText="1"/>
    </xf>
    <xf numFmtId="0" fontId="7" fillId="6" borderId="2" xfId="0" applyFont="1" applyFill="1" applyBorder="1" applyAlignment="1">
      <alignment horizontal="center" vertical="center"/>
    </xf>
    <xf numFmtId="14" fontId="0" fillId="6" borderId="2" xfId="0" applyNumberFormat="1" applyFill="1" applyBorder="1" applyAlignment="1">
      <alignment horizontal="left" vertical="center"/>
    </xf>
    <xf numFmtId="14" fontId="0" fillId="6" borderId="2" xfId="0" applyNumberFormat="1" applyFill="1" applyBorder="1" applyAlignment="1">
      <alignment horizontal="left" vertical="center" wrapText="1"/>
    </xf>
    <xf numFmtId="0" fontId="0" fillId="6" borderId="2" xfId="0" applyFill="1" applyBorder="1" applyAlignment="1">
      <alignment horizontal="left" vertical="center" wrapText="1"/>
    </xf>
    <xf numFmtId="0" fontId="11" fillId="0" borderId="19" xfId="0" applyFont="1" applyBorder="1" applyAlignment="1">
      <alignment vertical="center" wrapText="1"/>
    </xf>
    <xf numFmtId="0" fontId="11" fillId="0" borderId="0" xfId="0" applyFont="1" applyAlignment="1">
      <alignment vertical="center" wrapText="1"/>
    </xf>
    <xf numFmtId="0" fontId="0" fillId="0" borderId="20" xfId="0" applyBorder="1"/>
    <xf numFmtId="0" fontId="0" fillId="0" borderId="19" xfId="0" applyBorder="1" applyAlignment="1">
      <alignment wrapText="1"/>
    </xf>
    <xf numFmtId="0" fontId="0" fillId="0" borderId="19" xfId="0" applyBorder="1"/>
    <xf numFmtId="14" fontId="5" fillId="0" borderId="0" xfId="0" applyNumberFormat="1" applyFont="1" applyAlignment="1">
      <alignment horizontal="center" wrapText="1"/>
    </xf>
    <xf numFmtId="14" fontId="5" fillId="0" borderId="20" xfId="0" applyNumberFormat="1" applyFont="1" applyBorder="1" applyAlignment="1">
      <alignment horizontal="center" wrapText="1"/>
    </xf>
    <xf numFmtId="0" fontId="5" fillId="0" borderId="19" xfId="0" applyFont="1" applyBorder="1" applyAlignment="1">
      <alignment horizontal="center"/>
    </xf>
    <xf numFmtId="0" fontId="5" fillId="0" borderId="21" xfId="0" applyFont="1" applyBorder="1" applyAlignment="1">
      <alignment horizontal="center"/>
    </xf>
    <xf numFmtId="0" fontId="11" fillId="0" borderId="24" xfId="0" applyFont="1" applyBorder="1" applyAlignment="1">
      <alignment vertical="center" wrapText="1"/>
    </xf>
    <xf numFmtId="0" fontId="0" fillId="0" borderId="25" xfId="0" applyBorder="1"/>
    <xf numFmtId="0" fontId="0" fillId="0" borderId="13" xfId="0" applyBorder="1" applyAlignment="1">
      <alignment horizontal="center"/>
    </xf>
    <xf numFmtId="14" fontId="7" fillId="5" borderId="2" xfId="0" applyNumberFormat="1" applyFont="1" applyFill="1" applyBorder="1" applyAlignment="1">
      <alignment horizontal="center" vertical="center"/>
    </xf>
    <xf numFmtId="14" fontId="0" fillId="8" borderId="2" xfId="0" applyNumberFormat="1" applyFill="1" applyBorder="1" applyAlignment="1">
      <alignment horizontal="center" vertical="center"/>
    </xf>
    <xf numFmtId="0" fontId="0" fillId="0" borderId="0" xfId="0" applyAlignment="1">
      <alignment horizontal="left" vertical="top" wrapText="1"/>
    </xf>
    <xf numFmtId="14" fontId="0" fillId="5" borderId="2" xfId="0" applyNumberFormat="1" applyFill="1" applyBorder="1" applyAlignment="1">
      <alignment horizontal="left" vertical="center" wrapText="1"/>
    </xf>
    <xf numFmtId="14" fontId="0" fillId="5" borderId="2" xfId="0" applyNumberFormat="1" applyFill="1" applyBorder="1" applyAlignment="1">
      <alignment horizontal="left" vertical="center"/>
    </xf>
    <xf numFmtId="14" fontId="15" fillId="0" borderId="2" xfId="0" applyNumberFormat="1" applyFont="1" applyBorder="1" applyAlignment="1">
      <alignment wrapText="1"/>
    </xf>
    <xf numFmtId="0" fontId="5" fillId="0" borderId="19" xfId="0" applyFont="1" applyBorder="1"/>
    <xf numFmtId="0" fontId="14" fillId="0" borderId="2" xfId="0" applyFont="1" applyBorder="1" applyAlignment="1">
      <alignment wrapText="1"/>
    </xf>
    <xf numFmtId="14" fontId="10" fillId="5" borderId="2" xfId="0" applyNumberFormat="1" applyFont="1" applyFill="1" applyBorder="1" applyAlignment="1">
      <alignment horizontal="left" vertical="center"/>
    </xf>
    <xf numFmtId="14" fontId="0" fillId="10" borderId="2" xfId="0" applyNumberFormat="1" applyFill="1" applyBorder="1" applyAlignment="1">
      <alignment horizontal="center" vertical="center"/>
    </xf>
    <xf numFmtId="14" fontId="0" fillId="4" borderId="2" xfId="0" applyNumberFormat="1" applyFill="1" applyBorder="1" applyAlignment="1">
      <alignment horizontal="center" vertical="center"/>
    </xf>
    <xf numFmtId="0" fontId="14" fillId="0" borderId="2" xfId="0" applyFont="1" applyBorder="1"/>
    <xf numFmtId="0" fontId="0" fillId="3" borderId="2" xfId="0" applyFill="1" applyBorder="1" applyAlignment="1">
      <alignment horizontal="center" vertical="center"/>
    </xf>
    <xf numFmtId="14" fontId="15" fillId="0" borderId="26" xfId="0" applyNumberFormat="1" applyFont="1" applyBorder="1" applyAlignment="1">
      <alignment wrapText="1"/>
    </xf>
    <xf numFmtId="0" fontId="6" fillId="0" borderId="0" xfId="1" applyAlignment="1">
      <alignment wrapText="1"/>
    </xf>
    <xf numFmtId="0" fontId="7" fillId="0" borderId="0" xfId="0" applyFont="1" applyAlignment="1">
      <alignment wrapText="1"/>
    </xf>
    <xf numFmtId="0" fontId="7" fillId="0" borderId="0" xfId="1" applyFont="1" applyAlignment="1">
      <alignment wrapText="1"/>
    </xf>
    <xf numFmtId="0" fontId="21" fillId="0" borderId="0" xfId="0" applyFont="1" applyAlignment="1">
      <alignment wrapText="1"/>
    </xf>
    <xf numFmtId="14" fontId="0" fillId="3" borderId="2" xfId="0" applyNumberFormat="1" applyFill="1" applyBorder="1" applyAlignment="1">
      <alignment horizontal="center" vertical="center"/>
    </xf>
    <xf numFmtId="0" fontId="0" fillId="0" borderId="20" xfId="0" applyBorder="1" applyAlignment="1">
      <alignment horizontal="left"/>
    </xf>
    <xf numFmtId="0" fontId="0" fillId="0" borderId="22" xfId="0" applyBorder="1" applyAlignment="1">
      <alignment horizontal="left"/>
    </xf>
    <xf numFmtId="0" fontId="0" fillId="0" borderId="23" xfId="0" applyBorder="1" applyAlignment="1">
      <alignment horizontal="left"/>
    </xf>
    <xf numFmtId="0" fontId="5" fillId="0" borderId="0" xfId="0" applyFont="1" applyAlignment="1">
      <alignment vertical="top"/>
    </xf>
    <xf numFmtId="0" fontId="0" fillId="5" borderId="2" xfId="0" applyFill="1" applyBorder="1" applyAlignment="1">
      <alignment horizontal="left" vertical="top" wrapText="1"/>
    </xf>
    <xf numFmtId="0" fontId="7" fillId="5" borderId="2" xfId="0" applyFont="1" applyFill="1" applyBorder="1" applyAlignment="1">
      <alignment horizontal="left" vertical="top" wrapText="1"/>
    </xf>
    <xf numFmtId="0" fontId="0" fillId="5" borderId="2" xfId="0" applyFill="1" applyBorder="1" applyAlignment="1">
      <alignment horizontal="left" vertical="top"/>
    </xf>
    <xf numFmtId="14" fontId="0" fillId="5" borderId="2" xfId="0" applyNumberFormat="1" applyFill="1" applyBorder="1" applyAlignment="1">
      <alignment horizontal="center" vertical="top"/>
    </xf>
    <xf numFmtId="0" fontId="0" fillId="5" borderId="2" xfId="0" applyFill="1" applyBorder="1" applyAlignment="1">
      <alignment horizontal="center" vertical="top"/>
    </xf>
    <xf numFmtId="0" fontId="0" fillId="0" borderId="2" xfId="0" applyBorder="1" applyAlignment="1">
      <alignment horizontal="center" vertical="top"/>
    </xf>
    <xf numFmtId="0" fontId="0" fillId="0" borderId="2" xfId="0" applyBorder="1" applyAlignment="1">
      <alignment vertical="top"/>
    </xf>
    <xf numFmtId="0" fontId="0" fillId="0" borderId="12" xfId="0" applyBorder="1" applyAlignment="1">
      <alignment vertical="top"/>
    </xf>
    <xf numFmtId="0" fontId="0" fillId="0" borderId="0" xfId="0" applyAlignment="1">
      <alignment vertical="top"/>
    </xf>
    <xf numFmtId="14" fontId="23" fillId="0" borderId="2" xfId="0" applyNumberFormat="1" applyFont="1" applyBorder="1"/>
    <xf numFmtId="14" fontId="23" fillId="0" borderId="2" xfId="0" applyNumberFormat="1" applyFont="1" applyBorder="1" applyAlignment="1">
      <alignment horizontal="right"/>
    </xf>
    <xf numFmtId="0" fontId="23" fillId="0" borderId="2" xfId="0" applyFont="1" applyBorder="1"/>
    <xf numFmtId="0" fontId="17" fillId="0" borderId="2" xfId="0" applyFont="1" applyBorder="1"/>
    <xf numFmtId="0" fontId="14" fillId="0" borderId="2" xfId="0" applyFont="1" applyBorder="1" applyAlignment="1">
      <alignment horizontal="left" wrapText="1"/>
    </xf>
    <xf numFmtId="0" fontId="7" fillId="0" borderId="0" xfId="0" applyFont="1"/>
    <xf numFmtId="0" fontId="26" fillId="0" borderId="0" xfId="0" applyFont="1"/>
    <xf numFmtId="0" fontId="30" fillId="0" borderId="2" xfId="0" applyFont="1" applyBorder="1" applyAlignment="1">
      <alignment wrapText="1"/>
    </xf>
    <xf numFmtId="14" fontId="14" fillId="0" borderId="2" xfId="0" applyNumberFormat="1" applyFont="1" applyBorder="1" applyAlignment="1">
      <alignment horizontal="right"/>
    </xf>
    <xf numFmtId="0" fontId="14" fillId="0" borderId="2" xfId="0" applyFont="1" applyBorder="1" applyAlignment="1">
      <alignment horizontal="right"/>
    </xf>
    <xf numFmtId="0" fontId="23" fillId="0" borderId="0" xfId="0" applyFont="1"/>
    <xf numFmtId="14" fontId="14" fillId="9" borderId="2" xfId="0" applyNumberFormat="1" applyFont="1" applyFill="1" applyBorder="1" applyAlignment="1">
      <alignment horizontal="right"/>
    </xf>
    <xf numFmtId="14" fontId="23" fillId="0" borderId="27" xfId="0" applyNumberFormat="1" applyFont="1" applyBorder="1"/>
    <xf numFmtId="14" fontId="23" fillId="0" borderId="27" xfId="0" applyNumberFormat="1" applyFont="1" applyBorder="1" applyAlignment="1">
      <alignment horizontal="right"/>
    </xf>
    <xf numFmtId="165" fontId="14" fillId="0" borderId="2" xfId="0" applyNumberFormat="1" applyFont="1" applyBorder="1" applyAlignment="1">
      <alignment horizontal="right"/>
    </xf>
    <xf numFmtId="165" fontId="14" fillId="9" borderId="2" xfId="0" applyNumberFormat="1" applyFont="1" applyFill="1" applyBorder="1" applyAlignment="1">
      <alignment horizontal="right"/>
    </xf>
    <xf numFmtId="165" fontId="14" fillId="0" borderId="2" xfId="0" applyNumberFormat="1" applyFont="1" applyBorder="1" applyAlignment="1">
      <alignment horizontal="right" wrapText="1"/>
    </xf>
    <xf numFmtId="14" fontId="23" fillId="0" borderId="12" xfId="0" applyNumberFormat="1" applyFont="1" applyBorder="1" applyAlignment="1">
      <alignment horizontal="right"/>
    </xf>
    <xf numFmtId="14" fontId="23" fillId="0" borderId="12" xfId="0" applyNumberFormat="1" applyFont="1" applyBorder="1"/>
    <xf numFmtId="14" fontId="23" fillId="0" borderId="30" xfId="0" applyNumberFormat="1" applyFont="1" applyBorder="1"/>
    <xf numFmtId="14" fontId="23" fillId="0" borderId="26" xfId="0" applyNumberFormat="1" applyFont="1" applyBorder="1" applyAlignment="1">
      <alignment horizontal="right"/>
    </xf>
    <xf numFmtId="14" fontId="23" fillId="0" borderId="26" xfId="0" applyNumberFormat="1" applyFont="1" applyBorder="1"/>
    <xf numFmtId="14" fontId="23" fillId="0" borderId="29" xfId="0" applyNumberFormat="1" applyFont="1" applyBorder="1"/>
    <xf numFmtId="0" fontId="17" fillId="0" borderId="2" xfId="0" applyFont="1" applyBorder="1" applyAlignment="1">
      <alignment wrapText="1"/>
    </xf>
    <xf numFmtId="14" fontId="34" fillId="0" borderId="26" xfId="0" applyNumberFormat="1" applyFont="1" applyBorder="1" applyAlignment="1">
      <alignment wrapText="1"/>
    </xf>
    <xf numFmtId="14" fontId="23" fillId="9" borderId="27" xfId="0" applyNumberFormat="1" applyFont="1" applyFill="1" applyBorder="1" applyAlignment="1">
      <alignment wrapText="1"/>
    </xf>
    <xf numFmtId="0" fontId="17" fillId="0" borderId="2" xfId="0" applyFont="1" applyBorder="1" applyAlignment="1">
      <alignment vertical="center"/>
    </xf>
    <xf numFmtId="0" fontId="0" fillId="0" borderId="0" xfId="0" applyAlignment="1">
      <alignment vertical="center"/>
    </xf>
    <xf numFmtId="14" fontId="17" fillId="0" borderId="26" xfId="0" applyNumberFormat="1" applyFont="1" applyBorder="1" applyAlignment="1">
      <alignment wrapText="1"/>
    </xf>
    <xf numFmtId="14" fontId="23" fillId="9" borderId="30" xfId="0" applyNumberFormat="1" applyFont="1" applyFill="1" applyBorder="1" applyAlignment="1">
      <alignment wrapText="1"/>
    </xf>
    <xf numFmtId="0" fontId="14" fillId="0" borderId="2" xfId="0" applyFont="1" applyBorder="1" applyAlignment="1">
      <alignment vertical="center"/>
    </xf>
    <xf numFmtId="0" fontId="14" fillId="0" borderId="2" xfId="0" applyFont="1" applyBorder="1" applyAlignment="1">
      <alignment vertical="center" wrapText="1"/>
    </xf>
    <xf numFmtId="14" fontId="14" fillId="0" borderId="2" xfId="0" applyNumberFormat="1" applyFont="1" applyBorder="1" applyAlignment="1">
      <alignment horizontal="right" vertical="center"/>
    </xf>
    <xf numFmtId="0" fontId="30" fillId="0" borderId="2" xfId="0" applyFont="1" applyBorder="1" applyAlignment="1">
      <alignment vertical="center" wrapText="1"/>
    </xf>
    <xf numFmtId="0" fontId="23" fillId="0" borderId="2" xfId="0" applyFont="1" applyBorder="1" applyAlignment="1">
      <alignment vertical="center"/>
    </xf>
    <xf numFmtId="14" fontId="23" fillId="9" borderId="2" xfId="0" applyNumberFormat="1" applyFont="1" applyFill="1" applyBorder="1" applyAlignment="1">
      <alignment wrapText="1"/>
    </xf>
    <xf numFmtId="14" fontId="17" fillId="9" borderId="27" xfId="0" applyNumberFormat="1" applyFont="1" applyFill="1" applyBorder="1" applyAlignment="1">
      <alignment wrapText="1"/>
    </xf>
    <xf numFmtId="0" fontId="17" fillId="0" borderId="26" xfId="0" applyFont="1" applyBorder="1" applyAlignment="1">
      <alignment vertical="top"/>
    </xf>
    <xf numFmtId="14" fontId="17" fillId="0" borderId="26" xfId="0" applyNumberFormat="1" applyFont="1" applyBorder="1" applyAlignment="1">
      <alignment vertical="top"/>
    </xf>
    <xf numFmtId="14" fontId="23" fillId="9" borderId="26" xfId="0" applyNumberFormat="1" applyFont="1" applyFill="1" applyBorder="1" applyAlignment="1">
      <alignment wrapText="1"/>
    </xf>
    <xf numFmtId="14" fontId="17" fillId="9" borderId="26" xfId="0" applyNumberFormat="1" applyFont="1" applyFill="1" applyBorder="1" applyAlignment="1">
      <alignment wrapText="1"/>
    </xf>
    <xf numFmtId="0" fontId="14" fillId="0" borderId="2" xfId="0" quotePrefix="1" applyFont="1" applyBorder="1" applyAlignment="1">
      <alignment wrapText="1"/>
    </xf>
    <xf numFmtId="0" fontId="7" fillId="0" borderId="2" xfId="0" applyFont="1" applyBorder="1"/>
    <xf numFmtId="0" fontId="14" fillId="0" borderId="12" xfId="0" applyFont="1" applyBorder="1"/>
    <xf numFmtId="0" fontId="14" fillId="0" borderId="12" xfId="0" applyFont="1" applyBorder="1" applyAlignment="1">
      <alignment wrapText="1"/>
    </xf>
    <xf numFmtId="14" fontId="14" fillId="0" borderId="12" xfId="0" applyNumberFormat="1" applyFont="1" applyBorder="1" applyAlignment="1">
      <alignment horizontal="right"/>
    </xf>
    <xf numFmtId="0" fontId="30" fillId="0" borderId="12" xfId="0" applyFont="1" applyBorder="1" applyAlignment="1">
      <alignment wrapText="1"/>
    </xf>
    <xf numFmtId="0" fontId="23" fillId="0" borderId="12" xfId="0" applyFont="1" applyBorder="1"/>
    <xf numFmtId="0" fontId="31" fillId="0" borderId="12" xfId="0" applyFont="1" applyBorder="1"/>
    <xf numFmtId="0" fontId="31" fillId="0" borderId="12" xfId="0" applyFont="1" applyBorder="1" applyAlignment="1">
      <alignment wrapText="1"/>
    </xf>
    <xf numFmtId="165" fontId="31" fillId="0" borderId="12" xfId="0" applyNumberFormat="1" applyFont="1" applyBorder="1" applyAlignment="1">
      <alignment horizontal="right"/>
    </xf>
    <xf numFmtId="0" fontId="32" fillId="0" borderId="12" xfId="0" applyFont="1" applyBorder="1" applyAlignment="1">
      <alignment wrapText="1"/>
    </xf>
    <xf numFmtId="165" fontId="14" fillId="0" borderId="12" xfId="0" applyNumberFormat="1" applyFont="1" applyBorder="1" applyAlignment="1">
      <alignment horizontal="right"/>
    </xf>
    <xf numFmtId="165" fontId="14" fillId="9" borderId="12" xfId="0" applyNumberFormat="1" applyFont="1" applyFill="1" applyBorder="1" applyAlignment="1">
      <alignment horizontal="right"/>
    </xf>
    <xf numFmtId="0" fontId="14" fillId="0" borderId="26" xfId="0" applyFont="1" applyBorder="1"/>
    <xf numFmtId="0" fontId="14" fillId="0" borderId="26" xfId="0" applyFont="1" applyBorder="1" applyAlignment="1">
      <alignment wrapText="1"/>
    </xf>
    <xf numFmtId="14" fontId="14" fillId="0" borderId="26" xfId="0" applyNumberFormat="1" applyFont="1" applyBorder="1" applyAlignment="1">
      <alignment horizontal="right"/>
    </xf>
    <xf numFmtId="0" fontId="30" fillId="0" borderId="26" xfId="0" applyFont="1" applyBorder="1" applyAlignment="1">
      <alignment wrapText="1"/>
    </xf>
    <xf numFmtId="0" fontId="23" fillId="0" borderId="26" xfId="0" applyFont="1" applyBorder="1"/>
    <xf numFmtId="14" fontId="14" fillId="9" borderId="26" xfId="0" applyNumberFormat="1" applyFont="1" applyFill="1" applyBorder="1" applyAlignment="1">
      <alignment horizontal="right"/>
    </xf>
    <xf numFmtId="165" fontId="14" fillId="9" borderId="26" xfId="0" applyNumberFormat="1" applyFont="1" applyFill="1" applyBorder="1" applyAlignment="1">
      <alignment horizontal="right"/>
    </xf>
    <xf numFmtId="0" fontId="14" fillId="0" borderId="26" xfId="0" applyFont="1" applyBorder="1" applyAlignment="1">
      <alignment horizontal="right"/>
    </xf>
    <xf numFmtId="0" fontId="4" fillId="0" borderId="0" xfId="0" applyFont="1"/>
    <xf numFmtId="14" fontId="17" fillId="0" borderId="26" xfId="0" applyNumberFormat="1" applyFont="1" applyBorder="1" applyAlignment="1">
      <alignment horizontal="right" vertical="top"/>
    </xf>
    <xf numFmtId="0" fontId="14" fillId="0" borderId="0" xfId="0" applyFont="1" applyAlignment="1">
      <alignment vertical="center"/>
    </xf>
    <xf numFmtId="0" fontId="14" fillId="0" borderId="12" xfId="0" applyFont="1" applyBorder="1" applyAlignment="1">
      <alignment vertical="center"/>
    </xf>
    <xf numFmtId="0" fontId="14" fillId="0" borderId="12" xfId="0" applyFont="1" applyBorder="1" applyAlignment="1">
      <alignment vertical="center" wrapText="1"/>
    </xf>
    <xf numFmtId="14" fontId="14" fillId="0" borderId="12" xfId="0" applyNumberFormat="1" applyFont="1" applyBorder="1" applyAlignment="1">
      <alignment horizontal="right" vertical="center"/>
    </xf>
    <xf numFmtId="0" fontId="30" fillId="0" borderId="12" xfId="0" applyFont="1" applyBorder="1" applyAlignment="1">
      <alignment vertical="center" wrapText="1"/>
    </xf>
    <xf numFmtId="0" fontId="23" fillId="0" borderId="12" xfId="0" applyFont="1" applyBorder="1" applyAlignment="1">
      <alignment vertical="center"/>
    </xf>
    <xf numFmtId="0" fontId="14" fillId="0" borderId="12" xfId="0" applyFont="1" applyBorder="1" applyAlignment="1">
      <alignment horizontal="right"/>
    </xf>
    <xf numFmtId="0" fontId="14" fillId="0" borderId="26" xfId="0" applyFont="1" applyBorder="1" applyAlignment="1">
      <alignment vertical="center"/>
    </xf>
    <xf numFmtId="0" fontId="14" fillId="0" borderId="26" xfId="0" applyFont="1" applyBorder="1" applyAlignment="1">
      <alignment vertical="center" wrapText="1"/>
    </xf>
    <xf numFmtId="14" fontId="14" fillId="0" borderId="26" xfId="0" applyNumberFormat="1" applyFont="1" applyBorder="1" applyAlignment="1">
      <alignment horizontal="right" vertical="center"/>
    </xf>
    <xf numFmtId="0" fontId="30" fillId="0" borderId="26" xfId="0" applyFont="1" applyBorder="1" applyAlignment="1">
      <alignment vertical="center" wrapText="1"/>
    </xf>
    <xf numFmtId="0" fontId="23" fillId="0" borderId="26" xfId="0" applyFont="1" applyBorder="1" applyAlignment="1">
      <alignment vertical="center"/>
    </xf>
    <xf numFmtId="165" fontId="14" fillId="0" borderId="26" xfId="0" applyNumberFormat="1" applyFont="1" applyBorder="1" applyAlignment="1">
      <alignment horizontal="right"/>
    </xf>
    <xf numFmtId="0" fontId="14" fillId="0" borderId="31" xfId="0" applyFont="1" applyBorder="1" applyAlignment="1">
      <alignment vertical="center"/>
    </xf>
    <xf numFmtId="0" fontId="14" fillId="0" borderId="31" xfId="0" applyFont="1" applyBorder="1" applyAlignment="1">
      <alignment vertical="center" wrapText="1"/>
    </xf>
    <xf numFmtId="14" fontId="14" fillId="0" borderId="31" xfId="0" applyNumberFormat="1" applyFont="1" applyBorder="1" applyAlignment="1">
      <alignment horizontal="right" wrapText="1"/>
    </xf>
    <xf numFmtId="0" fontId="23" fillId="0" borderId="31" xfId="0" applyFont="1" applyBorder="1" applyAlignment="1">
      <alignment vertical="center"/>
    </xf>
    <xf numFmtId="0" fontId="23" fillId="0" borderId="2" xfId="0" applyFont="1" applyBorder="1" applyAlignment="1">
      <alignment horizontal="center" vertical="center" wrapText="1"/>
    </xf>
    <xf numFmtId="0" fontId="27" fillId="0" borderId="2" xfId="0" applyFont="1" applyBorder="1" applyAlignment="1">
      <alignment horizontal="center" vertical="center"/>
    </xf>
    <xf numFmtId="0" fontId="17" fillId="0" borderId="12" xfId="0" applyFont="1" applyBorder="1" applyAlignment="1">
      <alignment horizontal="center" vertical="center"/>
    </xf>
    <xf numFmtId="0" fontId="22" fillId="0" borderId="2" xfId="0" applyFont="1" applyBorder="1" applyAlignment="1">
      <alignment horizontal="center" vertical="center"/>
    </xf>
    <xf numFmtId="14" fontId="7" fillId="0" borderId="2" xfId="0" applyNumberFormat="1" applyFont="1" applyBorder="1" applyAlignment="1">
      <alignment horizontal="center" vertical="center" wrapText="1"/>
    </xf>
    <xf numFmtId="14" fontId="7" fillId="0" borderId="2" xfId="0" applyNumberFormat="1" applyFont="1" applyBorder="1" applyAlignment="1">
      <alignment horizontal="center" wrapText="1"/>
    </xf>
    <xf numFmtId="0" fontId="14" fillId="0" borderId="2" xfId="0" applyFont="1" applyBorder="1" applyAlignment="1">
      <alignment vertical="top" wrapText="1"/>
    </xf>
    <xf numFmtId="0" fontId="30" fillId="0" borderId="2" xfId="0" applyFont="1" applyBorder="1" applyAlignment="1">
      <alignment vertical="top" wrapText="1"/>
    </xf>
    <xf numFmtId="0" fontId="30" fillId="0" borderId="26" xfId="0" applyFont="1" applyBorder="1" applyAlignment="1">
      <alignment vertical="top" wrapText="1"/>
    </xf>
    <xf numFmtId="0" fontId="14" fillId="0" borderId="27" xfId="0" applyFont="1" applyBorder="1" applyAlignment="1">
      <alignment vertical="center" wrapText="1"/>
    </xf>
    <xf numFmtId="0" fontId="21" fillId="6" borderId="0" xfId="0" applyFont="1" applyFill="1" applyAlignment="1">
      <alignment wrapText="1"/>
    </xf>
    <xf numFmtId="0" fontId="7" fillId="6" borderId="0" xfId="0" applyFont="1" applyFill="1" applyAlignment="1">
      <alignment wrapText="1"/>
    </xf>
    <xf numFmtId="0" fontId="7" fillId="6" borderId="0" xfId="1" applyFont="1" applyFill="1" applyAlignment="1">
      <alignment wrapText="1"/>
    </xf>
    <xf numFmtId="0" fontId="0" fillId="6" borderId="0" xfId="0" applyFill="1"/>
    <xf numFmtId="0" fontId="21" fillId="5" borderId="0" xfId="0" applyFont="1" applyFill="1" applyAlignment="1">
      <alignment wrapText="1"/>
    </xf>
    <xf numFmtId="0" fontId="7" fillId="5" borderId="0" xfId="0" applyFont="1" applyFill="1" applyAlignment="1">
      <alignment wrapText="1"/>
    </xf>
    <xf numFmtId="0" fontId="7" fillId="5" borderId="0" xfId="1" applyFont="1" applyFill="1" applyAlignment="1">
      <alignment wrapText="1"/>
    </xf>
    <xf numFmtId="0" fontId="0" fillId="5" borderId="0" xfId="0" applyFill="1"/>
    <xf numFmtId="14" fontId="7" fillId="0" borderId="2" xfId="0" applyNumberFormat="1" applyFont="1" applyBorder="1" applyAlignment="1">
      <alignment horizontal="left" wrapText="1"/>
    </xf>
    <xf numFmtId="0" fontId="17" fillId="0" borderId="26" xfId="0" applyFont="1" applyBorder="1"/>
    <xf numFmtId="14" fontId="7" fillId="0" borderId="2" xfId="0" applyNumberFormat="1" applyFont="1" applyBorder="1" applyAlignment="1">
      <alignment wrapText="1"/>
    </xf>
    <xf numFmtId="14" fontId="14" fillId="0" borderId="26" xfId="0" applyNumberFormat="1" applyFont="1" applyBorder="1" applyAlignment="1">
      <alignment horizontal="right" vertical="center" wrapText="1"/>
    </xf>
    <xf numFmtId="0" fontId="14" fillId="0" borderId="26" xfId="0" applyFont="1" applyBorder="1" applyAlignment="1">
      <alignment vertical="top" wrapText="1"/>
    </xf>
    <xf numFmtId="0" fontId="14" fillId="0" borderId="12" xfId="0" applyFont="1" applyBorder="1" applyAlignment="1">
      <alignment vertical="top" wrapText="1"/>
    </xf>
    <xf numFmtId="14" fontId="23" fillId="9" borderId="27" xfId="0" applyNumberFormat="1" applyFont="1" applyFill="1" applyBorder="1" applyAlignment="1">
      <alignment horizontal="left" wrapText="1"/>
    </xf>
    <xf numFmtId="14" fontId="23" fillId="0" borderId="27" xfId="0" applyNumberFormat="1" applyFont="1" applyBorder="1" applyAlignment="1">
      <alignment horizontal="center"/>
    </xf>
    <xf numFmtId="14" fontId="7" fillId="0" borderId="27" xfId="0" applyNumberFormat="1" applyFont="1" applyBorder="1" applyAlignment="1">
      <alignment horizontal="center" wrapText="1"/>
    </xf>
    <xf numFmtId="0" fontId="17" fillId="0" borderId="2" xfId="0" applyFont="1" applyBorder="1" applyAlignment="1">
      <alignment horizontal="center" wrapText="1"/>
    </xf>
    <xf numFmtId="0" fontId="17" fillId="0" borderId="12" xfId="0" applyFont="1" applyBorder="1" applyAlignment="1">
      <alignment horizontal="center" wrapText="1"/>
    </xf>
    <xf numFmtId="0" fontId="7" fillId="0" borderId="2" xfId="0" applyFont="1" applyBorder="1" applyAlignment="1">
      <alignment horizontal="center" wrapText="1"/>
    </xf>
    <xf numFmtId="0" fontId="30" fillId="0" borderId="12" xfId="0" applyFont="1" applyBorder="1" applyAlignment="1">
      <alignment vertical="top" wrapText="1"/>
    </xf>
    <xf numFmtId="14" fontId="14" fillId="0" borderId="2" xfId="0" applyNumberFormat="1" applyFont="1" applyBorder="1" applyAlignment="1">
      <alignment horizontal="right" vertical="center" wrapText="1"/>
    </xf>
    <xf numFmtId="14" fontId="14" fillId="0" borderId="26" xfId="0" applyNumberFormat="1" applyFont="1" applyBorder="1" applyAlignment="1">
      <alignment horizontal="left"/>
    </xf>
    <xf numFmtId="165" fontId="14" fillId="0" borderId="2" xfId="0" applyNumberFormat="1" applyFont="1" applyBorder="1" applyAlignment="1">
      <alignment horizontal="left"/>
    </xf>
    <xf numFmtId="14" fontId="14" fillId="0" borderId="12" xfId="0" applyNumberFormat="1" applyFont="1" applyBorder="1" applyAlignment="1">
      <alignment horizontal="left" vertical="center"/>
    </xf>
    <xf numFmtId="165" fontId="14" fillId="0" borderId="12" xfId="0" applyNumberFormat="1" applyFont="1" applyBorder="1" applyAlignment="1">
      <alignment horizontal="left"/>
    </xf>
    <xf numFmtId="14" fontId="14" fillId="0" borderId="2" xfId="0" applyNumberFormat="1" applyFont="1" applyBorder="1" applyAlignment="1">
      <alignment horizontal="left" vertical="center"/>
    </xf>
    <xf numFmtId="14" fontId="14" fillId="0" borderId="12" xfId="0" applyNumberFormat="1" applyFont="1" applyBorder="1" applyAlignment="1">
      <alignment horizontal="left"/>
    </xf>
    <xf numFmtId="14" fontId="14" fillId="0" borderId="31" xfId="0" applyNumberFormat="1" applyFont="1" applyBorder="1" applyAlignment="1">
      <alignment horizontal="left" vertical="center"/>
    </xf>
    <xf numFmtId="14" fontId="34" fillId="0" borderId="26" xfId="0" applyNumberFormat="1" applyFont="1" applyBorder="1" applyAlignment="1">
      <alignment horizontal="center" wrapText="1"/>
    </xf>
    <xf numFmtId="0" fontId="17" fillId="0" borderId="26" xfId="0" applyFont="1" applyBorder="1" applyAlignment="1">
      <alignment horizontal="center" wrapText="1"/>
    </xf>
    <xf numFmtId="0" fontId="17" fillId="0" borderId="26" xfId="0" applyFont="1" applyBorder="1" applyAlignment="1">
      <alignment horizontal="center" vertical="top" wrapText="1"/>
    </xf>
    <xf numFmtId="0" fontId="0" fillId="0" borderId="0" xfId="0" applyAlignment="1">
      <alignment vertical="top" wrapText="1"/>
    </xf>
    <xf numFmtId="14" fontId="0" fillId="0" borderId="2" xfId="0" applyNumberFormat="1" applyBorder="1" applyAlignment="1">
      <alignment horizontal="center"/>
    </xf>
    <xf numFmtId="17" fontId="30" fillId="0" borderId="2" xfId="0" applyNumberFormat="1" applyFont="1" applyBorder="1" applyAlignment="1">
      <alignment vertical="top" wrapText="1"/>
    </xf>
    <xf numFmtId="0" fontId="30" fillId="0" borderId="31" xfId="0" applyFont="1" applyBorder="1" applyAlignment="1">
      <alignment vertical="top" wrapText="1"/>
    </xf>
    <xf numFmtId="14" fontId="3" fillId="0" borderId="27" xfId="0" applyNumberFormat="1" applyFont="1" applyBorder="1"/>
    <xf numFmtId="0" fontId="3" fillId="0" borderId="12" xfId="0" applyFont="1" applyBorder="1"/>
    <xf numFmtId="14" fontId="3" fillId="0" borderId="26" xfId="0" applyNumberFormat="1" applyFont="1" applyBorder="1" applyAlignment="1">
      <alignment horizontal="right"/>
    </xf>
    <xf numFmtId="14" fontId="3" fillId="0" borderId="2" xfId="0" applyNumberFormat="1" applyFont="1" applyBorder="1" applyAlignment="1">
      <alignment horizontal="right"/>
    </xf>
    <xf numFmtId="14" fontId="7" fillId="0" borderId="26" xfId="0" applyNumberFormat="1" applyFont="1" applyBorder="1" applyAlignment="1">
      <alignment horizontal="center" wrapText="1"/>
    </xf>
    <xf numFmtId="0" fontId="7" fillId="0" borderId="26" xfId="0" applyFont="1" applyBorder="1"/>
    <xf numFmtId="14" fontId="54" fillId="0" borderId="2" xfId="0" applyNumberFormat="1" applyFont="1" applyBorder="1" applyAlignment="1">
      <alignment horizontal="center" wrapText="1"/>
    </xf>
    <xf numFmtId="14" fontId="54" fillId="0" borderId="2" xfId="0" applyNumberFormat="1" applyFont="1" applyBorder="1" applyAlignment="1">
      <alignment wrapText="1"/>
    </xf>
    <xf numFmtId="14" fontId="22" fillId="0" borderId="2" xfId="0" applyNumberFormat="1" applyFont="1" applyBorder="1" applyAlignment="1">
      <alignment horizontal="center" vertical="center"/>
    </xf>
    <xf numFmtId="14" fontId="54" fillId="0" borderId="2" xfId="0" applyNumberFormat="1" applyFont="1" applyBorder="1" applyAlignment="1">
      <alignment horizontal="center" vertical="center" wrapText="1"/>
    </xf>
    <xf numFmtId="14" fontId="23" fillId="0" borderId="0" xfId="0" applyNumberFormat="1" applyFont="1" applyAlignment="1">
      <alignment horizontal="center" vertical="center"/>
    </xf>
    <xf numFmtId="165" fontId="14" fillId="0" borderId="2" xfId="0" applyNumberFormat="1" applyFont="1" applyBorder="1" applyAlignment="1">
      <alignment horizontal="center" vertical="center"/>
    </xf>
    <xf numFmtId="165" fontId="14" fillId="0" borderId="2" xfId="0" applyNumberFormat="1" applyFont="1" applyBorder="1" applyAlignment="1">
      <alignment horizontal="center" vertical="center" wrapText="1"/>
    </xf>
    <xf numFmtId="165" fontId="0" fillId="0" borderId="0" xfId="0" applyNumberFormat="1" applyAlignment="1">
      <alignment horizontal="center"/>
    </xf>
    <xf numFmtId="14" fontId="54" fillId="0" borderId="2" xfId="0" applyNumberFormat="1" applyFont="1" applyBorder="1" applyAlignment="1">
      <alignment horizontal="left" wrapText="1"/>
    </xf>
    <xf numFmtId="0" fontId="61" fillId="0" borderId="2" xfId="0" applyFont="1" applyBorder="1" applyAlignment="1">
      <alignment vertical="center" wrapText="1"/>
    </xf>
    <xf numFmtId="14" fontId="14" fillId="0" borderId="2" xfId="0" applyNumberFormat="1" applyFont="1" applyBorder="1" applyAlignment="1">
      <alignment horizontal="center" vertical="center" wrapText="1"/>
    </xf>
    <xf numFmtId="16" fontId="0" fillId="0" borderId="0" xfId="0" applyNumberFormat="1"/>
    <xf numFmtId="0" fontId="7" fillId="0" borderId="0" xfId="0" applyFont="1" applyAlignment="1">
      <alignment vertical="top" wrapText="1"/>
    </xf>
    <xf numFmtId="0" fontId="7" fillId="0" borderId="2" xfId="0" applyFont="1" applyBorder="1" applyAlignment="1">
      <alignment horizontal="left" vertical="center"/>
    </xf>
    <xf numFmtId="14" fontId="14" fillId="0" borderId="12" xfId="0" applyNumberFormat="1" applyFont="1" applyBorder="1" applyAlignment="1">
      <alignment horizontal="center"/>
    </xf>
    <xf numFmtId="0" fontId="63" fillId="0" borderId="2" xfId="0" applyFont="1" applyBorder="1" applyAlignment="1">
      <alignment vertical="top" wrapText="1"/>
    </xf>
    <xf numFmtId="0" fontId="61" fillId="0" borderId="2" xfId="0" applyFont="1" applyBorder="1" applyAlignment="1">
      <alignment vertical="top" wrapText="1"/>
    </xf>
    <xf numFmtId="0" fontId="65" fillId="0" borderId="2" xfId="0" applyFont="1" applyBorder="1" applyAlignment="1">
      <alignment vertical="center" wrapText="1"/>
    </xf>
    <xf numFmtId="0" fontId="67" fillId="0" borderId="2" xfId="0" applyFont="1" applyBorder="1"/>
    <xf numFmtId="14" fontId="54" fillId="0" borderId="12" xfId="0" applyNumberFormat="1" applyFont="1" applyBorder="1" applyAlignment="1">
      <alignment horizontal="center" wrapText="1"/>
    </xf>
    <xf numFmtId="14" fontId="54" fillId="0" borderId="12" xfId="0" applyNumberFormat="1" applyFont="1" applyBorder="1" applyAlignment="1">
      <alignment horizontal="center" vertical="center" wrapText="1"/>
    </xf>
    <xf numFmtId="14" fontId="54" fillId="0" borderId="26" xfId="0" applyNumberFormat="1" applyFont="1" applyBorder="1" applyAlignment="1">
      <alignment horizontal="center" wrapText="1"/>
    </xf>
    <xf numFmtId="14" fontId="54" fillId="0" borderId="26" xfId="0" applyNumberFormat="1" applyFont="1" applyBorder="1" applyAlignment="1">
      <alignment horizontal="center" vertical="center" wrapText="1"/>
    </xf>
    <xf numFmtId="14" fontId="54" fillId="0" borderId="26" xfId="0" applyNumberFormat="1" applyFont="1" applyBorder="1" applyAlignment="1">
      <alignment horizontal="left" wrapText="1"/>
    </xf>
    <xf numFmtId="14" fontId="14" fillId="0" borderId="26" xfId="0" applyNumberFormat="1" applyFont="1" applyBorder="1" applyAlignment="1">
      <alignment horizontal="center"/>
    </xf>
    <xf numFmtId="0" fontId="14" fillId="0" borderId="26" xfId="0" applyFont="1" applyBorder="1" applyAlignment="1">
      <alignment horizontal="center"/>
    </xf>
    <xf numFmtId="0" fontId="66" fillId="0" borderId="2" xfId="0" applyFont="1" applyBorder="1"/>
    <xf numFmtId="0" fontId="51" fillId="0" borderId="2" xfId="0" applyFont="1" applyBorder="1"/>
    <xf numFmtId="14" fontId="54" fillId="0" borderId="2" xfId="0" applyNumberFormat="1" applyFont="1" applyBorder="1" applyAlignment="1">
      <alignment horizontal="left" vertical="top" wrapText="1"/>
    </xf>
    <xf numFmtId="14" fontId="7" fillId="0" borderId="2" xfId="0" applyNumberFormat="1" applyFont="1" applyBorder="1" applyAlignment="1">
      <alignment horizontal="left" vertical="top" wrapText="1"/>
    </xf>
    <xf numFmtId="0" fontId="61" fillId="0" borderId="2" xfId="0" applyFont="1" applyBorder="1" applyAlignment="1">
      <alignment vertical="center"/>
    </xf>
    <xf numFmtId="14" fontId="61" fillId="0" borderId="2" xfId="0" applyNumberFormat="1" applyFont="1" applyBorder="1" applyAlignment="1">
      <alignment horizontal="center" vertical="center" wrapText="1"/>
    </xf>
    <xf numFmtId="14" fontId="61" fillId="0" borderId="2" xfId="0" applyNumberFormat="1" applyFont="1" applyBorder="1" applyAlignment="1">
      <alignment horizontal="center" vertical="center"/>
    </xf>
    <xf numFmtId="14" fontId="64" fillId="0" borderId="2" xfId="0" applyNumberFormat="1" applyFont="1" applyBorder="1" applyAlignment="1">
      <alignment horizontal="center" vertical="center"/>
    </xf>
    <xf numFmtId="14" fontId="65" fillId="0" borderId="2" xfId="0" applyNumberFormat="1" applyFont="1" applyBorder="1" applyAlignment="1">
      <alignment horizontal="center" vertical="center"/>
    </xf>
    <xf numFmtId="14" fontId="0" fillId="0" borderId="0" xfId="0" applyNumberFormat="1" applyAlignment="1">
      <alignment horizontal="center" vertical="center"/>
    </xf>
    <xf numFmtId="0" fontId="64" fillId="0" borderId="2" xfId="0" applyFont="1" applyBorder="1" applyAlignment="1">
      <alignment vertical="center" wrapText="1"/>
    </xf>
    <xf numFmtId="0" fontId="5" fillId="0" borderId="0" xfId="0" applyFont="1" applyAlignment="1">
      <alignment vertical="center"/>
    </xf>
    <xf numFmtId="0" fontId="64" fillId="0" borderId="2" xfId="0" applyFont="1" applyBorder="1" applyAlignment="1">
      <alignment horizontal="center" vertical="center"/>
    </xf>
    <xf numFmtId="0" fontId="65" fillId="0" borderId="2" xfId="0" applyFont="1" applyBorder="1" applyAlignment="1">
      <alignment horizontal="center" vertical="center"/>
    </xf>
    <xf numFmtId="16" fontId="65" fillId="0" borderId="2" xfId="0" applyNumberFormat="1" applyFont="1" applyBorder="1" applyAlignment="1">
      <alignment horizontal="center" vertical="center"/>
    </xf>
    <xf numFmtId="0" fontId="5" fillId="0" borderId="12" xfId="0" applyFont="1" applyBorder="1" applyAlignment="1">
      <alignment horizontal="center" vertical="center"/>
    </xf>
    <xf numFmtId="0" fontId="0" fillId="0" borderId="27" xfId="0" applyBorder="1" applyAlignment="1">
      <alignment horizontal="center" vertical="center"/>
    </xf>
    <xf numFmtId="0" fontId="64" fillId="0" borderId="28" xfId="0" applyFont="1" applyBorder="1" applyAlignment="1">
      <alignment horizontal="center" vertical="center"/>
    </xf>
    <xf numFmtId="0" fontId="65" fillId="0" borderId="28" xfId="0" applyFont="1" applyBorder="1" applyAlignment="1">
      <alignment horizontal="center" vertical="center"/>
    </xf>
    <xf numFmtId="0" fontId="65" fillId="0" borderId="32" xfId="0" applyFont="1" applyBorder="1" applyAlignment="1">
      <alignment horizontal="center" vertical="center"/>
    </xf>
    <xf numFmtId="0" fontId="64" fillId="0" borderId="27" xfId="0" applyFont="1" applyBorder="1" applyAlignment="1">
      <alignment horizontal="left" vertical="center" indent="1"/>
    </xf>
    <xf numFmtId="0" fontId="65" fillId="0" borderId="27" xfId="0" applyFont="1" applyBorder="1" applyAlignment="1">
      <alignment horizontal="left" vertical="center" indent="1"/>
    </xf>
    <xf numFmtId="0" fontId="0" fillId="0" borderId="0" xfId="0" applyAlignment="1">
      <alignment horizontal="left" vertical="center" indent="1"/>
    </xf>
    <xf numFmtId="0" fontId="65" fillId="0" borderId="2" xfId="0" applyFont="1" applyBorder="1" applyAlignment="1">
      <alignment vertical="top" wrapText="1"/>
    </xf>
    <xf numFmtId="0" fontId="54" fillId="0" borderId="2" xfId="0" applyFont="1" applyBorder="1" applyAlignment="1">
      <alignment vertical="top" wrapText="1"/>
    </xf>
    <xf numFmtId="0" fontId="67" fillId="0" borderId="26" xfId="0" applyFont="1" applyBorder="1"/>
    <xf numFmtId="0" fontId="72" fillId="0" borderId="2" xfId="0" applyFont="1" applyBorder="1"/>
    <xf numFmtId="0" fontId="70" fillId="0" borderId="12" xfId="0" applyFont="1" applyBorder="1" applyAlignment="1">
      <alignment vertical="center"/>
    </xf>
    <xf numFmtId="0" fontId="74" fillId="0" borderId="2" xfId="0" applyFont="1" applyBorder="1" applyAlignment="1">
      <alignment vertical="center" wrapText="1"/>
      <extLst>
        <ext xmlns:xfpb="http://schemas.microsoft.com/office/spreadsheetml/2022/featurepropertybag" uri="{C7286773-470A-42A8-94C5-96B5CB345126}">
          <xfpb:xfComplement i="0"/>
        </ext>
      </extLst>
    </xf>
    <xf numFmtId="0" fontId="5" fillId="0" borderId="0" xfId="0" applyFont="1" applyAlignment="1">
      <alignment horizontal="center" vertical="center"/>
    </xf>
    <xf numFmtId="0" fontId="5" fillId="8" borderId="0" xfId="0" applyFont="1" applyFill="1" applyAlignment="1">
      <alignment horizontal="center" vertical="center"/>
    </xf>
    <xf numFmtId="0" fontId="74" fillId="0" borderId="35" xfId="0" applyFont="1" applyBorder="1" applyAlignment="1">
      <alignment vertical="center" wrapText="1"/>
      <extLst>
        <ext xmlns:xfpb="http://schemas.microsoft.com/office/spreadsheetml/2022/featurepropertybag" uri="{C7286773-470A-42A8-94C5-96B5CB345126}">
          <xfpb:xfComplement i="0"/>
        </ext>
      </extLst>
    </xf>
    <xf numFmtId="0" fontId="74" fillId="0" borderId="36" xfId="0" applyFont="1" applyBorder="1" applyAlignment="1">
      <alignment vertical="center" wrapText="1"/>
      <extLst>
        <ext xmlns:xfpb="http://schemas.microsoft.com/office/spreadsheetml/2022/featurepropertybag" uri="{C7286773-470A-42A8-94C5-96B5CB345126}">
          <xfpb:xfComplement i="0"/>
        </ext>
      </extLst>
    </xf>
    <xf numFmtId="0" fontId="74" fillId="0" borderId="38" xfId="0" applyFont="1" applyBorder="1" applyAlignment="1">
      <alignment vertical="center" wrapText="1"/>
      <extLst>
        <ext xmlns:xfpb="http://schemas.microsoft.com/office/spreadsheetml/2022/featurepropertybag" uri="{C7286773-470A-42A8-94C5-96B5CB345126}">
          <xfpb:xfComplement i="0"/>
        </ext>
      </extLst>
    </xf>
    <xf numFmtId="0" fontId="74" fillId="0" borderId="41" xfId="0" applyFont="1" applyBorder="1" applyAlignment="1">
      <alignment vertical="center" wrapText="1"/>
      <extLst>
        <ext xmlns:xfpb="http://schemas.microsoft.com/office/spreadsheetml/2022/featurepropertybag" uri="{C7286773-470A-42A8-94C5-96B5CB345126}">
          <xfpb:xfComplement i="0"/>
        </ext>
      </extLst>
    </xf>
    <xf numFmtId="0" fontId="74" fillId="0" borderId="42" xfId="0" applyFont="1" applyBorder="1" applyAlignment="1">
      <alignment vertical="center" wrapText="1"/>
      <extLst>
        <ext xmlns:xfpb="http://schemas.microsoft.com/office/spreadsheetml/2022/featurepropertybag" uri="{C7286773-470A-42A8-94C5-96B5CB345126}">
          <xfpb:xfComplement i="0"/>
        </ext>
      </extLst>
    </xf>
    <xf numFmtId="0" fontId="73" fillId="8" borderId="12" xfId="0" applyFont="1" applyFill="1" applyBorder="1" applyAlignment="1">
      <alignment horizontal="center" vertical="center"/>
    </xf>
    <xf numFmtId="0" fontId="73" fillId="8" borderId="12" xfId="0" applyFont="1" applyFill="1" applyBorder="1" applyAlignment="1">
      <alignment horizontal="center" vertical="center" indent="1"/>
    </xf>
    <xf numFmtId="0" fontId="74" fillId="0" borderId="26" xfId="0" applyFont="1" applyBorder="1" applyAlignment="1">
      <alignment vertical="center" wrapText="1"/>
      <extLst>
        <ext xmlns:xfpb="http://schemas.microsoft.com/office/spreadsheetml/2022/featurepropertybag" uri="{C7286773-470A-42A8-94C5-96B5CB345126}">
          <xfpb:xfComplement i="0"/>
        </ext>
      </extLst>
    </xf>
    <xf numFmtId="0" fontId="74" fillId="0" borderId="12" xfId="0" applyFont="1" applyBorder="1" applyAlignment="1">
      <alignment vertical="center" wrapText="1"/>
      <extLst>
        <ext xmlns:xfpb="http://schemas.microsoft.com/office/spreadsheetml/2022/featurepropertybag" uri="{C7286773-470A-42A8-94C5-96B5CB345126}">
          <xfpb:xfComplement i="0"/>
        </ext>
      </extLst>
    </xf>
    <xf numFmtId="0" fontId="74" fillId="0" borderId="43" xfId="0" applyFont="1" applyBorder="1" applyAlignment="1">
      <alignment vertical="center" wrapText="1"/>
      <extLst>
        <ext xmlns:xfpb="http://schemas.microsoft.com/office/spreadsheetml/2022/featurepropertybag" uri="{C7286773-470A-42A8-94C5-96B5CB345126}">
          <xfpb:xfComplement i="0"/>
        </ext>
      </extLst>
    </xf>
    <xf numFmtId="0" fontId="73" fillId="7" borderId="2" xfId="0" applyFont="1" applyFill="1" applyBorder="1" applyAlignment="1">
      <alignment horizontal="left" vertical="center" indent="1"/>
    </xf>
    <xf numFmtId="0" fontId="73" fillId="17" borderId="2" xfId="0" applyFont="1" applyFill="1" applyBorder="1" applyAlignment="1">
      <alignment horizontal="left" vertical="center" indent="1"/>
    </xf>
    <xf numFmtId="0" fontId="76" fillId="17" borderId="2" xfId="0" applyFont="1" applyFill="1" applyBorder="1" applyAlignment="1">
      <alignment horizontal="left" vertical="center" indent="1"/>
    </xf>
    <xf numFmtId="0" fontId="74" fillId="0" borderId="45" xfId="0" applyFont="1" applyBorder="1" applyAlignment="1">
      <alignment vertical="center" wrapText="1"/>
      <extLst>
        <ext xmlns:xfpb="http://schemas.microsoft.com/office/spreadsheetml/2022/featurepropertybag" uri="{C7286773-470A-42A8-94C5-96B5CB345126}">
          <xfpb:xfComplement i="0"/>
        </ext>
      </extLst>
    </xf>
    <xf numFmtId="0" fontId="74" fillId="0" borderId="27" xfId="0" applyFont="1" applyBorder="1" applyAlignment="1">
      <alignment vertical="center" wrapText="1"/>
      <extLst>
        <ext xmlns:xfpb="http://schemas.microsoft.com/office/spreadsheetml/2022/featurepropertybag" uri="{C7286773-470A-42A8-94C5-96B5CB345126}">
          <xfpb:xfComplement i="0"/>
        </ext>
      </extLst>
    </xf>
    <xf numFmtId="0" fontId="73" fillId="17" borderId="26" xfId="0" applyFont="1" applyFill="1" applyBorder="1" applyAlignment="1">
      <alignment horizontal="left" vertical="center" indent="1"/>
    </xf>
    <xf numFmtId="0" fontId="76" fillId="17" borderId="26" xfId="0" applyFont="1" applyFill="1" applyBorder="1" applyAlignment="1">
      <alignment horizontal="left" vertical="center" indent="1"/>
    </xf>
    <xf numFmtId="0" fontId="73" fillId="5" borderId="2" xfId="0" applyFont="1" applyFill="1" applyBorder="1" applyAlignment="1">
      <alignment horizontal="left" vertical="center" indent="1"/>
    </xf>
    <xf numFmtId="0" fontId="73" fillId="5" borderId="12" xfId="0" applyFont="1" applyFill="1" applyBorder="1" applyAlignment="1">
      <alignment horizontal="left" vertical="center" indent="1"/>
    </xf>
    <xf numFmtId="0" fontId="73" fillId="19" borderId="2" xfId="0" applyFont="1" applyFill="1" applyBorder="1" applyAlignment="1">
      <alignment horizontal="left" vertical="center" indent="1"/>
    </xf>
    <xf numFmtId="0" fontId="73" fillId="19" borderId="41" xfId="0" applyFont="1" applyFill="1" applyBorder="1" applyAlignment="1">
      <alignment horizontal="left" vertical="center" indent="1"/>
    </xf>
    <xf numFmtId="0" fontId="73" fillId="22" borderId="2" xfId="0" applyFont="1" applyFill="1" applyBorder="1" applyAlignment="1">
      <alignment horizontal="left" vertical="center" indent="1"/>
    </xf>
    <xf numFmtId="0" fontId="76" fillId="17" borderId="12" xfId="0" applyFont="1" applyFill="1" applyBorder="1" applyAlignment="1">
      <alignment horizontal="left" vertical="center" indent="1"/>
    </xf>
    <xf numFmtId="0" fontId="76" fillId="5" borderId="35" xfId="0" applyFont="1" applyFill="1" applyBorder="1" applyAlignment="1">
      <alignment horizontal="left" vertical="center" indent="1"/>
    </xf>
    <xf numFmtId="0" fontId="76" fillId="5" borderId="2" xfId="0" applyFont="1" applyFill="1" applyBorder="1" applyAlignment="1">
      <alignment horizontal="left" vertical="center" indent="1"/>
    </xf>
    <xf numFmtId="0" fontId="76" fillId="19" borderId="35" xfId="0" applyFont="1" applyFill="1" applyBorder="1" applyAlignment="1">
      <alignment horizontal="left" vertical="center" indent="1"/>
    </xf>
    <xf numFmtId="0" fontId="76" fillId="19" borderId="2" xfId="0" applyFont="1" applyFill="1" applyBorder="1" applyAlignment="1">
      <alignment horizontal="left" vertical="center" indent="1"/>
    </xf>
    <xf numFmtId="0" fontId="76" fillId="22" borderId="26" xfId="0" applyFont="1" applyFill="1" applyBorder="1" applyAlignment="1">
      <alignment horizontal="left" vertical="center" indent="1"/>
    </xf>
    <xf numFmtId="0" fontId="76" fillId="22" borderId="2" xfId="0" applyFont="1" applyFill="1" applyBorder="1" applyAlignment="1">
      <alignment horizontal="left" vertical="center" indent="1"/>
    </xf>
    <xf numFmtId="0" fontId="73" fillId="16" borderId="44" xfId="0" applyFont="1" applyFill="1" applyBorder="1" applyAlignment="1">
      <alignment horizontal="center" vertical="center"/>
    </xf>
    <xf numFmtId="0" fontId="73" fillId="16" borderId="2" xfId="0" applyFont="1" applyFill="1" applyBorder="1" applyAlignment="1">
      <alignment horizontal="center" vertical="center"/>
    </xf>
    <xf numFmtId="0" fontId="73" fillId="16" borderId="12" xfId="0" applyFont="1" applyFill="1" applyBorder="1" applyAlignment="1">
      <alignment horizontal="center" vertical="center"/>
    </xf>
    <xf numFmtId="0" fontId="73" fillId="18" borderId="2" xfId="0" applyFont="1" applyFill="1" applyBorder="1" applyAlignment="1">
      <alignment horizontal="center" vertical="center"/>
    </xf>
    <xf numFmtId="0" fontId="73" fillId="4" borderId="2" xfId="0" applyFont="1" applyFill="1" applyBorder="1" applyAlignment="1">
      <alignment horizontal="center" vertical="center"/>
    </xf>
    <xf numFmtId="0" fontId="73" fillId="21" borderId="26" xfId="0" applyFont="1" applyFill="1" applyBorder="1" applyAlignment="1">
      <alignment horizontal="center" vertical="center"/>
    </xf>
    <xf numFmtId="0" fontId="76" fillId="7" borderId="2" xfId="0" applyFont="1" applyFill="1" applyBorder="1" applyAlignment="1">
      <alignment horizontal="left" vertical="center" indent="1"/>
    </xf>
    <xf numFmtId="0" fontId="73" fillId="15" borderId="28" xfId="0" applyFont="1" applyFill="1" applyBorder="1" applyAlignment="1">
      <alignment horizontal="center" vertical="center"/>
    </xf>
    <xf numFmtId="0" fontId="76" fillId="7" borderId="34" xfId="0" applyFont="1" applyFill="1" applyBorder="1" applyAlignment="1">
      <alignment horizontal="left" vertical="center" indent="1"/>
    </xf>
    <xf numFmtId="0" fontId="73" fillId="7" borderId="31" xfId="0" applyFont="1" applyFill="1" applyBorder="1" applyAlignment="1">
      <alignment horizontal="left" vertical="center" indent="1"/>
    </xf>
    <xf numFmtId="0" fontId="23" fillId="0" borderId="2" xfId="0" applyFont="1" applyBorder="1" applyAlignment="1">
      <alignment horizontal="center" vertical="center"/>
    </xf>
    <xf numFmtId="0" fontId="70" fillId="0" borderId="2" xfId="0" applyFont="1" applyBorder="1" applyAlignment="1">
      <alignment horizontal="center" vertical="center"/>
    </xf>
    <xf numFmtId="0" fontId="78" fillId="0" borderId="28" xfId="0" applyFont="1" applyBorder="1" applyAlignment="1">
      <alignment horizontal="center" vertical="center"/>
    </xf>
    <xf numFmtId="0" fontId="79" fillId="0" borderId="2" xfId="0" applyFont="1" applyBorder="1" applyAlignment="1">
      <alignment horizontal="center" vertical="center"/>
    </xf>
    <xf numFmtId="0" fontId="78" fillId="0" borderId="27" xfId="0" applyFont="1" applyBorder="1" applyAlignment="1">
      <alignment horizontal="left" vertical="center" indent="1"/>
    </xf>
    <xf numFmtId="14" fontId="78" fillId="0" borderId="2" xfId="0" applyNumberFormat="1" applyFont="1" applyBorder="1" applyAlignment="1">
      <alignment horizontal="center" vertical="center"/>
    </xf>
    <xf numFmtId="16" fontId="78" fillId="0" borderId="2" xfId="0" applyNumberFormat="1" applyFont="1" applyBorder="1" applyAlignment="1">
      <alignment horizontal="center" vertical="center"/>
    </xf>
    <xf numFmtId="0" fontId="78" fillId="0" borderId="2" xfId="0" applyFont="1" applyBorder="1" applyAlignment="1">
      <alignment vertical="top" wrapText="1"/>
    </xf>
    <xf numFmtId="0" fontId="79" fillId="0" borderId="0" xfId="0" applyFont="1" applyAlignment="1">
      <alignment vertical="center"/>
    </xf>
    <xf numFmtId="0" fontId="7" fillId="9" borderId="2" xfId="0" applyFont="1" applyFill="1" applyBorder="1" applyAlignment="1">
      <alignment horizontal="left" vertical="center"/>
    </xf>
    <xf numFmtId="0" fontId="23" fillId="0" borderId="2" xfId="0" applyFont="1" applyBorder="1" applyAlignment="1">
      <alignment vertical="center" wrapText="1"/>
    </xf>
    <xf numFmtId="0" fontId="66" fillId="0" borderId="26" xfId="0" applyFont="1" applyBorder="1"/>
    <xf numFmtId="14" fontId="54" fillId="0" borderId="26" xfId="0" applyNumberFormat="1" applyFont="1" applyBorder="1" applyAlignment="1">
      <alignment horizontal="left" vertical="top" wrapText="1"/>
    </xf>
    <xf numFmtId="0" fontId="17" fillId="0" borderId="12" xfId="1" applyFont="1" applyBorder="1" applyAlignment="1">
      <alignment vertical="center"/>
    </xf>
    <xf numFmtId="0" fontId="28" fillId="0" borderId="2" xfId="1" applyFont="1" applyBorder="1" applyAlignment="1">
      <alignment vertical="center"/>
    </xf>
    <xf numFmtId="0" fontId="61" fillId="0" borderId="12" xfId="0" applyFont="1" applyBorder="1" applyAlignment="1">
      <alignment vertical="center" wrapText="1"/>
    </xf>
    <xf numFmtId="14" fontId="61" fillId="0" borderId="12" xfId="0" applyNumberFormat="1" applyFont="1" applyBorder="1" applyAlignment="1">
      <alignment horizontal="center" vertical="center" wrapText="1"/>
    </xf>
    <xf numFmtId="14" fontId="61" fillId="0" borderId="12" xfId="0" applyNumberFormat="1" applyFont="1" applyBorder="1" applyAlignment="1">
      <alignment horizontal="center" vertical="center"/>
    </xf>
    <xf numFmtId="0" fontId="7" fillId="0" borderId="12" xfId="0" applyFont="1" applyBorder="1" applyAlignment="1">
      <alignment horizontal="left" vertical="center"/>
    </xf>
    <xf numFmtId="165" fontId="14" fillId="0" borderId="26" xfId="0" applyNumberFormat="1" applyFont="1" applyBorder="1" applyAlignment="1">
      <alignment horizontal="center" vertical="center"/>
    </xf>
    <xf numFmtId="165" fontId="14" fillId="0" borderId="26" xfId="0" applyNumberFormat="1" applyFont="1" applyBorder="1" applyAlignment="1">
      <alignment horizontal="center" vertical="center" wrapText="1"/>
    </xf>
    <xf numFmtId="0" fontId="17" fillId="0" borderId="26" xfId="0" applyFont="1" applyBorder="1" applyAlignment="1">
      <alignment vertical="center"/>
    </xf>
    <xf numFmtId="0" fontId="61" fillId="0" borderId="31" xfId="0" applyFont="1" applyBorder="1" applyAlignment="1">
      <alignment vertical="center"/>
    </xf>
    <xf numFmtId="0" fontId="61" fillId="0" borderId="31" xfId="0" applyFont="1" applyBorder="1" applyAlignment="1">
      <alignment vertical="center" wrapText="1"/>
    </xf>
    <xf numFmtId="14" fontId="61" fillId="0" borderId="31" xfId="0" applyNumberFormat="1" applyFont="1" applyBorder="1" applyAlignment="1">
      <alignment horizontal="center" vertical="center" wrapText="1"/>
    </xf>
    <xf numFmtId="14" fontId="61" fillId="0" borderId="31" xfId="0" applyNumberFormat="1" applyFont="1" applyBorder="1" applyAlignment="1">
      <alignment horizontal="center" vertical="center"/>
    </xf>
    <xf numFmtId="0" fontId="61" fillId="0" borderId="47" xfId="0" applyFont="1" applyBorder="1" applyAlignment="1">
      <alignment vertical="top" wrapText="1"/>
    </xf>
    <xf numFmtId="0" fontId="7" fillId="0" borderId="31" xfId="0" applyFont="1" applyBorder="1" applyAlignment="1">
      <alignment horizontal="left" vertical="center"/>
    </xf>
    <xf numFmtId="0" fontId="23" fillId="0" borderId="31" xfId="0" applyFont="1" applyBorder="1" applyAlignment="1">
      <alignment horizontal="center" vertical="center"/>
    </xf>
    <xf numFmtId="0" fontId="61" fillId="0" borderId="47" xfId="0" applyFont="1" applyBorder="1" applyAlignment="1">
      <alignment vertical="center" wrapText="1"/>
    </xf>
    <xf numFmtId="0" fontId="7" fillId="9" borderId="31" xfId="0" applyFont="1" applyFill="1" applyBorder="1" applyAlignment="1">
      <alignment horizontal="left" vertical="center"/>
    </xf>
    <xf numFmtId="0" fontId="70" fillId="0" borderId="31" xfId="0" applyFont="1" applyBorder="1" applyAlignment="1">
      <alignment horizontal="center" vertical="center"/>
    </xf>
    <xf numFmtId="14" fontId="0" fillId="0" borderId="26" xfId="0" applyNumberFormat="1" applyBorder="1" applyAlignment="1">
      <alignment horizontal="center"/>
    </xf>
    <xf numFmtId="14" fontId="34" fillId="0" borderId="26" xfId="0" applyNumberFormat="1" applyFont="1" applyBorder="1" applyAlignment="1">
      <alignment vertical="center" wrapText="1"/>
    </xf>
    <xf numFmtId="14" fontId="34" fillId="0" borderId="2" xfId="0" applyNumberFormat="1" applyFont="1" applyBorder="1" applyAlignment="1">
      <alignment horizontal="center" wrapText="1"/>
    </xf>
    <xf numFmtId="14" fontId="34" fillId="0" borderId="12" xfId="0" applyNumberFormat="1" applyFont="1" applyBorder="1" applyAlignment="1">
      <alignment horizontal="center" wrapText="1"/>
    </xf>
    <xf numFmtId="0" fontId="7" fillId="0" borderId="26" xfId="0" applyFont="1" applyBorder="1" applyAlignment="1">
      <alignment horizontal="center" vertical="center" wrapText="1"/>
    </xf>
    <xf numFmtId="0" fontId="0" fillId="0" borderId="26" xfId="0" applyBorder="1" applyAlignment="1">
      <alignment horizontal="center" vertical="center"/>
    </xf>
    <xf numFmtId="0" fontId="51" fillId="0" borderId="26" xfId="0" applyFont="1" applyBorder="1"/>
    <xf numFmtId="14" fontId="7" fillId="0" borderId="26" xfId="0" applyNumberFormat="1" applyFont="1" applyBorder="1" applyAlignment="1">
      <alignment horizontal="center" vertical="center" wrapText="1"/>
    </xf>
    <xf numFmtId="14" fontId="0" fillId="0" borderId="26" xfId="0" applyNumberFormat="1" applyBorder="1"/>
    <xf numFmtId="14" fontId="34" fillId="0" borderId="26" xfId="0" applyNumberFormat="1" applyFont="1" applyBorder="1" applyAlignment="1">
      <alignment horizontal="center" vertical="center" wrapText="1"/>
    </xf>
    <xf numFmtId="14" fontId="23" fillId="0" borderId="26" xfId="0" applyNumberFormat="1" applyFont="1" applyBorder="1" applyAlignment="1">
      <alignment horizontal="center" vertical="center"/>
    </xf>
    <xf numFmtId="14" fontId="54" fillId="0" borderId="27" xfId="0" applyNumberFormat="1" applyFont="1" applyBorder="1" applyAlignment="1">
      <alignment horizontal="center" vertical="center" wrapText="1"/>
    </xf>
    <xf numFmtId="14" fontId="23" fillId="0" borderId="2" xfId="0" applyNumberFormat="1" applyFont="1" applyBorder="1" applyAlignment="1">
      <alignment horizontal="center"/>
    </xf>
    <xf numFmtId="14" fontId="3" fillId="0" borderId="26" xfId="0" applyNumberFormat="1" applyFont="1" applyBorder="1"/>
    <xf numFmtId="14" fontId="7" fillId="0" borderId="26" xfId="0" applyNumberFormat="1" applyFont="1" applyBorder="1" applyAlignment="1">
      <alignment horizontal="left" vertical="top" wrapText="1"/>
    </xf>
    <xf numFmtId="14" fontId="23" fillId="9" borderId="2" xfId="0" applyNumberFormat="1" applyFont="1" applyFill="1" applyBorder="1" applyAlignment="1">
      <alignment horizontal="left" wrapText="1"/>
    </xf>
    <xf numFmtId="14" fontId="7" fillId="0" borderId="27" xfId="0" applyNumberFormat="1" applyFont="1" applyBorder="1" applyAlignment="1">
      <alignment horizontal="left" vertical="top" wrapText="1"/>
    </xf>
    <xf numFmtId="14" fontId="7" fillId="0" borderId="27" xfId="0" applyNumberFormat="1" applyFont="1" applyBorder="1" applyAlignment="1">
      <alignment horizontal="left" wrapText="1"/>
    </xf>
    <xf numFmtId="14" fontId="34" fillId="0" borderId="2" xfId="0" applyNumberFormat="1" applyFont="1" applyBorder="1" applyAlignment="1">
      <alignment horizontal="center" vertical="center" wrapText="1"/>
    </xf>
    <xf numFmtId="14" fontId="15" fillId="0" borderId="2" xfId="0" applyNumberFormat="1" applyFont="1" applyBorder="1" applyAlignment="1">
      <alignment horizontal="center" wrapText="1"/>
    </xf>
    <xf numFmtId="14" fontId="34" fillId="0" borderId="26" xfId="0" applyNumberFormat="1" applyFont="1" applyBorder="1" applyAlignment="1">
      <alignment horizontal="center" vertical="top" wrapText="1"/>
    </xf>
    <xf numFmtId="14" fontId="87" fillId="0" borderId="26" xfId="0" applyNumberFormat="1" applyFont="1" applyBorder="1" applyAlignment="1">
      <alignment horizontal="center"/>
    </xf>
    <xf numFmtId="14" fontId="87" fillId="0" borderId="2" xfId="0" applyNumberFormat="1" applyFont="1" applyBorder="1" applyAlignment="1">
      <alignment horizontal="center"/>
    </xf>
    <xf numFmtId="14" fontId="87" fillId="0" borderId="12" xfId="0" applyNumberFormat="1" applyFont="1" applyBorder="1" applyAlignment="1">
      <alignment horizontal="center"/>
    </xf>
    <xf numFmtId="14" fontId="34" fillId="0" borderId="2" xfId="0" applyNumberFormat="1" applyFont="1" applyBorder="1" applyAlignment="1">
      <alignment horizontal="center" vertical="top" wrapText="1"/>
    </xf>
    <xf numFmtId="14" fontId="87" fillId="0" borderId="0" xfId="0" applyNumberFormat="1" applyFont="1" applyAlignment="1">
      <alignment horizontal="center"/>
    </xf>
    <xf numFmtId="14" fontId="34" fillId="0" borderId="12" xfId="0" applyNumberFormat="1" applyFont="1" applyBorder="1" applyAlignment="1">
      <alignment horizontal="center" vertical="center" wrapText="1"/>
    </xf>
    <xf numFmtId="0" fontId="7" fillId="0" borderId="2" xfId="0" applyFont="1" applyBorder="1" applyAlignment="1">
      <alignment horizontal="center" vertical="center" wrapText="1"/>
    </xf>
    <xf numFmtId="14" fontId="15" fillId="0" borderId="2" xfId="0" applyNumberFormat="1" applyFont="1" applyBorder="1" applyAlignment="1">
      <alignment horizontal="center"/>
    </xf>
    <xf numFmtId="14" fontId="7" fillId="0" borderId="12" xfId="0" applyNumberFormat="1" applyFont="1" applyBorder="1" applyAlignment="1">
      <alignment horizontal="center" wrapText="1"/>
    </xf>
    <xf numFmtId="0" fontId="17" fillId="0" borderId="2" xfId="0" applyFont="1" applyBorder="1" applyAlignment="1">
      <alignment horizontal="center" vertical="top" wrapText="1"/>
    </xf>
    <xf numFmtId="0" fontId="7" fillId="0" borderId="12" xfId="0" applyFont="1" applyBorder="1" applyAlignment="1">
      <alignment horizontal="center" wrapText="1"/>
    </xf>
    <xf numFmtId="14" fontId="7" fillId="0" borderId="0" xfId="0" applyNumberFormat="1" applyFont="1" applyAlignment="1">
      <alignment horizontal="center" wrapText="1"/>
    </xf>
    <xf numFmtId="0" fontId="17" fillId="0" borderId="2" xfId="0" applyFont="1" applyBorder="1" applyAlignment="1">
      <alignment horizontal="center" vertical="center" wrapText="1"/>
    </xf>
    <xf numFmtId="14" fontId="54" fillId="0" borderId="0" xfId="0" applyNumberFormat="1" applyFont="1" applyAlignment="1">
      <alignment horizontal="center" wrapText="1"/>
    </xf>
    <xf numFmtId="0" fontId="7" fillId="0" borderId="2" xfId="0" applyFont="1" applyBorder="1" applyAlignment="1">
      <alignment horizontal="center"/>
    </xf>
    <xf numFmtId="0" fontId="7" fillId="0" borderId="12" xfId="0" applyFont="1" applyBorder="1" applyAlignment="1">
      <alignment horizontal="center" vertical="center" wrapText="1"/>
    </xf>
    <xf numFmtId="0" fontId="53" fillId="0" borderId="2" xfId="0" applyFont="1" applyBorder="1"/>
    <xf numFmtId="0" fontId="67" fillId="0" borderId="12" xfId="0" applyFont="1" applyBorder="1"/>
    <xf numFmtId="0" fontId="51" fillId="0" borderId="12" xfId="0" applyFont="1" applyBorder="1"/>
    <xf numFmtId="14" fontId="7" fillId="0" borderId="0" xfId="0" applyNumberFormat="1" applyFont="1" applyAlignment="1">
      <alignment wrapText="1"/>
    </xf>
    <xf numFmtId="0" fontId="67" fillId="0" borderId="0" xfId="0" applyFont="1"/>
    <xf numFmtId="0" fontId="17" fillId="0" borderId="2" xfId="0" applyFont="1" applyBorder="1" applyAlignment="1">
      <alignment vertical="top"/>
    </xf>
    <xf numFmtId="0" fontId="17" fillId="0" borderId="12" xfId="0" applyFont="1" applyBorder="1"/>
    <xf numFmtId="0" fontId="57" fillId="0" borderId="2" xfId="0" applyFont="1" applyBorder="1"/>
    <xf numFmtId="0" fontId="7" fillId="0" borderId="12" xfId="0" applyFont="1" applyBorder="1"/>
    <xf numFmtId="0" fontId="8" fillId="0" borderId="2" xfId="0" applyFont="1" applyBorder="1"/>
    <xf numFmtId="0" fontId="83" fillId="0" borderId="26" xfId="0" applyFont="1" applyBorder="1"/>
    <xf numFmtId="0" fontId="51" fillId="0" borderId="0" xfId="0" applyFont="1"/>
    <xf numFmtId="0" fontId="0" fillId="0" borderId="26" xfId="0" applyBorder="1"/>
    <xf numFmtId="0" fontId="16" fillId="0" borderId="2" xfId="0" applyFont="1" applyBorder="1"/>
    <xf numFmtId="0" fontId="7" fillId="0" borderId="2" xfId="0" applyFont="1" applyBorder="1" applyAlignment="1">
      <alignment vertical="center"/>
    </xf>
    <xf numFmtId="14" fontId="7" fillId="0" borderId="12" xfId="0" applyNumberFormat="1" applyFont="1" applyBorder="1" applyAlignment="1">
      <alignment wrapText="1"/>
    </xf>
    <xf numFmtId="14" fontId="23" fillId="0" borderId="2" xfId="0" applyNumberFormat="1" applyFont="1" applyBorder="1" applyAlignment="1">
      <alignment horizontal="right" vertical="top"/>
    </xf>
    <xf numFmtId="14" fontId="17" fillId="0" borderId="2" xfId="0" applyNumberFormat="1" applyFont="1" applyBorder="1" applyAlignment="1">
      <alignment horizontal="right"/>
    </xf>
    <xf numFmtId="14" fontId="23" fillId="0" borderId="12" xfId="0" applyNumberFormat="1" applyFont="1" applyBorder="1" applyAlignment="1">
      <alignment horizontal="right" vertical="center"/>
    </xf>
    <xf numFmtId="14" fontId="19" fillId="0" borderId="26" xfId="0" applyNumberFormat="1" applyFont="1" applyBorder="1" applyAlignment="1">
      <alignment wrapText="1"/>
    </xf>
    <xf numFmtId="14" fontId="7" fillId="0" borderId="12" xfId="0" applyNumberFormat="1" applyFont="1" applyBorder="1" applyAlignment="1">
      <alignment horizontal="center" vertical="center" wrapText="1"/>
    </xf>
    <xf numFmtId="14" fontId="23" fillId="0" borderId="2" xfId="0" applyNumberFormat="1" applyFont="1" applyBorder="1" applyAlignment="1">
      <alignment vertical="top"/>
    </xf>
    <xf numFmtId="14" fontId="23" fillId="0" borderId="2" xfId="0" applyNumberFormat="1" applyFont="1" applyBorder="1" applyAlignment="1">
      <alignment horizontal="center" vertical="center"/>
    </xf>
    <xf numFmtId="0" fontId="7" fillId="0" borderId="2" xfId="0" applyFont="1" applyBorder="1" applyAlignment="1">
      <alignment wrapText="1"/>
    </xf>
    <xf numFmtId="14" fontId="7" fillId="0" borderId="0" xfId="0" applyNumberFormat="1" applyFont="1" applyAlignment="1">
      <alignment horizontal="center" vertical="center" wrapText="1"/>
    </xf>
    <xf numFmtId="14" fontId="17" fillId="0" borderId="2" xfId="0" applyNumberFormat="1" applyFont="1" applyBorder="1"/>
    <xf numFmtId="14" fontId="23" fillId="0" borderId="12" xfId="0" applyNumberFormat="1" applyFont="1" applyBorder="1" applyAlignment="1">
      <alignment vertical="center"/>
    </xf>
    <xf numFmtId="14" fontId="54" fillId="0" borderId="0" xfId="0" applyNumberFormat="1" applyFont="1" applyAlignment="1">
      <alignment horizontal="center" vertical="center" wrapText="1"/>
    </xf>
    <xf numFmtId="14" fontId="3" fillId="0" borderId="29" xfId="0" applyNumberFormat="1" applyFont="1" applyBorder="1"/>
    <xf numFmtId="14" fontId="23" fillId="0" borderId="27" xfId="0" applyNumberFormat="1" applyFont="1" applyBorder="1" applyAlignment="1">
      <alignment vertical="top"/>
    </xf>
    <xf numFmtId="14" fontId="3" fillId="0" borderId="27" xfId="0" applyNumberFormat="1" applyFont="1" applyBorder="1" applyAlignment="1">
      <alignment horizontal="center"/>
    </xf>
    <xf numFmtId="14" fontId="17" fillId="0" borderId="27" xfId="0" applyNumberFormat="1" applyFont="1" applyBorder="1"/>
    <xf numFmtId="14" fontId="23" fillId="0" borderId="30" xfId="0" applyNumberFormat="1" applyFont="1" applyBorder="1" applyAlignment="1">
      <alignment vertical="center"/>
    </xf>
    <xf numFmtId="14" fontId="54" fillId="0" borderId="0" xfId="0" applyNumberFormat="1" applyFont="1" applyAlignment="1">
      <alignment wrapText="1"/>
    </xf>
    <xf numFmtId="14" fontId="23" fillId="0" borderId="30" xfId="0" applyNumberFormat="1" applyFont="1" applyBorder="1" applyAlignment="1">
      <alignment horizontal="center"/>
    </xf>
    <xf numFmtId="14" fontId="54" fillId="0" borderId="12" xfId="0" applyNumberFormat="1" applyFont="1" applyBorder="1" applyAlignment="1">
      <alignment horizontal="left" wrapText="1"/>
    </xf>
    <xf numFmtId="14" fontId="7" fillId="0" borderId="12" xfId="0" applyNumberFormat="1" applyFont="1" applyBorder="1" applyAlignment="1">
      <alignment horizontal="left" wrapText="1"/>
    </xf>
    <xf numFmtId="0" fontId="60" fillId="0" borderId="2" xfId="0" applyFont="1" applyBorder="1"/>
    <xf numFmtId="0" fontId="17" fillId="0" borderId="27" xfId="0" applyFont="1" applyBorder="1"/>
    <xf numFmtId="14" fontId="23" fillId="9" borderId="0" xfId="0" applyNumberFormat="1" applyFont="1" applyFill="1" applyAlignment="1">
      <alignment wrapText="1"/>
    </xf>
    <xf numFmtId="14" fontId="17" fillId="9" borderId="29" xfId="0" applyNumberFormat="1" applyFont="1" applyFill="1" applyBorder="1" applyAlignment="1">
      <alignment wrapText="1"/>
    </xf>
    <xf numFmtId="14" fontId="3" fillId="9" borderId="27" xfId="0" applyNumberFormat="1" applyFont="1" applyFill="1" applyBorder="1" applyAlignment="1">
      <alignment wrapText="1"/>
    </xf>
    <xf numFmtId="14" fontId="7" fillId="0" borderId="0" xfId="0" applyNumberFormat="1" applyFont="1" applyAlignment="1">
      <alignment horizontal="left" vertical="top" wrapText="1"/>
    </xf>
    <xf numFmtId="14" fontId="3" fillId="9" borderId="27" xfId="0" applyNumberFormat="1" applyFont="1" applyFill="1" applyBorder="1" applyAlignment="1">
      <alignment horizontal="left" wrapText="1"/>
    </xf>
    <xf numFmtId="14" fontId="23" fillId="9" borderId="30" xfId="0" applyNumberFormat="1" applyFont="1" applyFill="1" applyBorder="1" applyAlignment="1">
      <alignment vertical="top" wrapText="1"/>
    </xf>
    <xf numFmtId="14" fontId="17" fillId="9" borderId="2" xfId="0" applyNumberFormat="1" applyFont="1" applyFill="1" applyBorder="1" applyAlignment="1">
      <alignment wrapText="1"/>
    </xf>
    <xf numFmtId="14" fontId="54" fillId="0" borderId="0" xfId="0" applyNumberFormat="1" applyFont="1" applyAlignment="1">
      <alignment horizontal="left" wrapText="1"/>
    </xf>
    <xf numFmtId="0" fontId="69" fillId="0" borderId="2" xfId="0" applyFont="1" applyBorder="1"/>
    <xf numFmtId="14" fontId="23" fillId="9" borderId="27" xfId="0" applyNumberFormat="1" applyFont="1" applyFill="1" applyBorder="1" applyAlignment="1">
      <alignment vertical="top" wrapText="1"/>
    </xf>
    <xf numFmtId="0" fontId="49" fillId="0" borderId="27" xfId="0" applyFont="1" applyBorder="1"/>
    <xf numFmtId="14" fontId="23" fillId="9" borderId="30" xfId="0" applyNumberFormat="1" applyFont="1" applyFill="1" applyBorder="1" applyAlignment="1">
      <alignment horizontal="left" wrapText="1"/>
    </xf>
    <xf numFmtId="16" fontId="87" fillId="0" borderId="2" xfId="0" applyNumberFormat="1" applyFont="1" applyBorder="1" applyAlignment="1">
      <alignment horizontal="center"/>
    </xf>
    <xf numFmtId="0" fontId="7" fillId="9" borderId="2" xfId="0" applyFont="1" applyFill="1" applyBorder="1" applyAlignment="1">
      <alignment horizontal="center" vertical="center"/>
    </xf>
    <xf numFmtId="0" fontId="61" fillId="0" borderId="2" xfId="0" applyFont="1" applyBorder="1" applyAlignment="1">
      <alignment horizontal="center" vertical="center"/>
    </xf>
    <xf numFmtId="0" fontId="23" fillId="0" borderId="0" xfId="0" applyFont="1" applyAlignment="1">
      <alignment horizontal="center" vertical="center"/>
    </xf>
    <xf numFmtId="0" fontId="28" fillId="0" borderId="2" xfId="1" applyFont="1" applyBorder="1" applyAlignment="1">
      <alignment horizontal="center" vertical="center"/>
    </xf>
    <xf numFmtId="0" fontId="17" fillId="0" borderId="12" xfId="1" applyFont="1" applyBorder="1" applyAlignment="1">
      <alignment horizontal="center" vertical="center"/>
    </xf>
    <xf numFmtId="14" fontId="17" fillId="0" borderId="26" xfId="0" applyNumberFormat="1" applyFont="1" applyBorder="1" applyAlignment="1">
      <alignment horizontal="center" vertical="center" wrapText="1"/>
    </xf>
    <xf numFmtId="0" fontId="86" fillId="0" borderId="0" xfId="0" applyFont="1" applyAlignment="1">
      <alignment horizontal="center" vertical="center"/>
    </xf>
    <xf numFmtId="0" fontId="23" fillId="0" borderId="0" xfId="0" applyFont="1" applyAlignment="1">
      <alignment vertical="center"/>
    </xf>
    <xf numFmtId="0" fontId="87" fillId="0" borderId="0" xfId="0" applyFont="1" applyAlignment="1">
      <alignment horizontal="center" vertical="center"/>
    </xf>
    <xf numFmtId="0" fontId="28" fillId="0" borderId="0" xfId="1" applyFont="1" applyBorder="1" applyAlignment="1">
      <alignment horizontal="center" vertical="center"/>
    </xf>
    <xf numFmtId="0" fontId="26" fillId="0" borderId="0" xfId="0" applyFont="1" applyAlignment="1">
      <alignment vertical="center"/>
    </xf>
    <xf numFmtId="0" fontId="17" fillId="0" borderId="0" xfId="1" applyFont="1" applyBorder="1" applyAlignment="1">
      <alignment horizontal="center" vertical="center"/>
    </xf>
    <xf numFmtId="0" fontId="29" fillId="0" borderId="12" xfId="1" applyFont="1" applyBorder="1" applyAlignment="1">
      <alignment vertical="center"/>
    </xf>
    <xf numFmtId="0" fontId="86" fillId="0" borderId="2" xfId="0" applyFont="1" applyBorder="1" applyAlignment="1">
      <alignment horizontal="center" vertical="center"/>
    </xf>
    <xf numFmtId="0" fontId="22" fillId="0" borderId="2" xfId="0" applyFont="1" applyBorder="1" applyAlignment="1">
      <alignment vertical="center"/>
    </xf>
    <xf numFmtId="14" fontId="22" fillId="0" borderId="2" xfId="0" applyNumberFormat="1" applyFont="1" applyBorder="1" applyAlignment="1">
      <alignment vertical="center"/>
    </xf>
    <xf numFmtId="14" fontId="22" fillId="0" borderId="27" xfId="0" applyNumberFormat="1" applyFont="1" applyBorder="1" applyAlignment="1">
      <alignment horizontal="center" vertical="center"/>
    </xf>
    <xf numFmtId="0" fontId="50" fillId="0" borderId="0" xfId="0" applyFont="1" applyAlignment="1">
      <alignment vertical="center"/>
    </xf>
    <xf numFmtId="14" fontId="15" fillId="0" borderId="26" xfId="0" applyNumberFormat="1" applyFont="1" applyBorder="1" applyAlignment="1">
      <alignment vertical="center" wrapText="1"/>
    </xf>
    <xf numFmtId="14" fontId="17" fillId="0" borderId="26" xfId="0" applyNumberFormat="1" applyFont="1" applyBorder="1" applyAlignment="1">
      <alignment vertical="center" wrapText="1"/>
    </xf>
    <xf numFmtId="14" fontId="23" fillId="0" borderId="2" xfId="0" applyNumberFormat="1" applyFont="1" applyBorder="1" applyAlignment="1">
      <alignment horizontal="right" vertical="center"/>
    </xf>
    <xf numFmtId="14" fontId="23" fillId="9" borderId="27" xfId="0" applyNumberFormat="1" applyFont="1" applyFill="1" applyBorder="1" applyAlignment="1">
      <alignment vertical="center" wrapText="1"/>
    </xf>
    <xf numFmtId="14" fontId="87" fillId="0" borderId="26" xfId="0" applyNumberFormat="1" applyFont="1" applyBorder="1" applyAlignment="1">
      <alignment horizontal="center" vertical="center"/>
    </xf>
    <xf numFmtId="0" fontId="51" fillId="0" borderId="26" xfId="0" applyFont="1" applyBorder="1" applyAlignment="1">
      <alignment vertical="center"/>
    </xf>
    <xf numFmtId="14" fontId="7" fillId="0" borderId="26" xfId="0" applyNumberFormat="1" applyFont="1" applyBorder="1" applyAlignment="1">
      <alignment horizontal="left" vertical="center" wrapText="1"/>
    </xf>
    <xf numFmtId="0" fontId="66" fillId="0" borderId="26" xfId="0" applyFont="1" applyBorder="1" applyAlignment="1">
      <alignment vertical="center"/>
    </xf>
    <xf numFmtId="14" fontId="54" fillId="0" borderId="26" xfId="0" applyNumberFormat="1" applyFont="1" applyBorder="1" applyAlignment="1">
      <alignment horizontal="left" vertical="center" wrapText="1"/>
    </xf>
    <xf numFmtId="14" fontId="0" fillId="0" borderId="0" xfId="0" applyNumberFormat="1" applyAlignment="1">
      <alignment vertical="center"/>
    </xf>
    <xf numFmtId="14" fontId="15" fillId="0" borderId="26" xfId="0" applyNumberFormat="1" applyFont="1" applyBorder="1" applyAlignment="1">
      <alignment horizontal="center" vertical="center" wrapText="1"/>
    </xf>
    <xf numFmtId="14" fontId="23" fillId="0" borderId="27" xfId="0" applyNumberFormat="1" applyFont="1" applyBorder="1" applyAlignment="1">
      <alignment horizontal="center" vertical="center"/>
    </xf>
    <xf numFmtId="16" fontId="87" fillId="0" borderId="0" xfId="0" applyNumberFormat="1" applyFont="1" applyAlignment="1">
      <alignment horizontal="center" vertical="center"/>
    </xf>
    <xf numFmtId="14" fontId="54" fillId="0" borderId="2" xfId="0" applyNumberFormat="1" applyFont="1" applyBorder="1" applyAlignment="1">
      <alignment horizontal="left" vertical="center" wrapText="1"/>
    </xf>
    <xf numFmtId="14" fontId="54" fillId="0" borderId="46" xfId="0" applyNumberFormat="1" applyFont="1" applyBorder="1" applyAlignment="1">
      <alignment horizontal="center" vertical="center" wrapText="1"/>
    </xf>
    <xf numFmtId="14" fontId="54" fillId="0" borderId="31" xfId="0" applyNumberFormat="1" applyFont="1" applyBorder="1" applyAlignment="1">
      <alignment horizontal="center" vertical="center" wrapText="1"/>
    </xf>
    <xf numFmtId="14" fontId="54" fillId="0" borderId="31" xfId="0" applyNumberFormat="1" applyFont="1" applyBorder="1" applyAlignment="1">
      <alignment horizontal="left" vertical="center" wrapText="1"/>
    </xf>
    <xf numFmtId="0" fontId="61" fillId="0" borderId="12" xfId="0" applyFont="1" applyBorder="1" applyAlignment="1">
      <alignment vertical="top" wrapText="1"/>
    </xf>
    <xf numFmtId="0" fontId="7" fillId="9" borderId="12" xfId="0" applyFont="1" applyFill="1" applyBorder="1" applyAlignment="1">
      <alignment horizontal="left" vertical="center"/>
    </xf>
    <xf numFmtId="0" fontId="61" fillId="0" borderId="26" xfId="0" applyFont="1" applyBorder="1" applyAlignment="1">
      <alignment vertical="center" wrapText="1"/>
    </xf>
    <xf numFmtId="14" fontId="61" fillId="0" borderId="26" xfId="0" applyNumberFormat="1" applyFont="1" applyBorder="1" applyAlignment="1">
      <alignment horizontal="center" vertical="center" wrapText="1"/>
    </xf>
    <xf numFmtId="14" fontId="61" fillId="0" borderId="26" xfId="0" applyNumberFormat="1" applyFont="1" applyBorder="1" applyAlignment="1">
      <alignment horizontal="center" vertical="center"/>
    </xf>
    <xf numFmtId="0" fontId="7" fillId="9" borderId="26" xfId="0" applyFont="1" applyFill="1" applyBorder="1" applyAlignment="1">
      <alignment horizontal="left" vertical="center"/>
    </xf>
    <xf numFmtId="0" fontId="61" fillId="0" borderId="26" xfId="0" applyFont="1" applyBorder="1" applyAlignment="1">
      <alignment horizontal="center" vertical="center"/>
    </xf>
    <xf numFmtId="0" fontId="61" fillId="0" borderId="31" xfId="0" applyFont="1" applyBorder="1" applyAlignment="1">
      <alignment horizontal="center" vertical="center"/>
    </xf>
    <xf numFmtId="0" fontId="61" fillId="0" borderId="31" xfId="0" applyFont="1" applyBorder="1" applyAlignment="1">
      <alignment vertical="top" wrapText="1"/>
    </xf>
    <xf numFmtId="14" fontId="88" fillId="0" borderId="26" xfId="0" applyNumberFormat="1" applyFont="1" applyBorder="1" applyAlignment="1">
      <alignment horizontal="center" vertical="center"/>
    </xf>
    <xf numFmtId="14" fontId="7" fillId="0" borderId="46" xfId="0" applyNumberFormat="1" applyFont="1" applyBorder="1" applyAlignment="1">
      <alignment horizontal="center" vertical="center" wrapText="1"/>
    </xf>
    <xf numFmtId="14" fontId="7" fillId="0" borderId="2" xfId="0" applyNumberFormat="1" applyFont="1" applyBorder="1" applyAlignment="1">
      <alignment horizontal="left" vertical="center" wrapText="1"/>
    </xf>
    <xf numFmtId="16" fontId="31" fillId="0" borderId="2" xfId="0" applyNumberFormat="1" applyFont="1" applyBorder="1" applyAlignment="1">
      <alignment horizontal="center" vertical="center"/>
    </xf>
    <xf numFmtId="0" fontId="14" fillId="0" borderId="2" xfId="0" applyFont="1" applyBorder="1" applyAlignment="1">
      <alignment horizontal="center"/>
    </xf>
    <xf numFmtId="0" fontId="31" fillId="0" borderId="12" xfId="0" applyFont="1" applyBorder="1" applyAlignment="1">
      <alignment horizontal="center"/>
    </xf>
    <xf numFmtId="0" fontId="14" fillId="0" borderId="2" xfId="0" applyFont="1" applyBorder="1" applyAlignment="1">
      <alignment horizontal="center" vertical="center"/>
    </xf>
    <xf numFmtId="0" fontId="14" fillId="0" borderId="12" xfId="0" applyFont="1" applyBorder="1" applyAlignment="1">
      <alignment horizontal="center"/>
    </xf>
    <xf numFmtId="0" fontId="14" fillId="0" borderId="12" xfId="0" applyFont="1" applyBorder="1" applyAlignment="1">
      <alignment horizontal="center" vertical="center"/>
    </xf>
    <xf numFmtId="0" fontId="14" fillId="0" borderId="26" xfId="0" applyFont="1" applyBorder="1" applyAlignment="1">
      <alignment horizontal="center" vertical="center"/>
    </xf>
    <xf numFmtId="0" fontId="14" fillId="0" borderId="28" xfId="0" applyFont="1" applyBorder="1" applyAlignment="1">
      <alignment horizontal="center" vertical="center"/>
    </xf>
    <xf numFmtId="0" fontId="14" fillId="0" borderId="31" xfId="0" applyFont="1" applyBorder="1" applyAlignment="1">
      <alignment horizontal="center" vertical="center"/>
    </xf>
    <xf numFmtId="0" fontId="61" fillId="0" borderId="12" xfId="0" applyFont="1" applyBorder="1" applyAlignment="1">
      <alignment horizontal="center" vertical="center"/>
    </xf>
    <xf numFmtId="0" fontId="14" fillId="0" borderId="2" xfId="0" applyFont="1" applyBorder="1" applyAlignment="1">
      <alignment horizontal="center" vertical="center" wrapText="1"/>
    </xf>
    <xf numFmtId="0" fontId="14" fillId="0" borderId="12" xfId="0" applyFont="1" applyBorder="1" applyAlignment="1">
      <alignment horizontal="center" vertical="center" wrapText="1"/>
    </xf>
    <xf numFmtId="0" fontId="14" fillId="0" borderId="2" xfId="0" applyFont="1" applyBorder="1" applyAlignment="1">
      <alignment horizontal="left" vertical="center" wrapText="1"/>
    </xf>
    <xf numFmtId="0" fontId="84" fillId="0" borderId="27" xfId="0" applyFont="1" applyBorder="1"/>
    <xf numFmtId="0" fontId="84" fillId="0" borderId="2" xfId="0" applyFont="1" applyBorder="1"/>
    <xf numFmtId="164" fontId="84" fillId="0" borderId="2" xfId="0" applyNumberFormat="1" applyFont="1" applyBorder="1"/>
    <xf numFmtId="0" fontId="84" fillId="0" borderId="0" xfId="0" applyFont="1"/>
    <xf numFmtId="164" fontId="70" fillId="0" borderId="2" xfId="0" applyNumberFormat="1" applyFont="1" applyBorder="1"/>
    <xf numFmtId="0" fontId="84" fillId="0" borderId="30" xfId="0" applyFont="1" applyBorder="1"/>
    <xf numFmtId="0" fontId="84" fillId="0" borderId="12" xfId="0" applyFont="1" applyBorder="1"/>
    <xf numFmtId="164" fontId="84" fillId="0" borderId="12" xfId="0" applyNumberFormat="1" applyFont="1" applyBorder="1"/>
    <xf numFmtId="0" fontId="84" fillId="0" borderId="27" xfId="0" applyFont="1" applyBorder="1" applyAlignment="1">
      <alignment vertical="center"/>
    </xf>
    <xf numFmtId="0" fontId="90" fillId="0" borderId="2" xfId="0" applyFont="1" applyBorder="1" applyAlignment="1">
      <alignment horizontal="left"/>
    </xf>
    <xf numFmtId="6" fontId="91" fillId="0" borderId="2" xfId="0" applyNumberFormat="1" applyFont="1" applyBorder="1" applyAlignment="1">
      <alignment horizontal="left"/>
    </xf>
    <xf numFmtId="164" fontId="91" fillId="0" borderId="2" xfId="0" applyNumberFormat="1" applyFont="1" applyBorder="1" applyAlignment="1">
      <alignment horizontal="left"/>
    </xf>
    <xf numFmtId="166" fontId="90" fillId="0" borderId="2" xfId="0" applyNumberFormat="1" applyFont="1" applyBorder="1" applyAlignment="1">
      <alignment horizontal="left"/>
    </xf>
    <xf numFmtId="8" fontId="91" fillId="0" borderId="2" xfId="0" applyNumberFormat="1" applyFont="1" applyBorder="1" applyAlignment="1">
      <alignment horizontal="left"/>
    </xf>
    <xf numFmtId="0" fontId="70" fillId="0" borderId="0" xfId="0" applyFont="1"/>
    <xf numFmtId="0" fontId="77" fillId="0" borderId="28" xfId="0" applyFont="1" applyBorder="1" applyAlignment="1">
      <alignment wrapText="1"/>
    </xf>
    <xf numFmtId="166" fontId="77" fillId="0" borderId="27" xfId="0" applyNumberFormat="1" applyFont="1" applyBorder="1" applyAlignment="1">
      <alignment wrapText="1"/>
    </xf>
    <xf numFmtId="0" fontId="77" fillId="0" borderId="2" xfId="0" applyFont="1" applyBorder="1" applyAlignment="1">
      <alignment wrapText="1"/>
    </xf>
    <xf numFmtId="0" fontId="61" fillId="0" borderId="28" xfId="0" applyFont="1" applyBorder="1" applyAlignment="1">
      <alignment wrapText="1"/>
    </xf>
    <xf numFmtId="166" fontId="70" fillId="0" borderId="27" xfId="0" applyNumberFormat="1" applyFont="1" applyBorder="1"/>
    <xf numFmtId="0" fontId="70" fillId="0" borderId="2" xfId="0" applyFont="1" applyBorder="1"/>
    <xf numFmtId="0" fontId="61" fillId="0" borderId="2" xfId="0" applyFont="1" applyBorder="1" applyAlignment="1">
      <alignment horizontal="left"/>
    </xf>
    <xf numFmtId="166" fontId="84" fillId="0" borderId="27" xfId="0" applyNumberFormat="1" applyFont="1" applyBorder="1"/>
    <xf numFmtId="0" fontId="61" fillId="0" borderId="2" xfId="0" applyFont="1" applyBorder="1" applyAlignment="1">
      <alignment wrapText="1"/>
    </xf>
    <xf numFmtId="0" fontId="61" fillId="0" borderId="32" xfId="0" applyFont="1" applyBorder="1" applyAlignment="1">
      <alignment wrapText="1"/>
    </xf>
    <xf numFmtId="166" fontId="84" fillId="0" borderId="30" xfId="0" applyNumberFormat="1" applyFont="1" applyBorder="1"/>
    <xf numFmtId="166" fontId="70" fillId="0" borderId="2" xfId="0" applyNumberFormat="1" applyFont="1" applyBorder="1"/>
    <xf numFmtId="0" fontId="70" fillId="0" borderId="2" xfId="0" applyFont="1" applyBorder="1" applyAlignment="1">
      <alignment vertical="center"/>
    </xf>
    <xf numFmtId="0" fontId="93" fillId="0" borderId="2" xfId="0" applyFont="1" applyBorder="1" applyAlignment="1">
      <alignment vertical="center"/>
    </xf>
    <xf numFmtId="166" fontId="70" fillId="0" borderId="0" xfId="0" applyNumberFormat="1" applyFont="1"/>
    <xf numFmtId="0" fontId="70" fillId="0" borderId="0" xfId="0" applyFont="1" applyAlignment="1">
      <alignment horizontal="right"/>
    </xf>
    <xf numFmtId="0" fontId="77" fillId="0" borderId="2" xfId="0" applyFont="1" applyBorder="1" applyAlignment="1">
      <alignment horizontal="right" wrapText="1"/>
    </xf>
    <xf numFmtId="0" fontId="70" fillId="0" borderId="2" xfId="0" applyFont="1" applyBorder="1" applyAlignment="1">
      <alignment horizontal="right"/>
    </xf>
    <xf numFmtId="0" fontId="84" fillId="0" borderId="2" xfId="0" applyFont="1" applyBorder="1" applyAlignment="1">
      <alignment horizontal="right"/>
    </xf>
    <xf numFmtId="0" fontId="77" fillId="0" borderId="2" xfId="0" applyFont="1" applyBorder="1"/>
    <xf numFmtId="0" fontId="61" fillId="0" borderId="2" xfId="0" applyFont="1" applyBorder="1" applyAlignment="1">
      <alignment horizontal="left" vertical="top"/>
    </xf>
    <xf numFmtId="164" fontId="92" fillId="0" borderId="2" xfId="0" applyNumberFormat="1" applyFont="1" applyBorder="1"/>
    <xf numFmtId="164" fontId="77" fillId="0" borderId="2" xfId="0" applyNumberFormat="1" applyFont="1" applyBorder="1" applyAlignment="1">
      <alignment wrapText="1"/>
    </xf>
    <xf numFmtId="164" fontId="70" fillId="0" borderId="0" xfId="0" applyNumberFormat="1" applyFont="1"/>
    <xf numFmtId="0" fontId="93" fillId="0" borderId="2" xfId="0" applyFont="1" applyBorder="1"/>
    <xf numFmtId="0" fontId="84" fillId="0" borderId="12" xfId="0" applyFont="1" applyBorder="1" applyAlignment="1">
      <alignment horizontal="right"/>
    </xf>
    <xf numFmtId="0" fontId="61" fillId="0" borderId="12" xfId="0" applyFont="1" applyBorder="1" applyAlignment="1">
      <alignment horizontal="left"/>
    </xf>
    <xf numFmtId="0" fontId="0" fillId="0" borderId="2" xfId="0" applyBorder="1" applyAlignment="1">
      <alignment horizontal="left" vertical="center" indent="1"/>
    </xf>
    <xf numFmtId="0" fontId="0" fillId="0" borderId="2" xfId="0" applyBorder="1" applyAlignment="1">
      <alignment vertical="top" wrapText="1"/>
    </xf>
    <xf numFmtId="0" fontId="65" fillId="0" borderId="12" xfId="0" applyFont="1" applyBorder="1" applyAlignment="1">
      <alignment horizontal="center" vertical="center"/>
    </xf>
    <xf numFmtId="0" fontId="0" fillId="0" borderId="30" xfId="0" applyBorder="1" applyAlignment="1">
      <alignment horizontal="center" vertical="center"/>
    </xf>
    <xf numFmtId="0" fontId="65" fillId="0" borderId="30" xfId="0" applyFont="1" applyBorder="1" applyAlignment="1">
      <alignment horizontal="left" vertical="center" indent="1"/>
    </xf>
    <xf numFmtId="14" fontId="65" fillId="0" borderId="12" xfId="0" applyNumberFormat="1" applyFont="1" applyBorder="1" applyAlignment="1">
      <alignment horizontal="center" vertical="center"/>
    </xf>
    <xf numFmtId="16" fontId="65" fillId="0" borderId="12" xfId="0" applyNumberFormat="1" applyFont="1" applyBorder="1" applyAlignment="1">
      <alignment horizontal="center" vertical="center"/>
    </xf>
    <xf numFmtId="0" fontId="65" fillId="0" borderId="12" xfId="0" applyFont="1" applyBorder="1" applyAlignment="1">
      <alignment vertical="top" wrapText="1"/>
    </xf>
    <xf numFmtId="165" fontId="0" fillId="0" borderId="0" xfId="0" applyNumberFormat="1" applyAlignment="1">
      <alignment horizontal="center" wrapText="1"/>
    </xf>
    <xf numFmtId="165" fontId="24" fillId="0" borderId="48" xfId="0" applyNumberFormat="1" applyFont="1" applyBorder="1" applyAlignment="1">
      <alignment horizontal="center" vertical="center" wrapText="1"/>
    </xf>
    <xf numFmtId="165" fontId="14" fillId="0" borderId="48" xfId="0" applyNumberFormat="1" applyFont="1" applyBorder="1" applyAlignment="1">
      <alignment horizontal="right" vertical="center" wrapText="1"/>
    </xf>
    <xf numFmtId="0" fontId="17" fillId="0" borderId="27" xfId="0" applyFont="1" applyBorder="1" applyAlignment="1">
      <alignment vertical="center"/>
    </xf>
    <xf numFmtId="165" fontId="14" fillId="0" borderId="48" xfId="0" applyNumberFormat="1" applyFont="1" applyBorder="1" applyAlignment="1">
      <alignment horizontal="center" vertical="center" wrapText="1"/>
    </xf>
    <xf numFmtId="14" fontId="14" fillId="0" borderId="48" xfId="0" applyNumberFormat="1" applyFont="1" applyBorder="1" applyAlignment="1">
      <alignment horizontal="center" vertical="center"/>
    </xf>
    <xf numFmtId="0" fontId="31" fillId="0" borderId="27" xfId="0" applyFont="1" applyBorder="1" applyAlignment="1">
      <alignment horizontal="left" vertical="center"/>
    </xf>
    <xf numFmtId="14" fontId="61" fillId="0" borderId="48" xfId="0" applyNumberFormat="1" applyFont="1" applyBorder="1" applyAlignment="1">
      <alignment horizontal="center" vertical="center"/>
    </xf>
    <xf numFmtId="165" fontId="14" fillId="0" borderId="31" xfId="0" applyNumberFormat="1" applyFont="1" applyBorder="1" applyAlignment="1">
      <alignment horizontal="center" vertical="center"/>
    </xf>
    <xf numFmtId="0" fontId="14" fillId="0" borderId="31" xfId="0" applyFont="1" applyBorder="1" applyAlignment="1">
      <alignment vertical="top" wrapText="1"/>
    </xf>
    <xf numFmtId="165" fontId="14" fillId="0" borderId="12" xfId="0" applyNumberFormat="1" applyFont="1" applyBorder="1" applyAlignment="1">
      <alignment horizontal="center" vertical="center"/>
    </xf>
    <xf numFmtId="0" fontId="61" fillId="0" borderId="2" xfId="0" applyFont="1" applyBorder="1" applyAlignment="1">
      <alignment horizontal="left" vertical="center" wrapText="1"/>
    </xf>
    <xf numFmtId="0" fontId="23" fillId="0" borderId="12" xfId="0" applyFont="1" applyBorder="1" applyAlignment="1">
      <alignment horizontal="center" vertical="center"/>
    </xf>
    <xf numFmtId="0" fontId="91" fillId="0" borderId="2" xfId="0" applyFont="1" applyBorder="1" applyAlignment="1">
      <alignment horizontal="center" vertical="center"/>
    </xf>
    <xf numFmtId="0" fontId="94" fillId="0" borderId="2" xfId="0" applyFont="1" applyBorder="1" applyAlignment="1">
      <alignment horizontal="center" vertical="center"/>
    </xf>
    <xf numFmtId="17" fontId="93" fillId="0" borderId="2" xfId="0" applyNumberFormat="1" applyFont="1" applyBorder="1" applyAlignment="1">
      <alignment horizontal="center" vertical="center"/>
    </xf>
    <xf numFmtId="0" fontId="89" fillId="0" borderId="2" xfId="0" applyFont="1" applyBorder="1" applyAlignment="1">
      <alignment vertical="center" wrapText="1"/>
    </xf>
    <xf numFmtId="0" fontId="89" fillId="0" borderId="0" xfId="0" applyFont="1" applyAlignment="1">
      <alignment vertical="center"/>
    </xf>
    <xf numFmtId="14" fontId="88" fillId="0" borderId="2" xfId="0" applyNumberFormat="1" applyFont="1" applyBorder="1" applyAlignment="1">
      <alignment horizontal="center" vertical="center"/>
    </xf>
    <xf numFmtId="0" fontId="51" fillId="0" borderId="2" xfId="0" applyFont="1" applyBorder="1" applyAlignment="1">
      <alignment vertical="center"/>
    </xf>
    <xf numFmtId="14" fontId="88" fillId="0" borderId="31" xfId="0" applyNumberFormat="1" applyFont="1" applyBorder="1" applyAlignment="1">
      <alignment horizontal="center" vertical="center"/>
    </xf>
    <xf numFmtId="14" fontId="7" fillId="0" borderId="31" xfId="0" applyNumberFormat="1" applyFont="1" applyBorder="1" applyAlignment="1">
      <alignment horizontal="center" vertical="center" wrapText="1"/>
    </xf>
    <xf numFmtId="0" fontId="51" fillId="0" borderId="31" xfId="0" applyFont="1" applyBorder="1" applyAlignment="1">
      <alignment vertical="center"/>
    </xf>
    <xf numFmtId="14" fontId="7" fillId="0" borderId="47" xfId="0" applyNumberFormat="1" applyFont="1" applyBorder="1" applyAlignment="1">
      <alignment horizontal="center" vertical="center" wrapText="1"/>
    </xf>
    <xf numFmtId="14" fontId="95" fillId="0" borderId="2" xfId="0" applyNumberFormat="1" applyFont="1" applyBorder="1" applyAlignment="1">
      <alignment horizontal="center" vertical="center" wrapText="1"/>
    </xf>
    <xf numFmtId="14" fontId="95" fillId="0" borderId="2" xfId="0" applyNumberFormat="1" applyFont="1" applyBorder="1" applyAlignment="1">
      <alignment horizontal="left" vertical="center" wrapText="1"/>
    </xf>
    <xf numFmtId="0" fontId="88" fillId="0" borderId="0" xfId="0" applyFont="1" applyAlignment="1">
      <alignment vertical="center"/>
    </xf>
    <xf numFmtId="0" fontId="96" fillId="0" borderId="2" xfId="0" applyFont="1" applyBorder="1" applyAlignment="1">
      <alignment vertical="center"/>
    </xf>
    <xf numFmtId="14" fontId="87" fillId="0" borderId="31" xfId="0" applyNumberFormat="1" applyFont="1" applyBorder="1" applyAlignment="1">
      <alignment horizontal="center" vertical="center"/>
    </xf>
    <xf numFmtId="0" fontId="66" fillId="0" borderId="31" xfId="0" applyFont="1" applyBorder="1" applyAlignment="1">
      <alignment vertical="center"/>
    </xf>
    <xf numFmtId="14" fontId="54" fillId="0" borderId="47" xfId="0" applyNumberFormat="1" applyFont="1" applyBorder="1" applyAlignment="1">
      <alignment horizontal="center" vertical="center" wrapText="1"/>
    </xf>
    <xf numFmtId="14" fontId="0" fillId="0" borderId="12" xfId="0" applyNumberFormat="1" applyBorder="1" applyAlignment="1">
      <alignment horizontal="center" vertical="center"/>
    </xf>
    <xf numFmtId="14" fontId="7" fillId="0" borderId="12" xfId="0" applyNumberFormat="1" applyFont="1" applyBorder="1" applyAlignment="1">
      <alignment horizontal="left" vertical="center" wrapText="1"/>
    </xf>
    <xf numFmtId="14" fontId="0" fillId="0" borderId="26" xfId="0" applyNumberFormat="1" applyBorder="1" applyAlignment="1">
      <alignment horizontal="center" vertical="center"/>
    </xf>
    <xf numFmtId="0" fontId="84" fillId="0" borderId="30" xfId="0" applyFont="1" applyBorder="1" applyAlignment="1">
      <alignment horizontal="center" vertical="center"/>
    </xf>
    <xf numFmtId="14" fontId="54" fillId="0" borderId="12" xfId="0" applyNumberFormat="1" applyFont="1" applyBorder="1" applyAlignment="1">
      <alignment horizontal="left" vertical="center" wrapText="1"/>
    </xf>
    <xf numFmtId="14" fontId="54" fillId="0" borderId="27" xfId="0" applyNumberFormat="1" applyFont="1" applyBorder="1" applyAlignment="1">
      <alignment horizontal="left" vertical="center" wrapText="1"/>
    </xf>
    <xf numFmtId="0" fontId="91" fillId="0" borderId="0" xfId="0" applyFont="1" applyAlignment="1">
      <alignment horizontal="center" vertical="center"/>
    </xf>
    <xf numFmtId="0" fontId="93" fillId="0" borderId="0" xfId="0" applyFont="1" applyAlignment="1">
      <alignment vertical="center"/>
    </xf>
    <xf numFmtId="17" fontId="93" fillId="0" borderId="0" xfId="0" applyNumberFormat="1" applyFont="1" applyAlignment="1">
      <alignment horizontal="center" vertical="center"/>
    </xf>
    <xf numFmtId="0" fontId="89" fillId="0" borderId="0" xfId="0" applyFont="1" applyAlignment="1">
      <alignment vertical="center" wrapText="1"/>
    </xf>
    <xf numFmtId="0" fontId="94" fillId="0" borderId="0" xfId="0" applyFont="1" applyAlignment="1">
      <alignment horizontal="center" vertical="center"/>
    </xf>
    <xf numFmtId="0" fontId="94" fillId="0" borderId="28" xfId="0" applyFont="1" applyBorder="1" applyAlignment="1">
      <alignment horizontal="center" vertical="center"/>
    </xf>
    <xf numFmtId="0" fontId="97" fillId="0" borderId="0" xfId="0" applyFont="1" applyAlignment="1">
      <alignment wrapText="1"/>
    </xf>
    <xf numFmtId="0" fontId="93" fillId="0" borderId="2" xfId="0" applyFont="1" applyBorder="1" applyAlignment="1">
      <alignment wrapText="1"/>
    </xf>
    <xf numFmtId="0" fontId="84" fillId="0" borderId="2" xfId="0" applyFont="1" applyBorder="1" applyAlignment="1">
      <alignment vertical="center"/>
    </xf>
    <xf numFmtId="0" fontId="84" fillId="0" borderId="30" xfId="0" applyFont="1" applyBorder="1" applyAlignment="1">
      <alignment vertical="center"/>
    </xf>
    <xf numFmtId="164" fontId="70" fillId="0" borderId="12" xfId="0" applyNumberFormat="1" applyFont="1" applyBorder="1"/>
    <xf numFmtId="0" fontId="70" fillId="0" borderId="12" xfId="0" applyFont="1" applyBorder="1" applyAlignment="1">
      <alignment horizontal="right"/>
    </xf>
    <xf numFmtId="14" fontId="7" fillId="0" borderId="2" xfId="0" applyNumberFormat="1" applyFont="1" applyBorder="1" applyAlignment="1">
      <alignment vertical="center" wrapText="1"/>
    </xf>
    <xf numFmtId="14" fontId="14" fillId="0" borderId="48" xfId="0" applyNumberFormat="1" applyFont="1" applyBorder="1" applyAlignment="1">
      <alignment horizontal="center" vertical="center" wrapText="1"/>
    </xf>
    <xf numFmtId="14" fontId="61" fillId="0" borderId="48" xfId="0" applyNumberFormat="1" applyFont="1" applyBorder="1" applyAlignment="1">
      <alignment horizontal="center" vertical="center" wrapText="1"/>
    </xf>
    <xf numFmtId="14" fontId="61" fillId="0" borderId="49" xfId="0" applyNumberFormat="1" applyFont="1" applyBorder="1" applyAlignment="1">
      <alignment horizontal="center" vertical="center" wrapText="1"/>
    </xf>
    <xf numFmtId="0" fontId="93" fillId="0" borderId="28" xfId="0" applyFont="1" applyBorder="1" applyAlignment="1">
      <alignment vertical="center"/>
    </xf>
    <xf numFmtId="0" fontId="89" fillId="0" borderId="27" xfId="0" applyFont="1" applyBorder="1" applyAlignment="1">
      <alignment vertical="center" wrapText="1"/>
    </xf>
    <xf numFmtId="0" fontId="94" fillId="0" borderId="28" xfId="0" applyFont="1" applyBorder="1" applyAlignment="1">
      <alignment horizontal="left" vertical="center" wrapText="1"/>
    </xf>
    <xf numFmtId="0" fontId="94" fillId="0" borderId="12" xfId="0" applyFont="1" applyBorder="1" applyAlignment="1">
      <alignment horizontal="left" vertical="center" wrapText="1"/>
    </xf>
    <xf numFmtId="0" fontId="94" fillId="0" borderId="32" xfId="0" applyFont="1" applyBorder="1" applyAlignment="1">
      <alignment horizontal="center" vertical="center"/>
    </xf>
    <xf numFmtId="0" fontId="91" fillId="0" borderId="12" xfId="0" applyFont="1" applyBorder="1" applyAlignment="1">
      <alignment horizontal="center" vertical="center"/>
    </xf>
    <xf numFmtId="0" fontId="77" fillId="0" borderId="27" xfId="0" applyFont="1" applyBorder="1" applyAlignment="1">
      <alignment horizontal="left" wrapText="1"/>
    </xf>
    <xf numFmtId="0" fontId="61" fillId="0" borderId="27" xfId="0" applyFont="1" applyBorder="1" applyAlignment="1">
      <alignment horizontal="left" wrapText="1"/>
    </xf>
    <xf numFmtId="0" fontId="61" fillId="0" borderId="27" xfId="0" applyFont="1" applyBorder="1" applyAlignment="1">
      <alignment horizontal="left"/>
    </xf>
    <xf numFmtId="0" fontId="61" fillId="0" borderId="27" xfId="0" applyFont="1" applyBorder="1" applyAlignment="1">
      <alignment wrapText="1"/>
    </xf>
    <xf numFmtId="0" fontId="61" fillId="0" borderId="30" xfId="0" applyFont="1" applyBorder="1" applyAlignment="1">
      <alignment wrapText="1"/>
    </xf>
    <xf numFmtId="0" fontId="70" fillId="0" borderId="12" xfId="0" applyFont="1" applyBorder="1"/>
    <xf numFmtId="166" fontId="70" fillId="0" borderId="12" xfId="0" applyNumberFormat="1" applyFont="1" applyBorder="1"/>
    <xf numFmtId="0" fontId="84" fillId="0" borderId="12" xfId="0" applyFont="1" applyBorder="1" applyAlignment="1">
      <alignment vertical="center"/>
    </xf>
    <xf numFmtId="14" fontId="7" fillId="0" borderId="28" xfId="0" applyNumberFormat="1" applyFont="1" applyBorder="1" applyAlignment="1">
      <alignment horizontal="center" vertical="center" wrapText="1"/>
    </xf>
    <xf numFmtId="166" fontId="70" fillId="0" borderId="28" xfId="0" applyNumberFormat="1" applyFont="1" applyBorder="1"/>
    <xf numFmtId="0" fontId="70" fillId="0" borderId="27" xfId="0" applyFont="1" applyBorder="1"/>
    <xf numFmtId="0" fontId="22" fillId="0" borderId="2" xfId="0" applyFont="1" applyBorder="1" applyAlignment="1">
      <alignment horizontal="center" vertical="center" wrapText="1"/>
    </xf>
    <xf numFmtId="14" fontId="22" fillId="0" borderId="2" xfId="0" applyNumberFormat="1" applyFont="1" applyBorder="1" applyAlignment="1">
      <alignment horizontal="center" vertical="center" wrapText="1"/>
    </xf>
    <xf numFmtId="0" fontId="23" fillId="0" borderId="0" xfId="0" applyFont="1" applyAlignment="1">
      <alignment vertical="center" wrapText="1"/>
    </xf>
    <xf numFmtId="0" fontId="89" fillId="0" borderId="2" xfId="0" applyFont="1" applyBorder="1" applyAlignment="1">
      <alignment vertical="top" wrapText="1"/>
    </xf>
    <xf numFmtId="0" fontId="93" fillId="0" borderId="32" xfId="0" applyFont="1" applyBorder="1" applyAlignment="1">
      <alignment vertical="center"/>
    </xf>
    <xf numFmtId="17" fontId="93" fillId="0" borderId="12" xfId="0" applyNumberFormat="1" applyFont="1" applyBorder="1" applyAlignment="1">
      <alignment horizontal="center" vertical="center"/>
    </xf>
    <xf numFmtId="0" fontId="94" fillId="0" borderId="32" xfId="0" applyFont="1" applyBorder="1" applyAlignment="1">
      <alignment horizontal="left" vertical="center" wrapText="1"/>
    </xf>
    <xf numFmtId="0" fontId="23" fillId="0" borderId="2" xfId="0" applyFont="1" applyBorder="1" applyAlignment="1">
      <alignment vertical="top" wrapText="1"/>
    </xf>
    <xf numFmtId="0" fontId="89" fillId="0" borderId="12" xfId="0" applyFont="1" applyBorder="1" applyAlignment="1">
      <alignment horizontal="center" vertical="center"/>
    </xf>
    <xf numFmtId="0" fontId="89" fillId="0" borderId="32" xfId="0" applyFont="1" applyBorder="1" applyAlignment="1">
      <alignment horizontal="center" vertical="center"/>
    </xf>
    <xf numFmtId="0" fontId="0" fillId="0" borderId="2" xfId="0" applyBorder="1" applyAlignment="1">
      <alignment vertical="center"/>
    </xf>
    <xf numFmtId="14" fontId="87" fillId="0" borderId="0" xfId="0" applyNumberFormat="1" applyFont="1" applyAlignment="1">
      <alignment horizontal="center" vertical="center"/>
    </xf>
    <xf numFmtId="14" fontId="54" fillId="0" borderId="2" xfId="0" applyNumberFormat="1" applyFont="1" applyBorder="1" applyAlignment="1">
      <alignment vertical="top" wrapText="1"/>
    </xf>
    <xf numFmtId="0" fontId="99" fillId="0" borderId="2" xfId="0" applyFont="1" applyBorder="1" applyAlignment="1">
      <alignment horizontal="center" vertical="center" wrapText="1"/>
    </xf>
    <xf numFmtId="165" fontId="99" fillId="0" borderId="2" xfId="0" applyNumberFormat="1" applyFont="1" applyBorder="1" applyAlignment="1">
      <alignment horizontal="center" vertical="center" wrapText="1"/>
    </xf>
    <xf numFmtId="0" fontId="100" fillId="0" borderId="2" xfId="0" applyFont="1" applyBorder="1" applyAlignment="1">
      <alignment horizontal="center" vertical="center" wrapText="1"/>
    </xf>
    <xf numFmtId="0" fontId="101" fillId="0" borderId="0" xfId="0" applyFont="1" applyAlignment="1">
      <alignment horizontal="center" vertical="center"/>
    </xf>
    <xf numFmtId="0" fontId="2" fillId="0" borderId="0" xfId="0" applyFont="1"/>
    <xf numFmtId="0" fontId="101" fillId="0" borderId="2" xfId="0" applyFont="1" applyBorder="1" applyAlignment="1">
      <alignment horizontal="center" vertical="center"/>
    </xf>
    <xf numFmtId="0" fontId="101" fillId="0" borderId="2" xfId="0" applyFont="1" applyBorder="1" applyAlignment="1">
      <alignment vertical="center" wrapText="1"/>
    </xf>
    <xf numFmtId="165" fontId="101" fillId="0" borderId="2" xfId="0" applyNumberFormat="1" applyFont="1" applyBorder="1" applyAlignment="1">
      <alignment horizontal="center" vertical="center" wrapText="1"/>
    </xf>
    <xf numFmtId="0" fontId="2" fillId="0" borderId="0" xfId="0" applyFont="1" applyAlignment="1">
      <alignment vertical="center"/>
    </xf>
    <xf numFmtId="0" fontId="89" fillId="0" borderId="48" xfId="0" applyFont="1" applyBorder="1" applyAlignment="1">
      <alignment vertical="center" wrapText="1"/>
    </xf>
    <xf numFmtId="0" fontId="23" fillId="0" borderId="48" xfId="0" applyFont="1" applyBorder="1" applyAlignment="1">
      <alignment horizontal="left" vertical="center" wrapText="1"/>
    </xf>
    <xf numFmtId="0" fontId="23" fillId="0" borderId="26" xfId="0" applyFont="1" applyBorder="1" applyAlignment="1">
      <alignment horizontal="center" vertical="center"/>
    </xf>
    <xf numFmtId="14" fontId="0" fillId="0" borderId="28" xfId="0" applyNumberFormat="1" applyBorder="1" applyAlignment="1">
      <alignment horizontal="center" vertical="center"/>
    </xf>
    <xf numFmtId="14" fontId="7" fillId="0" borderId="0" xfId="0" applyNumberFormat="1" applyFont="1" applyAlignment="1">
      <alignment horizontal="left" vertical="center" wrapText="1"/>
    </xf>
    <xf numFmtId="14" fontId="70" fillId="0" borderId="0" xfId="0" applyNumberFormat="1" applyFont="1"/>
    <xf numFmtId="14" fontId="77" fillId="0" borderId="2" xfId="0" applyNumberFormat="1" applyFont="1" applyBorder="1" applyAlignment="1">
      <alignment wrapText="1"/>
    </xf>
    <xf numFmtId="14" fontId="70" fillId="0" borderId="2" xfId="0" applyNumberFormat="1" applyFont="1" applyBorder="1"/>
    <xf numFmtId="14" fontId="70" fillId="0" borderId="2" xfId="0" applyNumberFormat="1" applyFont="1" applyBorder="1" applyAlignment="1">
      <alignment horizontal="center" vertical="center"/>
    </xf>
    <xf numFmtId="14" fontId="70" fillId="0" borderId="28" xfId="0" applyNumberFormat="1" applyFont="1" applyBorder="1"/>
    <xf numFmtId="14" fontId="70" fillId="0" borderId="12" xfId="0" applyNumberFormat="1" applyFont="1" applyBorder="1"/>
    <xf numFmtId="14" fontId="84" fillId="0" borderId="28" xfId="0" applyNumberFormat="1" applyFont="1" applyBorder="1"/>
    <xf numFmtId="14" fontId="70" fillId="0" borderId="2" xfId="0" applyNumberFormat="1" applyFont="1" applyBorder="1" applyAlignment="1">
      <alignment vertical="center"/>
    </xf>
    <xf numFmtId="164" fontId="70" fillId="23" borderId="2" xfId="0" applyNumberFormat="1" applyFont="1" applyFill="1" applyBorder="1"/>
    <xf numFmtId="164" fontId="70" fillId="23" borderId="12" xfId="0" applyNumberFormat="1" applyFont="1" applyFill="1" applyBorder="1"/>
    <xf numFmtId="164" fontId="84" fillId="23" borderId="27" xfId="0" applyNumberFormat="1" applyFont="1" applyFill="1" applyBorder="1"/>
    <xf numFmtId="164" fontId="84" fillId="23" borderId="30" xfId="0" applyNumberFormat="1" applyFont="1" applyFill="1" applyBorder="1"/>
    <xf numFmtId="164" fontId="84" fillId="23" borderId="2" xfId="0" applyNumberFormat="1" applyFont="1" applyFill="1" applyBorder="1"/>
    <xf numFmtId="0" fontId="101" fillId="0" borderId="0" xfId="0" applyFont="1" applyAlignment="1">
      <alignment vertical="center" wrapText="1"/>
    </xf>
    <xf numFmtId="165" fontId="101" fillId="0" borderId="0" xfId="0" applyNumberFormat="1" applyFont="1" applyAlignment="1">
      <alignment horizontal="center" vertical="center" wrapText="1"/>
    </xf>
    <xf numFmtId="0" fontId="101" fillId="0" borderId="12" xfId="0" applyFont="1" applyBorder="1" applyAlignment="1">
      <alignment horizontal="center" vertical="center"/>
    </xf>
    <xf numFmtId="0" fontId="101" fillId="0" borderId="12" xfId="0" applyFont="1" applyBorder="1" applyAlignment="1">
      <alignment vertical="center" wrapText="1"/>
    </xf>
    <xf numFmtId="165" fontId="101" fillId="0" borderId="12" xfId="0" applyNumberFormat="1" applyFont="1" applyBorder="1" applyAlignment="1">
      <alignment horizontal="center" vertical="center" wrapText="1"/>
    </xf>
    <xf numFmtId="0" fontId="101" fillId="0" borderId="26" xfId="0" applyFont="1" applyBorder="1" applyAlignment="1">
      <alignment horizontal="center" vertical="center"/>
    </xf>
    <xf numFmtId="0" fontId="101" fillId="0" borderId="26" xfId="0" applyFont="1" applyBorder="1" applyAlignment="1">
      <alignment vertical="center" wrapText="1"/>
    </xf>
    <xf numFmtId="165" fontId="101" fillId="0" borderId="26" xfId="0" applyNumberFormat="1" applyFont="1" applyBorder="1" applyAlignment="1">
      <alignment horizontal="center" vertical="center" wrapText="1"/>
    </xf>
    <xf numFmtId="0" fontId="101" fillId="0" borderId="31" xfId="0" applyFont="1" applyBorder="1" applyAlignment="1">
      <alignment horizontal="center" vertical="center"/>
    </xf>
    <xf numFmtId="0" fontId="101" fillId="0" borderId="31" xfId="0" applyFont="1" applyBorder="1" applyAlignment="1">
      <alignment vertical="center" wrapText="1"/>
    </xf>
    <xf numFmtId="165" fontId="101" fillId="0" borderId="31" xfId="0" applyNumberFormat="1" applyFont="1" applyBorder="1" applyAlignment="1">
      <alignment horizontal="center" vertical="center" wrapText="1"/>
    </xf>
    <xf numFmtId="14" fontId="6" fillId="0" borderId="2" xfId="1" applyNumberFormat="1" applyBorder="1" applyAlignment="1">
      <alignment horizontal="center" vertical="center"/>
    </xf>
    <xf numFmtId="0" fontId="89" fillId="0" borderId="2" xfId="0" applyFont="1" applyBorder="1" applyAlignment="1">
      <alignment horizontal="center" vertical="center"/>
    </xf>
    <xf numFmtId="165" fontId="89" fillId="0" borderId="2" xfId="0" applyNumberFormat="1" applyFont="1" applyBorder="1" applyAlignment="1">
      <alignment horizontal="center" vertical="center" wrapText="1"/>
    </xf>
    <xf numFmtId="14" fontId="65" fillId="0" borderId="2" xfId="0" applyNumberFormat="1" applyFont="1" applyBorder="1" applyAlignment="1">
      <alignment horizontal="center" vertical="center" wrapText="1"/>
    </xf>
    <xf numFmtId="0" fontId="0" fillId="0" borderId="28" xfId="0" applyBorder="1" applyAlignment="1">
      <alignment horizontal="left" vertical="center" wrapText="1"/>
    </xf>
    <xf numFmtId="14" fontId="14" fillId="0" borderId="26" xfId="0" applyNumberFormat="1" applyFont="1" applyBorder="1" applyAlignment="1">
      <alignment horizontal="center" wrapText="1"/>
    </xf>
    <xf numFmtId="14" fontId="7" fillId="0" borderId="2" xfId="0" applyNumberFormat="1" applyFont="1" applyBorder="1" applyAlignment="1">
      <alignment vertical="top" wrapText="1"/>
    </xf>
    <xf numFmtId="0" fontId="70" fillId="0" borderId="2" xfId="0" applyFont="1" applyBorder="1" applyAlignment="1">
      <alignment horizontal="left" vertical="center" wrapText="1"/>
    </xf>
    <xf numFmtId="0" fontId="57" fillId="0" borderId="0" xfId="0" applyFont="1"/>
    <xf numFmtId="14" fontId="104" fillId="0" borderId="2" xfId="0" applyNumberFormat="1" applyFont="1" applyBorder="1" applyAlignment="1">
      <alignment vertical="top" wrapText="1"/>
    </xf>
    <xf numFmtId="0" fontId="0" fillId="0" borderId="0" xfId="0" applyAlignment="1">
      <alignment vertical="center" wrapText="1"/>
    </xf>
    <xf numFmtId="0" fontId="0" fillId="17" borderId="50" xfId="0" applyFill="1" applyBorder="1" applyAlignment="1">
      <alignment vertical="center" wrapText="1"/>
    </xf>
    <xf numFmtId="0" fontId="105" fillId="0" borderId="0" xfId="0" applyFont="1" applyAlignment="1">
      <alignment horizontal="center" vertical="center"/>
    </xf>
    <xf numFmtId="0" fontId="105" fillId="0" borderId="0" xfId="0" applyFont="1" applyAlignment="1">
      <alignment vertical="center"/>
    </xf>
    <xf numFmtId="0" fontId="0" fillId="25" borderId="0" xfId="0" applyFill="1" applyAlignment="1">
      <alignment horizontal="center" vertical="center"/>
    </xf>
    <xf numFmtId="0" fontId="0" fillId="17" borderId="60" xfId="0" applyFill="1" applyBorder="1" applyAlignment="1">
      <alignment vertical="center" wrapText="1"/>
    </xf>
    <xf numFmtId="0" fontId="0" fillId="17" borderId="61" xfId="0" applyFill="1" applyBorder="1" applyAlignment="1">
      <alignment vertical="center" wrapText="1"/>
    </xf>
    <xf numFmtId="0" fontId="0" fillId="17" borderId="54" xfId="0" applyFill="1" applyBorder="1" applyAlignment="1">
      <alignment vertical="center" wrapText="1"/>
    </xf>
    <xf numFmtId="0" fontId="0" fillId="19" borderId="54" xfId="0" applyFill="1" applyBorder="1" applyAlignment="1">
      <alignment vertical="center" wrapText="1"/>
    </xf>
    <xf numFmtId="0" fontId="0" fillId="19" borderId="50" xfId="0" applyFill="1" applyBorder="1" applyAlignment="1">
      <alignment vertical="center" wrapText="1"/>
    </xf>
    <xf numFmtId="0" fontId="0" fillId="19" borderId="60" xfId="0" applyFill="1" applyBorder="1" applyAlignment="1">
      <alignment vertical="center" wrapText="1"/>
    </xf>
    <xf numFmtId="0" fontId="0" fillId="7" borderId="54" xfId="0" applyFill="1" applyBorder="1" applyAlignment="1">
      <alignment vertical="center" wrapText="1"/>
    </xf>
    <xf numFmtId="0" fontId="0" fillId="7" borderId="50" xfId="0" applyFill="1" applyBorder="1" applyAlignment="1">
      <alignment vertical="center" wrapText="1"/>
    </xf>
    <xf numFmtId="0" fontId="0" fillId="7" borderId="60" xfId="0" applyFill="1" applyBorder="1" applyAlignment="1">
      <alignment vertical="center" wrapText="1"/>
    </xf>
    <xf numFmtId="0" fontId="0" fillId="5" borderId="54" xfId="0" applyFill="1" applyBorder="1" applyAlignment="1">
      <alignment vertical="center" wrapText="1"/>
    </xf>
    <xf numFmtId="0" fontId="0" fillId="5" borderId="50" xfId="0" applyFill="1" applyBorder="1" applyAlignment="1">
      <alignment vertical="center" wrapText="1"/>
    </xf>
    <xf numFmtId="0" fontId="0" fillId="5" borderId="60" xfId="0" applyFill="1" applyBorder="1" applyAlignment="1">
      <alignment vertical="center" wrapText="1"/>
    </xf>
    <xf numFmtId="0" fontId="0" fillId="6" borderId="54" xfId="0" applyFill="1" applyBorder="1" applyAlignment="1">
      <alignment vertical="center" wrapText="1"/>
    </xf>
    <xf numFmtId="0" fontId="0" fillId="6" borderId="50" xfId="0" applyFill="1" applyBorder="1" applyAlignment="1">
      <alignment vertical="center" wrapText="1"/>
    </xf>
    <xf numFmtId="0" fontId="0" fillId="6" borderId="55" xfId="0" applyFill="1" applyBorder="1" applyAlignment="1">
      <alignment vertical="center" wrapText="1"/>
    </xf>
    <xf numFmtId="0" fontId="0" fillId="17" borderId="56" xfId="0" applyFill="1" applyBorder="1" applyAlignment="1">
      <alignment vertical="center" wrapText="1"/>
    </xf>
    <xf numFmtId="0" fontId="0" fillId="17" borderId="57" xfId="0" applyFill="1" applyBorder="1" applyAlignment="1">
      <alignment vertical="center" wrapText="1"/>
    </xf>
    <xf numFmtId="0" fontId="0" fillId="19" borderId="56" xfId="0" applyFill="1" applyBorder="1" applyAlignment="1">
      <alignment vertical="center" wrapText="1"/>
    </xf>
    <xf numFmtId="0" fontId="0" fillId="19" borderId="57" xfId="0" applyFill="1" applyBorder="1" applyAlignment="1">
      <alignment vertical="center" wrapText="1"/>
    </xf>
    <xf numFmtId="0" fontId="0" fillId="19" borderId="61" xfId="0" applyFill="1" applyBorder="1" applyAlignment="1">
      <alignment vertical="center" wrapText="1"/>
    </xf>
    <xf numFmtId="0" fontId="0" fillId="7" borderId="56" xfId="0" applyFill="1" applyBorder="1" applyAlignment="1">
      <alignment vertical="center" wrapText="1"/>
    </xf>
    <xf numFmtId="0" fontId="0" fillId="7" borderId="57" xfId="0" applyFill="1" applyBorder="1" applyAlignment="1">
      <alignment vertical="center" wrapText="1"/>
    </xf>
    <xf numFmtId="0" fontId="0" fillId="7" borderId="61" xfId="0" applyFill="1" applyBorder="1" applyAlignment="1">
      <alignment vertical="center" wrapText="1"/>
    </xf>
    <xf numFmtId="0" fontId="0" fillId="5" borderId="56" xfId="0" applyFill="1" applyBorder="1" applyAlignment="1">
      <alignment vertical="center" wrapText="1"/>
    </xf>
    <xf numFmtId="0" fontId="0" fillId="5" borderId="57" xfId="0" applyFill="1" applyBorder="1" applyAlignment="1">
      <alignment vertical="center" wrapText="1"/>
    </xf>
    <xf numFmtId="0" fontId="0" fillId="5" borderId="61" xfId="0" applyFill="1" applyBorder="1" applyAlignment="1">
      <alignment vertical="center" wrapText="1"/>
    </xf>
    <xf numFmtId="0" fontId="0" fillId="6" borderId="56" xfId="0" applyFill="1" applyBorder="1" applyAlignment="1">
      <alignment vertical="center" wrapText="1"/>
    </xf>
    <xf numFmtId="0" fontId="0" fillId="6" borderId="57" xfId="0" applyFill="1" applyBorder="1" applyAlignment="1">
      <alignment vertical="center" wrapText="1"/>
    </xf>
    <xf numFmtId="0" fontId="0" fillId="6" borderId="58" xfId="0" applyFill="1" applyBorder="1" applyAlignment="1">
      <alignment vertical="center" wrapText="1"/>
    </xf>
    <xf numFmtId="0" fontId="5" fillId="26" borderId="54" xfId="0" applyFont="1" applyFill="1" applyBorder="1" applyAlignment="1">
      <alignment horizontal="center" vertical="center" wrapText="1"/>
    </xf>
    <xf numFmtId="0" fontId="5" fillId="26" borderId="50" xfId="0" applyFont="1" applyFill="1" applyBorder="1" applyAlignment="1">
      <alignment horizontal="center" vertical="center" wrapText="1"/>
    </xf>
    <xf numFmtId="0" fontId="5" fillId="26" borderId="60" xfId="0" applyFont="1" applyFill="1" applyBorder="1" applyAlignment="1">
      <alignment horizontal="center" vertical="center" wrapText="1"/>
    </xf>
    <xf numFmtId="0" fontId="5" fillId="26" borderId="55" xfId="0" applyFont="1" applyFill="1" applyBorder="1" applyAlignment="1">
      <alignment horizontal="center" vertical="center" wrapText="1"/>
    </xf>
    <xf numFmtId="0" fontId="99" fillId="0" borderId="2" xfId="0" applyFont="1" applyBorder="1" applyAlignment="1">
      <alignment vertical="center" wrapText="1"/>
    </xf>
    <xf numFmtId="0" fontId="0" fillId="0" borderId="28" xfId="0" applyBorder="1" applyAlignment="1">
      <alignment vertical="center" wrapText="1"/>
    </xf>
    <xf numFmtId="0" fontId="104" fillId="0" borderId="2" xfId="0" applyFont="1" applyBorder="1" applyAlignment="1">
      <alignment vertical="center"/>
    </xf>
    <xf numFmtId="164" fontId="104" fillId="23" borderId="2" xfId="0" applyNumberFormat="1" applyFont="1" applyFill="1" applyBorder="1"/>
    <xf numFmtId="9" fontId="104" fillId="23" borderId="2" xfId="0" applyNumberFormat="1" applyFont="1" applyFill="1" applyBorder="1"/>
    <xf numFmtId="164" fontId="7" fillId="27" borderId="2" xfId="0" applyNumberFormat="1" applyFont="1" applyFill="1" applyBorder="1"/>
    <xf numFmtId="14" fontId="7" fillId="27" borderId="2" xfId="0" applyNumberFormat="1" applyFont="1" applyFill="1" applyBorder="1"/>
    <xf numFmtId="0" fontId="104" fillId="27" borderId="2" xfId="0" applyFont="1" applyFill="1" applyBorder="1" applyAlignment="1">
      <alignment vertical="center"/>
    </xf>
    <xf numFmtId="0" fontId="86" fillId="26" borderId="2" xfId="0" applyFont="1" applyFill="1" applyBorder="1" applyAlignment="1">
      <alignment horizontal="center" vertical="center" wrapText="1"/>
    </xf>
    <xf numFmtId="0" fontId="86" fillId="26" borderId="27" xfId="0" applyFont="1" applyFill="1" applyBorder="1" applyAlignment="1">
      <alignment horizontal="center" vertical="center" wrapText="1"/>
    </xf>
    <xf numFmtId="14" fontId="22" fillId="26" borderId="27" xfId="0" applyNumberFormat="1" applyFont="1" applyFill="1" applyBorder="1" applyAlignment="1">
      <alignment horizontal="center" vertical="center" wrapText="1"/>
    </xf>
    <xf numFmtId="164" fontId="0" fillId="27" borderId="2" xfId="0" applyNumberFormat="1" applyFill="1" applyBorder="1"/>
    <xf numFmtId="14" fontId="0" fillId="5" borderId="2" xfId="0" applyNumberFormat="1" applyFill="1" applyBorder="1"/>
    <xf numFmtId="164" fontId="106" fillId="27" borderId="2" xfId="0" applyNumberFormat="1" applyFont="1" applyFill="1" applyBorder="1"/>
    <xf numFmtId="14" fontId="0" fillId="27" borderId="2" xfId="0" applyNumberFormat="1" applyFill="1" applyBorder="1"/>
    <xf numFmtId="164" fontId="0" fillId="5" borderId="2" xfId="0" applyNumberFormat="1" applyFill="1" applyBorder="1"/>
    <xf numFmtId="0" fontId="7" fillId="9" borderId="2" xfId="0" applyFont="1" applyFill="1" applyBorder="1" applyAlignment="1">
      <alignment vertical="center"/>
    </xf>
    <xf numFmtId="0" fontId="7" fillId="5" borderId="2" xfId="0" applyFont="1" applyFill="1" applyBorder="1" applyAlignment="1">
      <alignment vertical="center"/>
    </xf>
    <xf numFmtId="164" fontId="0" fillId="27" borderId="2" xfId="0" applyNumberFormat="1" applyFill="1" applyBorder="1" applyAlignment="1">
      <alignment wrapText="1"/>
    </xf>
    <xf numFmtId="0" fontId="107" fillId="27" borderId="2" xfId="0" applyFont="1" applyFill="1" applyBorder="1" applyAlignment="1">
      <alignment vertical="center"/>
    </xf>
    <xf numFmtId="166" fontId="84" fillId="3" borderId="2" xfId="0" applyNumberFormat="1" applyFont="1" applyFill="1" applyBorder="1"/>
    <xf numFmtId="166" fontId="70" fillId="3" borderId="2" xfId="0" applyNumberFormat="1" applyFont="1" applyFill="1" applyBorder="1"/>
    <xf numFmtId="166" fontId="84" fillId="0" borderId="2" xfId="0" applyNumberFormat="1" applyFont="1" applyBorder="1"/>
    <xf numFmtId="0" fontId="89" fillId="0" borderId="2" xfId="0" applyFont="1" applyBorder="1" applyAlignment="1">
      <alignment horizontal="left" vertical="center" wrapText="1"/>
    </xf>
    <xf numFmtId="165" fontId="89" fillId="0" borderId="2" xfId="0" applyNumberFormat="1" applyFont="1" applyBorder="1" applyAlignment="1">
      <alignment horizontal="left" vertical="center" wrapText="1"/>
    </xf>
    <xf numFmtId="16" fontId="0" fillId="0" borderId="2" xfId="0" applyNumberFormat="1" applyBorder="1" applyAlignment="1">
      <alignment vertical="top" wrapText="1"/>
    </xf>
    <xf numFmtId="14" fontId="89" fillId="0" borderId="2" xfId="0" applyNumberFormat="1" applyFont="1" applyBorder="1" applyAlignment="1">
      <alignment horizontal="center" vertical="center"/>
    </xf>
    <xf numFmtId="0" fontId="89" fillId="0" borderId="2" xfId="0" applyFont="1" applyBorder="1" applyAlignment="1">
      <alignment horizontal="left" vertical="center"/>
    </xf>
    <xf numFmtId="0" fontId="99" fillId="0" borderId="2" xfId="0" applyFont="1" applyBorder="1" applyAlignment="1">
      <alignment horizontal="left" vertical="center" wrapText="1"/>
    </xf>
    <xf numFmtId="0" fontId="101" fillId="0" borderId="2" xfId="0" applyFont="1" applyBorder="1" applyAlignment="1">
      <alignment horizontal="left" vertical="center" wrapText="1"/>
    </xf>
    <xf numFmtId="0" fontId="89" fillId="0" borderId="0" xfId="0" applyFont="1" applyAlignment="1">
      <alignment horizontal="left" wrapText="1"/>
    </xf>
    <xf numFmtId="14" fontId="15" fillId="0" borderId="26" xfId="0" applyNumberFormat="1" applyFont="1" applyBorder="1" applyAlignment="1">
      <alignment horizontal="center" wrapText="1"/>
    </xf>
    <xf numFmtId="14" fontId="17" fillId="0" borderId="26" xfId="0" applyNumberFormat="1" applyFont="1" applyBorder="1" applyAlignment="1">
      <alignment horizontal="center" wrapText="1"/>
    </xf>
    <xf numFmtId="14" fontId="7" fillId="0" borderId="27" xfId="0" applyNumberFormat="1" applyFont="1" applyBorder="1" applyAlignment="1">
      <alignment horizontal="center" vertical="center" wrapText="1"/>
    </xf>
    <xf numFmtId="0" fontId="108" fillId="0" borderId="2" xfId="0" applyFont="1" applyBorder="1"/>
    <xf numFmtId="14" fontId="7" fillId="0" borderId="32" xfId="0" applyNumberFormat="1" applyFont="1" applyBorder="1" applyAlignment="1">
      <alignment horizontal="center" vertical="center" wrapText="1"/>
    </xf>
    <xf numFmtId="14" fontId="7" fillId="0" borderId="30" xfId="0" applyNumberFormat="1" applyFont="1" applyBorder="1" applyAlignment="1">
      <alignment horizontal="center" vertical="center" wrapText="1"/>
    </xf>
    <xf numFmtId="0" fontId="70" fillId="0" borderId="2" xfId="0" applyFont="1" applyBorder="1" applyAlignment="1">
      <alignment horizontal="left" vertical="center"/>
    </xf>
    <xf numFmtId="14" fontId="7" fillId="0" borderId="12" xfId="0" applyNumberFormat="1" applyFont="1" applyBorder="1" applyAlignment="1">
      <alignment vertical="top" wrapText="1"/>
    </xf>
    <xf numFmtId="0" fontId="0" fillId="0" borderId="12" xfId="0" applyBorder="1" applyAlignment="1">
      <alignment horizontal="center"/>
    </xf>
    <xf numFmtId="0" fontId="108" fillId="0" borderId="12" xfId="0" applyFont="1" applyBorder="1"/>
    <xf numFmtId="14" fontId="7" fillId="0" borderId="26" xfId="0" applyNumberFormat="1" applyFont="1" applyBorder="1" applyAlignment="1">
      <alignment vertical="top" wrapText="1"/>
    </xf>
    <xf numFmtId="0" fontId="70" fillId="0" borderId="26" xfId="0" applyFont="1" applyBorder="1" applyAlignment="1">
      <alignment horizontal="left" vertical="center"/>
    </xf>
    <xf numFmtId="0" fontId="108" fillId="0" borderId="26" xfId="0" applyFont="1" applyBorder="1"/>
    <xf numFmtId="16" fontId="89" fillId="0" borderId="2" xfId="0" applyNumberFormat="1" applyFont="1" applyBorder="1" applyAlignment="1">
      <alignment horizontal="center" vertical="center"/>
    </xf>
    <xf numFmtId="165" fontId="89" fillId="0" borderId="28" xfId="0" applyNumberFormat="1" applyFont="1" applyBorder="1" applyAlignment="1">
      <alignment horizontal="left" vertical="center" wrapText="1"/>
    </xf>
    <xf numFmtId="0" fontId="89" fillId="0" borderId="28" xfId="0" applyFont="1" applyBorder="1" applyAlignment="1">
      <alignment horizontal="left" vertical="center" wrapText="1"/>
    </xf>
    <xf numFmtId="0" fontId="70" fillId="0" borderId="27" xfId="0" applyFont="1" applyBorder="1" applyAlignment="1">
      <alignment horizontal="center" vertical="center"/>
    </xf>
    <xf numFmtId="0" fontId="89" fillId="0" borderId="27" xfId="0" applyFont="1" applyBorder="1" applyAlignment="1">
      <alignment horizontal="center" vertical="center"/>
    </xf>
    <xf numFmtId="165" fontId="89" fillId="0" borderId="12" xfId="0" applyNumberFormat="1" applyFont="1" applyBorder="1" applyAlignment="1">
      <alignment horizontal="center" vertical="center" wrapText="1"/>
    </xf>
    <xf numFmtId="0" fontId="70" fillId="0" borderId="12" xfId="0" applyFont="1" applyBorder="1" applyAlignment="1">
      <alignment horizontal="center" vertical="center"/>
    </xf>
    <xf numFmtId="0" fontId="0" fillId="0" borderId="46" xfId="0" applyBorder="1" applyAlignment="1">
      <alignment horizontal="left" vertical="center" wrapText="1"/>
    </xf>
    <xf numFmtId="0" fontId="70" fillId="0" borderId="26" xfId="0" applyFont="1" applyBorder="1" applyAlignment="1">
      <alignment horizontal="center" vertical="center"/>
    </xf>
    <xf numFmtId="0" fontId="89" fillId="0" borderId="26" xfId="0" applyFont="1" applyBorder="1" applyAlignment="1">
      <alignment horizontal="center" vertical="center"/>
    </xf>
    <xf numFmtId="14" fontId="89" fillId="0" borderId="2" xfId="0" applyNumberFormat="1" applyFont="1" applyBorder="1" applyAlignment="1">
      <alignment horizontal="center" vertical="center" wrapText="1"/>
    </xf>
    <xf numFmtId="0" fontId="0" fillId="0" borderId="12" xfId="0" applyBorder="1" applyAlignment="1">
      <alignment horizontal="center" vertical="center"/>
    </xf>
    <xf numFmtId="0" fontId="0" fillId="0" borderId="12" xfId="0" applyBorder="1" applyAlignment="1">
      <alignment horizontal="left" vertical="center" indent="1"/>
    </xf>
    <xf numFmtId="14" fontId="6" fillId="0" borderId="12" xfId="1" applyNumberFormat="1" applyBorder="1" applyAlignment="1">
      <alignment horizontal="center" vertical="center"/>
    </xf>
    <xf numFmtId="0" fontId="0" fillId="0" borderId="12" xfId="0" applyBorder="1" applyAlignment="1">
      <alignment vertical="top" wrapText="1"/>
    </xf>
    <xf numFmtId="0" fontId="7" fillId="0" borderId="2" xfId="0" applyFont="1" applyBorder="1" applyAlignment="1">
      <alignment horizontal="left" vertical="center" indent="1"/>
    </xf>
    <xf numFmtId="0" fontId="109" fillId="0" borderId="2" xfId="0" applyFont="1" applyBorder="1"/>
    <xf numFmtId="14" fontId="7" fillId="0" borderId="2" xfId="0" applyNumberFormat="1" applyFont="1" applyBorder="1" applyAlignment="1">
      <alignment horizontal="center" vertical="center"/>
    </xf>
    <xf numFmtId="0" fontId="7" fillId="0" borderId="2" xfId="0" applyFont="1" applyBorder="1" applyAlignment="1">
      <alignment vertical="top" wrapText="1"/>
    </xf>
    <xf numFmtId="0" fontId="13" fillId="0" borderId="14" xfId="0" applyFont="1" applyBorder="1" applyAlignment="1">
      <alignment horizontal="center" vertical="center" wrapText="1"/>
    </xf>
    <xf numFmtId="0" fontId="13" fillId="0" borderId="15" xfId="0" applyFont="1" applyBorder="1" applyAlignment="1">
      <alignment horizontal="center" vertical="center" wrapText="1"/>
    </xf>
    <xf numFmtId="0" fontId="13" fillId="0" borderId="16" xfId="0" applyFont="1" applyBorder="1" applyAlignment="1">
      <alignment horizontal="center" vertical="center" wrapText="1"/>
    </xf>
    <xf numFmtId="0" fontId="13" fillId="0" borderId="17" xfId="0" applyFont="1" applyBorder="1" applyAlignment="1">
      <alignment horizontal="center" vertical="center" wrapText="1"/>
    </xf>
    <xf numFmtId="0" fontId="13" fillId="0" borderId="9" xfId="0" applyFont="1" applyBorder="1" applyAlignment="1">
      <alignment horizontal="center" vertical="center" wrapText="1"/>
    </xf>
    <xf numFmtId="0" fontId="13" fillId="0" borderId="18" xfId="0" applyFont="1" applyBorder="1" applyAlignment="1">
      <alignment horizontal="center" vertical="center" wrapText="1"/>
    </xf>
    <xf numFmtId="0" fontId="12" fillId="0" borderId="3" xfId="0" applyFont="1" applyBorder="1" applyAlignment="1">
      <alignment horizontal="center" vertical="center" wrapText="1"/>
    </xf>
    <xf numFmtId="0" fontId="12" fillId="0" borderId="4" xfId="0" applyFont="1" applyBorder="1" applyAlignment="1">
      <alignment horizontal="center" vertical="center" wrapText="1"/>
    </xf>
    <xf numFmtId="0" fontId="12" fillId="0" borderId="5" xfId="0" applyFont="1" applyBorder="1" applyAlignment="1">
      <alignment horizontal="center" vertical="center" wrapText="1"/>
    </xf>
    <xf numFmtId="0" fontId="12" fillId="0" borderId="8" xfId="0" applyFont="1" applyBorder="1" applyAlignment="1">
      <alignment horizontal="center" vertical="center" wrapText="1"/>
    </xf>
    <xf numFmtId="0" fontId="12" fillId="0" borderId="9" xfId="0" applyFont="1" applyBorder="1" applyAlignment="1">
      <alignment horizontal="center" vertical="center" wrapText="1"/>
    </xf>
    <xf numFmtId="0" fontId="12" fillId="0" borderId="10" xfId="0" applyFont="1" applyBorder="1" applyAlignment="1">
      <alignment horizontal="center" vertical="center" wrapText="1"/>
    </xf>
    <xf numFmtId="0" fontId="12" fillId="0" borderId="14" xfId="0" applyFont="1" applyBorder="1" applyAlignment="1">
      <alignment horizontal="center" vertical="center" wrapText="1"/>
    </xf>
    <xf numFmtId="0" fontId="12" fillId="0" borderId="15" xfId="0" applyFont="1" applyBorder="1" applyAlignment="1">
      <alignment horizontal="center" vertical="center" wrapText="1"/>
    </xf>
    <xf numFmtId="0" fontId="12" fillId="0" borderId="16" xfId="0" applyFont="1" applyBorder="1" applyAlignment="1">
      <alignment horizontal="center" vertical="center" wrapText="1"/>
    </xf>
    <xf numFmtId="0" fontId="12" fillId="0" borderId="19" xfId="0" applyFont="1" applyBorder="1" applyAlignment="1">
      <alignment horizontal="center" vertical="center" wrapText="1"/>
    </xf>
    <xf numFmtId="0" fontId="12" fillId="0" borderId="0" xfId="0" applyFont="1" applyAlignment="1">
      <alignment horizontal="center" vertical="center" wrapText="1"/>
    </xf>
    <xf numFmtId="0" fontId="12" fillId="0" borderId="20" xfId="0" applyFont="1" applyBorder="1" applyAlignment="1">
      <alignment horizontal="center" vertical="center" wrapText="1"/>
    </xf>
    <xf numFmtId="0" fontId="13" fillId="0" borderId="3" xfId="0" applyFont="1" applyBorder="1" applyAlignment="1">
      <alignment horizontal="center" vertical="center" wrapText="1"/>
    </xf>
    <xf numFmtId="0" fontId="13" fillId="0" borderId="4" xfId="0" applyFont="1" applyBorder="1" applyAlignment="1">
      <alignment horizontal="center" vertical="center" wrapText="1"/>
    </xf>
    <xf numFmtId="0" fontId="13" fillId="0" borderId="5" xfId="0" applyFont="1" applyBorder="1" applyAlignment="1">
      <alignment horizontal="center" vertical="center" wrapText="1"/>
    </xf>
    <xf numFmtId="0" fontId="13" fillId="0" borderId="8" xfId="0" applyFont="1" applyBorder="1" applyAlignment="1">
      <alignment horizontal="center" vertical="center" wrapText="1"/>
    </xf>
    <xf numFmtId="0" fontId="13" fillId="0" borderId="10" xfId="0" applyFont="1" applyBorder="1" applyAlignment="1">
      <alignment horizontal="center" vertical="center" wrapText="1"/>
    </xf>
    <xf numFmtId="0" fontId="105" fillId="12" borderId="51" xfId="0" applyFont="1" applyFill="1" applyBorder="1" applyAlignment="1">
      <alignment horizontal="center" vertical="center" wrapText="1"/>
    </xf>
    <xf numFmtId="0" fontId="105" fillId="12" borderId="52" xfId="0" applyFont="1" applyFill="1" applyBorder="1" applyAlignment="1">
      <alignment horizontal="center" vertical="center" wrapText="1"/>
    </xf>
    <xf numFmtId="0" fontId="105" fillId="12" borderId="59" xfId="0" applyFont="1" applyFill="1" applyBorder="1" applyAlignment="1">
      <alignment horizontal="center" vertical="center" wrapText="1"/>
    </xf>
    <xf numFmtId="0" fontId="105" fillId="14" borderId="51" xfId="0" applyFont="1" applyFill="1" applyBorder="1" applyAlignment="1">
      <alignment horizontal="center" vertical="center" wrapText="1"/>
    </xf>
    <xf numFmtId="0" fontId="105" fillId="14" borderId="52" xfId="0" applyFont="1" applyFill="1" applyBorder="1" applyAlignment="1">
      <alignment horizontal="center" vertical="center" wrapText="1"/>
    </xf>
    <xf numFmtId="0" fontId="105" fillId="14" borderId="59" xfId="0" applyFont="1" applyFill="1" applyBorder="1" applyAlignment="1">
      <alignment horizontal="center" vertical="center" wrapText="1"/>
    </xf>
    <xf numFmtId="0" fontId="105" fillId="11" borderId="51" xfId="0" applyFont="1" applyFill="1" applyBorder="1" applyAlignment="1">
      <alignment horizontal="center" vertical="center" wrapText="1"/>
    </xf>
    <xf numFmtId="0" fontId="105" fillId="11" borderId="52" xfId="0" applyFont="1" applyFill="1" applyBorder="1" applyAlignment="1">
      <alignment horizontal="center" vertical="center" wrapText="1"/>
    </xf>
    <xf numFmtId="0" fontId="105" fillId="11" borderId="59" xfId="0" applyFont="1" applyFill="1" applyBorder="1" applyAlignment="1">
      <alignment horizontal="center" vertical="center" wrapText="1"/>
    </xf>
    <xf numFmtId="0" fontId="105" fillId="13" borderId="51" xfId="0" applyFont="1" applyFill="1" applyBorder="1" applyAlignment="1">
      <alignment horizontal="center" vertical="center" wrapText="1"/>
    </xf>
    <xf numFmtId="0" fontId="105" fillId="13" borderId="52" xfId="0" applyFont="1" applyFill="1" applyBorder="1" applyAlignment="1">
      <alignment horizontal="center" vertical="center" wrapText="1"/>
    </xf>
    <xf numFmtId="0" fontId="105" fillId="13" borderId="59" xfId="0" applyFont="1" applyFill="1" applyBorder="1" applyAlignment="1">
      <alignment horizontal="center" vertical="center" wrapText="1"/>
    </xf>
    <xf numFmtId="0" fontId="105" fillId="24" borderId="51" xfId="0" applyFont="1" applyFill="1" applyBorder="1" applyAlignment="1">
      <alignment horizontal="center" vertical="center" wrapText="1"/>
    </xf>
    <xf numFmtId="0" fontId="105" fillId="24" borderId="52" xfId="0" applyFont="1" applyFill="1" applyBorder="1" applyAlignment="1">
      <alignment horizontal="center" vertical="center" wrapText="1"/>
    </xf>
    <xf numFmtId="0" fontId="105" fillId="24" borderId="53" xfId="0" applyFont="1" applyFill="1" applyBorder="1" applyAlignment="1">
      <alignment horizontal="center" vertical="center" wrapText="1"/>
    </xf>
    <xf numFmtId="0" fontId="0" fillId="19" borderId="60" xfId="0" applyFill="1" applyBorder="1" applyAlignment="1">
      <alignment horizontal="center" vertical="center" wrapText="1"/>
    </xf>
    <xf numFmtId="0" fontId="5" fillId="19" borderId="54" xfId="0" applyFont="1" applyFill="1" applyBorder="1" applyAlignment="1">
      <alignment horizontal="center" vertical="center" wrapText="1"/>
    </xf>
    <xf numFmtId="0" fontId="5" fillId="19" borderId="50" xfId="0" applyFont="1" applyFill="1" applyBorder="1" applyAlignment="1">
      <alignment horizontal="center" vertical="center" wrapText="1"/>
    </xf>
    <xf numFmtId="0" fontId="5" fillId="19" borderId="60" xfId="0" applyFont="1" applyFill="1" applyBorder="1" applyAlignment="1">
      <alignment horizontal="center" vertical="center" wrapText="1"/>
    </xf>
    <xf numFmtId="0" fontId="5" fillId="7" borderId="54" xfId="0" applyFont="1" applyFill="1" applyBorder="1" applyAlignment="1">
      <alignment horizontal="center" vertical="center" wrapText="1"/>
    </xf>
    <xf numFmtId="0" fontId="5" fillId="7" borderId="50" xfId="0" applyFont="1" applyFill="1" applyBorder="1" applyAlignment="1">
      <alignment horizontal="center" vertical="center" wrapText="1"/>
    </xf>
    <xf numFmtId="0" fontId="5" fillId="7" borderId="60" xfId="0" applyFont="1" applyFill="1" applyBorder="1" applyAlignment="1">
      <alignment horizontal="center" vertical="center" wrapText="1"/>
    </xf>
    <xf numFmtId="0" fontId="5" fillId="5" borderId="54" xfId="0" applyFont="1" applyFill="1" applyBorder="1" applyAlignment="1">
      <alignment horizontal="center" vertical="center" wrapText="1"/>
    </xf>
    <xf numFmtId="0" fontId="5" fillId="5" borderId="50" xfId="0" applyFont="1" applyFill="1" applyBorder="1" applyAlignment="1">
      <alignment horizontal="center" vertical="center" wrapText="1"/>
    </xf>
    <xf numFmtId="0" fontId="5" fillId="5" borderId="60" xfId="0" applyFont="1" applyFill="1" applyBorder="1" applyAlignment="1">
      <alignment horizontal="center" vertical="center" wrapText="1"/>
    </xf>
    <xf numFmtId="0" fontId="61" fillId="0" borderId="2" xfId="0" applyFont="1" applyBorder="1" applyAlignment="1">
      <alignment horizontal="left" wrapText="1"/>
    </xf>
    <xf numFmtId="0" fontId="77" fillId="0" borderId="2" xfId="0" applyFont="1" applyBorder="1" applyAlignment="1">
      <alignment horizontal="left" wrapText="1"/>
    </xf>
    <xf numFmtId="0" fontId="61" fillId="0" borderId="2" xfId="0" applyFont="1" applyBorder="1" applyAlignment="1">
      <alignment horizontal="left"/>
    </xf>
    <xf numFmtId="0" fontId="61" fillId="0" borderId="2" xfId="0" applyFont="1" applyBorder="1" applyAlignment="1">
      <alignment wrapText="1"/>
    </xf>
    <xf numFmtId="0" fontId="73" fillId="15" borderId="34" xfId="0" applyFont="1" applyFill="1" applyBorder="1" applyAlignment="1">
      <alignment horizontal="center" vertical="center"/>
    </xf>
    <xf numFmtId="0" fontId="73" fillId="15" borderId="46" xfId="0" applyFont="1" applyFill="1" applyBorder="1" applyAlignment="1">
      <alignment horizontal="center" vertical="center"/>
    </xf>
    <xf numFmtId="0" fontId="73" fillId="15" borderId="32" xfId="0" applyFont="1" applyFill="1" applyBorder="1" applyAlignment="1">
      <alignment horizontal="center" vertical="center"/>
    </xf>
    <xf numFmtId="0" fontId="75" fillId="11" borderId="33" xfId="0" applyFont="1" applyFill="1" applyBorder="1" applyAlignment="1">
      <alignment horizontal="center" vertical="center"/>
    </xf>
    <xf numFmtId="0" fontId="75" fillId="11" borderId="37" xfId="0" applyFont="1" applyFill="1" applyBorder="1" applyAlignment="1">
      <alignment horizontal="center" vertical="center"/>
    </xf>
    <xf numFmtId="0" fontId="75" fillId="12" borderId="33" xfId="0" applyFont="1" applyFill="1" applyBorder="1" applyAlignment="1">
      <alignment horizontal="center" vertical="center"/>
    </xf>
    <xf numFmtId="0" fontId="75" fillId="12" borderId="37" xfId="0" applyFont="1" applyFill="1" applyBorder="1" applyAlignment="1">
      <alignment horizontal="center" vertical="center"/>
    </xf>
    <xf numFmtId="0" fontId="75" fillId="13" borderId="33" xfId="0" applyFont="1" applyFill="1" applyBorder="1" applyAlignment="1">
      <alignment horizontal="center" vertical="center"/>
    </xf>
    <xf numFmtId="0" fontId="75" fillId="13" borderId="37" xfId="0" applyFont="1" applyFill="1" applyBorder="1" applyAlignment="1">
      <alignment horizontal="center" vertical="center"/>
    </xf>
    <xf numFmtId="0" fontId="75" fillId="14" borderId="33" xfId="0" applyFont="1" applyFill="1" applyBorder="1" applyAlignment="1">
      <alignment horizontal="center" vertical="center"/>
    </xf>
    <xf numFmtId="0" fontId="75" fillId="14" borderId="37" xfId="0" applyFont="1" applyFill="1" applyBorder="1" applyAlignment="1">
      <alignment horizontal="center" vertical="center"/>
    </xf>
    <xf numFmtId="0" fontId="75" fillId="14" borderId="39" xfId="0" applyFont="1" applyFill="1" applyBorder="1" applyAlignment="1">
      <alignment horizontal="center" vertical="center"/>
    </xf>
    <xf numFmtId="0" fontId="75" fillId="20" borderId="31" xfId="0" applyFont="1" applyFill="1" applyBorder="1" applyAlignment="1">
      <alignment horizontal="center" vertical="center"/>
    </xf>
    <xf numFmtId="0" fontId="75" fillId="20" borderId="26" xfId="0" applyFont="1" applyFill="1" applyBorder="1" applyAlignment="1">
      <alignment horizontal="center" vertical="center"/>
    </xf>
    <xf numFmtId="0" fontId="73" fillId="15" borderId="31" xfId="0" applyFont="1" applyFill="1" applyBorder="1" applyAlignment="1">
      <alignment horizontal="center" vertical="center"/>
    </xf>
    <xf numFmtId="0" fontId="73" fillId="16" borderId="32" xfId="0" applyFont="1" applyFill="1" applyBorder="1" applyAlignment="1">
      <alignment horizontal="center" vertical="center"/>
    </xf>
    <xf numFmtId="0" fontId="73" fillId="16" borderId="26" xfId="0" applyFont="1" applyFill="1" applyBorder="1" applyAlignment="1">
      <alignment horizontal="center" vertical="center"/>
    </xf>
    <xf numFmtId="0" fontId="73" fillId="16" borderId="12" xfId="0" applyFont="1" applyFill="1" applyBorder="1" applyAlignment="1">
      <alignment horizontal="center" vertical="center"/>
    </xf>
    <xf numFmtId="0" fontId="73" fillId="4" borderId="12" xfId="0" applyFont="1" applyFill="1" applyBorder="1" applyAlignment="1">
      <alignment horizontal="center" vertical="center"/>
    </xf>
    <xf numFmtId="0" fontId="73" fillId="4" borderId="31" xfId="0" applyFont="1" applyFill="1" applyBorder="1" applyAlignment="1">
      <alignment horizontal="center" vertical="center"/>
    </xf>
    <xf numFmtId="0" fontId="73" fillId="4" borderId="40" xfId="0" applyFont="1" applyFill="1" applyBorder="1" applyAlignment="1">
      <alignment horizontal="center" vertical="center"/>
    </xf>
    <xf numFmtId="0" fontId="73" fillId="21" borderId="12" xfId="0" applyFont="1" applyFill="1" applyBorder="1" applyAlignment="1">
      <alignment horizontal="center" vertical="center"/>
    </xf>
    <xf numFmtId="0" fontId="73" fillId="21" borderId="31" xfId="0" applyFont="1" applyFill="1" applyBorder="1" applyAlignment="1">
      <alignment horizontal="center" vertical="center"/>
    </xf>
    <xf numFmtId="0" fontId="73" fillId="21" borderId="26" xfId="0" applyFont="1" applyFill="1" applyBorder="1" applyAlignment="1">
      <alignment horizontal="center" vertical="center"/>
    </xf>
    <xf numFmtId="0" fontId="73" fillId="18" borderId="34" xfId="0" applyFont="1" applyFill="1" applyBorder="1" applyAlignment="1">
      <alignment horizontal="center" vertical="center"/>
    </xf>
    <xf numFmtId="0" fontId="73" fillId="18" borderId="26" xfId="0" applyFont="1" applyFill="1" applyBorder="1" applyAlignment="1">
      <alignment horizontal="center" vertical="center"/>
    </xf>
    <xf numFmtId="0" fontId="73" fillId="18" borderId="12" xfId="0" applyFont="1" applyFill="1" applyBorder="1" applyAlignment="1">
      <alignment horizontal="center" vertical="center"/>
    </xf>
    <xf numFmtId="0" fontId="73" fillId="18" borderId="31" xfId="0" applyFont="1" applyFill="1" applyBorder="1" applyAlignment="1">
      <alignment horizontal="center" vertical="center"/>
    </xf>
    <xf numFmtId="0" fontId="73" fillId="4" borderId="34" xfId="0" applyFont="1" applyFill="1" applyBorder="1" applyAlignment="1">
      <alignment horizontal="center" vertical="center"/>
    </xf>
    <xf numFmtId="0" fontId="73" fillId="4" borderId="26" xfId="0" applyFont="1" applyFill="1" applyBorder="1" applyAlignment="1">
      <alignment horizontal="center" vertical="center"/>
    </xf>
    <xf numFmtId="0" fontId="1" fillId="0" borderId="2" xfId="0" applyFont="1" applyBorder="1" applyAlignment="1">
      <alignment horizontal="left" vertical="center" wrapText="1"/>
    </xf>
    <xf numFmtId="0" fontId="1" fillId="0" borderId="2" xfId="0" applyFont="1" applyBorder="1" applyAlignment="1">
      <alignment horizontal="left" vertical="top" wrapText="1"/>
    </xf>
    <xf numFmtId="0" fontId="1" fillId="0" borderId="28" xfId="0" applyFont="1" applyBorder="1" applyAlignment="1">
      <alignment horizontal="center" vertical="center"/>
    </xf>
    <xf numFmtId="0" fontId="1" fillId="0" borderId="2" xfId="0" applyFont="1" applyBorder="1" applyAlignment="1">
      <alignment horizontal="center" vertical="center"/>
    </xf>
    <xf numFmtId="0" fontId="1" fillId="0" borderId="0" xfId="0" applyFont="1" applyAlignment="1">
      <alignment vertical="center"/>
    </xf>
    <xf numFmtId="0" fontId="1" fillId="0" borderId="0" xfId="0" applyFont="1" applyAlignment="1">
      <alignment horizontal="left" vertical="center" wrapText="1"/>
    </xf>
    <xf numFmtId="0" fontId="1" fillId="0" borderId="0" xfId="0" applyFont="1" applyAlignment="1">
      <alignment horizontal="center" vertical="center"/>
    </xf>
    <xf numFmtId="0" fontId="1" fillId="0" borderId="0" xfId="0" applyFont="1"/>
    <xf numFmtId="0" fontId="1" fillId="0" borderId="12" xfId="0" applyFont="1" applyBorder="1" applyAlignment="1">
      <alignment horizontal="center" vertical="center"/>
    </xf>
    <xf numFmtId="0" fontId="1" fillId="0" borderId="26" xfId="0" applyFont="1" applyBorder="1" applyAlignment="1">
      <alignment horizontal="center" vertical="center"/>
    </xf>
    <xf numFmtId="0" fontId="1" fillId="0" borderId="26" xfId="0" applyFont="1" applyBorder="1" applyAlignment="1">
      <alignment horizontal="left" vertical="center" wrapText="1"/>
    </xf>
    <xf numFmtId="0" fontId="1" fillId="0" borderId="46" xfId="0" applyFont="1" applyBorder="1" applyAlignment="1">
      <alignment horizontal="center" vertical="center"/>
    </xf>
    <xf numFmtId="0" fontId="1" fillId="0" borderId="2" xfId="0" applyFont="1" applyBorder="1" applyAlignment="1">
      <alignment horizontal="left" vertical="center"/>
    </xf>
    <xf numFmtId="0" fontId="1" fillId="0" borderId="12" xfId="0" applyFont="1" applyBorder="1" applyAlignment="1">
      <alignment horizontal="left" vertical="center" wrapText="1"/>
    </xf>
    <xf numFmtId="0" fontId="1" fillId="0" borderId="32" xfId="0" applyFont="1" applyBorder="1" applyAlignment="1">
      <alignment horizontal="center" vertical="center"/>
    </xf>
    <xf numFmtId="0" fontId="1" fillId="0" borderId="31" xfId="0" applyFont="1" applyBorder="1" applyAlignment="1">
      <alignment horizontal="left" vertical="center" wrapText="1"/>
    </xf>
    <xf numFmtId="0" fontId="1" fillId="0" borderId="47" xfId="0" applyFont="1" applyBorder="1" applyAlignment="1">
      <alignment horizontal="center" vertical="center"/>
    </xf>
    <xf numFmtId="0" fontId="1" fillId="0" borderId="31" xfId="0" applyFont="1" applyBorder="1" applyAlignment="1">
      <alignment horizontal="center" vertical="center"/>
    </xf>
    <xf numFmtId="0" fontId="1" fillId="0" borderId="28" xfId="0" applyFont="1" applyBorder="1" applyAlignment="1">
      <alignment vertical="center" wrapText="1"/>
    </xf>
    <xf numFmtId="14" fontId="1" fillId="0" borderId="2" xfId="0" applyNumberFormat="1" applyFont="1" applyBorder="1" applyAlignment="1">
      <alignment horizontal="left"/>
    </xf>
    <xf numFmtId="14" fontId="1" fillId="0" borderId="0" xfId="0" applyNumberFormat="1" applyFont="1" applyAlignment="1">
      <alignment horizontal="left"/>
    </xf>
    <xf numFmtId="14" fontId="1" fillId="0" borderId="12" xfId="0" applyNumberFormat="1" applyFont="1" applyBorder="1" applyAlignment="1">
      <alignment horizontal="left"/>
    </xf>
    <xf numFmtId="14" fontId="1" fillId="0" borderId="26" xfId="0" applyNumberFormat="1" applyFont="1" applyBorder="1" applyAlignment="1">
      <alignment horizontal="left"/>
    </xf>
  </cellXfs>
  <cellStyles count="2">
    <cellStyle name="Hyperlink" xfId="1" builtinId="8"/>
    <cellStyle name="Normal" xfId="0" builtinId="0"/>
  </cellStyles>
  <dxfs count="102">
    <dxf>
      <fill>
        <patternFill>
          <bgColor theme="0" tint="-0.24994659260841701"/>
        </patternFill>
      </fill>
    </dxf>
    <dxf>
      <fill>
        <patternFill>
          <bgColor rgb="FFFFC000"/>
        </patternFill>
      </fill>
    </dxf>
    <dxf>
      <fill>
        <patternFill>
          <bgColor rgb="FFFF0000"/>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alignment vertical="top"/>
      <border diagonalUp="0" diagonalDown="0">
        <left style="thin">
          <color rgb="FF000000"/>
        </left>
        <right style="thin">
          <color rgb="FF000000"/>
        </right>
        <top style="thin">
          <color rgb="FF000000"/>
        </top>
        <bottom style="thin">
          <color rgb="FF000000"/>
        </bottom>
        <vertical/>
        <horizontal/>
      </border>
    </dxf>
    <dxf>
      <numFmt numFmtId="19" formatCode="m/d/yyyy"/>
      <alignment horizontal="left"/>
      <border diagonalUp="0" diagonalDown="0">
        <left style="thin">
          <color rgb="FF000000"/>
        </left>
        <right style="thin">
          <color rgb="FF000000"/>
        </right>
        <top style="thin">
          <color rgb="FF000000"/>
        </top>
        <bottom style="thin">
          <color rgb="FF000000"/>
        </bottom>
        <vertical/>
        <horizontal/>
      </border>
    </dxf>
    <dxf>
      <numFmt numFmtId="19" formatCode="m/d/yyyy"/>
      <border diagonalUp="0" diagonalDown="0">
        <left style="thin">
          <color rgb="FF000000"/>
        </left>
        <right style="thin">
          <color rgb="FF000000"/>
        </right>
        <top style="thin">
          <color rgb="FF000000"/>
        </top>
        <bottom style="thin">
          <color rgb="FF000000"/>
        </bottom>
        <vertical/>
        <horizontal/>
      </border>
    </dxf>
    <dxf>
      <numFmt numFmtId="19" formatCode="m/d/yyyy"/>
      <border diagonalUp="0" diagonalDown="0">
        <left style="thin">
          <color rgb="FF000000"/>
        </left>
        <right style="thin">
          <color rgb="FF000000"/>
        </right>
        <top style="thin">
          <color rgb="FF000000"/>
        </top>
        <bottom style="thin">
          <color rgb="FF000000"/>
        </bottom>
        <vertical/>
        <horizontal/>
      </border>
    </dxf>
    <dxf>
      <numFmt numFmtId="19" formatCode="m/d/yyyy"/>
      <border diagonalUp="0" diagonalDown="0">
        <left style="thin">
          <color rgb="FF000000"/>
        </left>
        <right style="thin">
          <color rgb="FF000000"/>
        </right>
        <top style="thin">
          <color rgb="FF000000"/>
        </top>
        <bottom style="thin">
          <color rgb="FF000000"/>
        </bottom>
        <vertical/>
        <horizontal/>
      </border>
    </dxf>
    <dxf>
      <numFmt numFmtId="19" formatCode="m/d/yyyy"/>
      <border diagonalUp="0" diagonalDown="0">
        <left style="thin">
          <color rgb="FF000000"/>
        </left>
        <right style="thin">
          <color rgb="FF000000"/>
        </right>
        <top style="thin">
          <color rgb="FF000000"/>
        </top>
        <bottom style="thin">
          <color rgb="FF000000"/>
        </bottom>
        <vertical/>
        <horizontal/>
      </border>
    </dxf>
    <dxf>
      <numFmt numFmtId="19" formatCode="m/d/yyyy"/>
      <border diagonalUp="0" diagonalDown="0">
        <left style="thin">
          <color rgb="FF000000"/>
        </left>
        <right style="thin">
          <color rgb="FF000000"/>
        </right>
        <top style="thin">
          <color rgb="FF000000"/>
        </top>
        <bottom style="thin">
          <color rgb="FF000000"/>
        </bottom>
        <vertical/>
        <horizontal/>
      </border>
    </dxf>
    <dxf>
      <numFmt numFmtId="19" formatCode="m/d/yyyy"/>
      <border diagonalUp="0" diagonalDown="0">
        <left style="thin">
          <color rgb="FF000000"/>
        </left>
        <right style="thin">
          <color rgb="FF000000"/>
        </right>
        <top style="thin">
          <color rgb="FF000000"/>
        </top>
        <bottom style="thin">
          <color rgb="FF000000"/>
        </bottom>
        <vertical/>
        <horizontal/>
      </border>
    </dxf>
    <dxf>
      <numFmt numFmtId="19" formatCode="m/d/yyyy"/>
      <border diagonalUp="0" diagonalDown="0">
        <left style="thin">
          <color rgb="FF000000"/>
        </left>
        <right style="thin">
          <color rgb="FF000000"/>
        </right>
        <top style="thin">
          <color rgb="FF000000"/>
        </top>
        <bottom style="thin">
          <color rgb="FF000000"/>
        </bottom>
        <vertical/>
        <horizontal/>
      </border>
    </dxf>
    <dxf>
      <numFmt numFmtId="19" formatCode="m/d/yyyy"/>
      <border diagonalUp="0" diagonalDown="0">
        <left style="thin">
          <color rgb="FF000000"/>
        </left>
        <right style="thin">
          <color rgb="FF000000"/>
        </right>
        <top style="thin">
          <color rgb="FF000000"/>
        </top>
        <bottom style="thin">
          <color rgb="FF000000"/>
        </bottom>
        <vertical/>
        <horizontal/>
      </border>
    </dxf>
    <dxf>
      <numFmt numFmtId="19" formatCode="m/d/yyyy"/>
      <border diagonalUp="0" diagonalDown="0">
        <left style="thin">
          <color rgb="FF000000"/>
        </left>
        <right style="thin">
          <color rgb="FF000000"/>
        </right>
        <top style="thin">
          <color rgb="FF000000"/>
        </top>
        <bottom style="thin">
          <color rgb="FF000000"/>
        </bottom>
        <vertical/>
        <horizontal/>
      </border>
    </dxf>
    <dxf>
      <numFmt numFmtId="19" formatCode="m/d/yyyy"/>
      <border diagonalUp="0" diagonalDown="0">
        <left style="thin">
          <color rgb="FF000000"/>
        </left>
        <right style="thin">
          <color rgb="FF000000"/>
        </right>
        <top style="thin">
          <color rgb="FF000000"/>
        </top>
        <bottom style="thin">
          <color rgb="FF000000"/>
        </bottom>
        <vertical/>
        <horizontal/>
      </border>
    </dxf>
    <dxf>
      <numFmt numFmtId="19" formatCode="m/d/yyyy"/>
      <border diagonalUp="0" diagonalDown="0">
        <left style="thin">
          <color rgb="FF000000"/>
        </left>
        <right style="thin">
          <color rgb="FF000000"/>
        </right>
        <top style="thin">
          <color rgb="FF000000"/>
        </top>
        <bottom style="thin">
          <color rgb="FF000000"/>
        </bottom>
        <vertical/>
        <horizontal/>
      </border>
    </dxf>
    <dxf>
      <numFmt numFmtId="19" formatCode="m/d/yyyy"/>
      <border diagonalUp="0" diagonalDown="0">
        <left style="thin">
          <color rgb="FF000000"/>
        </left>
        <right style="thin">
          <color rgb="FF000000"/>
        </right>
        <top style="thin">
          <color rgb="FF000000"/>
        </top>
        <bottom style="thin">
          <color rgb="FF000000"/>
        </bottom>
        <vertical/>
        <horizontal/>
      </border>
    </dxf>
    <dxf>
      <numFmt numFmtId="19" formatCode="m/d/yyyy"/>
      <border diagonalUp="0" diagonalDown="0">
        <left style="thin">
          <color rgb="FF000000"/>
        </left>
        <right style="thin">
          <color rgb="FF000000"/>
        </right>
        <top style="thin">
          <color rgb="FF000000"/>
        </top>
        <bottom style="thin">
          <color rgb="FF000000"/>
        </bottom>
        <vertical/>
        <horizontal/>
      </border>
    </dxf>
    <dxf>
      <numFmt numFmtId="19" formatCode="m/d/yyyy"/>
      <border diagonalUp="0" diagonalDown="0">
        <left style="thin">
          <color rgb="FF000000"/>
        </left>
        <right style="thin">
          <color rgb="FF000000"/>
        </right>
        <top style="thin">
          <color rgb="FF000000"/>
        </top>
        <bottom style="thin">
          <color rgb="FF000000"/>
        </bottom>
        <vertical/>
        <horizontal/>
      </border>
    </dxf>
    <dxf>
      <border diagonalUp="0" diagonalDown="0">
        <left style="thin">
          <color rgb="FF000000"/>
        </left>
        <right style="thin">
          <color rgb="FF000000"/>
        </right>
        <top style="thin">
          <color rgb="FF000000"/>
        </top>
        <bottom style="thin">
          <color rgb="FF000000"/>
        </bottom>
        <vertical/>
        <horizontal/>
      </border>
    </dxf>
    <dxf>
      <border diagonalUp="0" diagonalDown="0">
        <left style="thin">
          <color rgb="FF000000"/>
        </left>
        <right style="thin">
          <color rgb="FF000000"/>
        </right>
        <top style="thin">
          <color rgb="FF000000"/>
        </top>
        <bottom style="thin">
          <color rgb="FF000000"/>
        </bottom>
        <vertical/>
        <horizontal/>
      </border>
    </dxf>
    <dxf>
      <border diagonalUp="0" diagonalDown="0">
        <left style="thin">
          <color rgb="FF000000"/>
        </left>
        <right style="thin">
          <color rgb="FF000000"/>
        </right>
        <top style="thin">
          <color rgb="FF000000"/>
        </top>
        <bottom style="thin">
          <color rgb="FF000000"/>
        </bottom>
        <vertical/>
        <horizontal/>
      </border>
    </dxf>
    <dxf>
      <border diagonalUp="0" diagonalDown="0">
        <left style="thin">
          <color rgb="FF000000"/>
        </left>
        <right style="thin">
          <color rgb="FF000000"/>
        </right>
        <top style="thin">
          <color rgb="FF000000"/>
        </top>
        <bottom style="thin">
          <color rgb="FF000000"/>
        </bottom>
        <vertical/>
        <horizontal/>
      </border>
    </dxf>
    <dxf>
      <border diagonalUp="0" diagonalDown="0">
        <left style="thin">
          <color rgb="FF000000"/>
        </left>
        <right style="thin">
          <color rgb="FF000000"/>
        </right>
        <top style="thin">
          <color rgb="FF000000"/>
        </top>
        <bottom style="thin">
          <color rgb="FF000000"/>
        </bottom>
        <vertical/>
        <horizontal/>
      </border>
    </dxf>
    <dxf>
      <border diagonalUp="0" diagonalDown="0">
        <left style="thin">
          <color rgb="FF000000"/>
        </left>
        <right style="thin">
          <color rgb="FF000000"/>
        </right>
        <top style="thin">
          <color rgb="FF000000"/>
        </top>
        <bottom style="thin">
          <color rgb="FF000000"/>
        </bottom>
        <vertical/>
        <horizontal/>
      </border>
    </dxf>
    <dxf>
      <border diagonalUp="0" diagonalDown="0">
        <left style="thin">
          <color rgb="FF000000"/>
        </left>
        <right style="thin">
          <color rgb="FF000000"/>
        </right>
        <top style="thin">
          <color rgb="FF000000"/>
        </top>
        <bottom style="thin">
          <color rgb="FF000000"/>
        </bottom>
        <vertical/>
        <horizontal/>
      </border>
    </dxf>
    <dxf>
      <alignment horizontal="left"/>
      <border diagonalUp="0" diagonalDown="0">
        <left style="thin">
          <color rgb="FF000000"/>
        </left>
        <right style="thin">
          <color rgb="FF000000"/>
        </right>
        <top style="thin">
          <color rgb="FF000000"/>
        </top>
        <bottom style="thin">
          <color rgb="FF000000"/>
        </bottom>
        <vertical/>
        <horizontal/>
      </border>
    </dxf>
    <dxf>
      <border diagonalUp="0" diagonalDown="0">
        <left style="thin">
          <color rgb="FF000000"/>
        </left>
        <right style="thin">
          <color rgb="FF000000"/>
        </right>
        <top style="thin">
          <color rgb="FF000000"/>
        </top>
        <bottom style="thin">
          <color rgb="FF000000"/>
        </bottom>
        <vertical/>
        <horizontal/>
      </border>
    </dxf>
    <dxf>
      <border outline="0">
        <bottom style="thin">
          <color rgb="FF000000"/>
        </bottom>
      </border>
    </dxf>
    <dxf>
      <font>
        <b/>
        <i val="0"/>
        <strike val="0"/>
        <condense val="0"/>
        <extend val="0"/>
        <outline val="0"/>
        <shadow val="0"/>
        <u val="none"/>
        <vertAlign val="baseline"/>
        <sz val="11"/>
        <color theme="1"/>
        <name val="Calibri"/>
        <family val="2"/>
        <scheme val="minor"/>
      </font>
      <numFmt numFmtId="19" formatCode="m/d/yyyy"/>
    </dxf>
    <dxf>
      <fill>
        <patternFill patternType="solid">
          <bgColor theme="9" tint="0.79998168889431442"/>
        </patternFill>
      </fill>
    </dxf>
    <dxf>
      <fill>
        <patternFill patternType="solid">
          <bgColor rgb="FFFF0000"/>
        </patternFill>
      </fill>
    </dxf>
    <dxf>
      <fill>
        <patternFill patternType="solid">
          <bgColor rgb="FFFFC000"/>
        </patternFill>
      </fill>
    </dxf>
    <dxf>
      <fill>
        <patternFill patternType="solid">
          <bgColor rgb="FFFF0000"/>
        </patternFill>
      </fill>
    </dxf>
    <dxf>
      <fill>
        <patternFill patternType="solid">
          <bgColor rgb="FFFF0000"/>
        </patternFill>
      </fill>
    </dxf>
    <dxf>
      <alignment horizontal="left"/>
      <border diagonalUp="0" diagonalDown="0">
        <left style="thin">
          <color rgb="FF000000"/>
        </left>
        <right style="thin">
          <color rgb="FF000000"/>
        </right>
        <top style="thin">
          <color rgb="FF000000"/>
        </top>
        <bottom style="thin">
          <color rgb="FF000000"/>
        </bottom>
        <vertical/>
        <horizontal/>
      </border>
    </dxf>
    <dxf>
      <numFmt numFmtId="19" formatCode="m/d/yyyy"/>
      <alignment horizontal="left"/>
      <border diagonalUp="0" diagonalDown="0">
        <left style="thin">
          <color rgb="FF000000"/>
        </left>
        <right style="thin">
          <color rgb="FF000000"/>
        </right>
        <top style="thin">
          <color rgb="FF000000"/>
        </top>
        <bottom style="thin">
          <color rgb="FF000000"/>
        </bottom>
        <vertical/>
        <horizontal/>
      </border>
    </dxf>
    <dxf>
      <numFmt numFmtId="19" formatCode="m/d/yyyy"/>
      <border diagonalUp="0" diagonalDown="0">
        <left style="thin">
          <color rgb="FF000000"/>
        </left>
        <right style="thin">
          <color rgb="FF000000"/>
        </right>
        <top style="thin">
          <color rgb="FF000000"/>
        </top>
        <bottom style="thin">
          <color rgb="FF000000"/>
        </bottom>
        <vertical/>
        <horizontal/>
      </border>
    </dxf>
    <dxf>
      <numFmt numFmtId="19" formatCode="m/d/yyyy"/>
      <alignment horizontal="left"/>
      <border diagonalUp="0" diagonalDown="0">
        <left style="thin">
          <color rgb="FF000000"/>
        </left>
        <right style="thin">
          <color rgb="FF000000"/>
        </right>
        <top style="thin">
          <color rgb="FF000000"/>
        </top>
        <bottom style="thin">
          <color rgb="FF000000"/>
        </bottom>
        <vertical/>
        <horizontal/>
      </border>
    </dxf>
    <dxf>
      <numFmt numFmtId="19" formatCode="m/d/yyyy"/>
      <alignment horizontal="left"/>
      <border diagonalUp="0" diagonalDown="0">
        <left style="thin">
          <color rgb="FF000000"/>
        </left>
        <right style="thin">
          <color rgb="FF000000"/>
        </right>
        <top style="thin">
          <color rgb="FF000000"/>
        </top>
        <bottom style="thin">
          <color rgb="FF000000"/>
        </bottom>
        <vertical/>
        <horizontal/>
      </border>
    </dxf>
    <dxf>
      <numFmt numFmtId="19" formatCode="m/d/yyyy"/>
      <border diagonalUp="0" diagonalDown="0">
        <left style="thin">
          <color rgb="FF000000"/>
        </left>
        <right style="thin">
          <color rgb="FF000000"/>
        </right>
        <top style="thin">
          <color rgb="FF000000"/>
        </top>
        <bottom style="thin">
          <color rgb="FF000000"/>
        </bottom>
        <vertical/>
        <horizontal/>
      </border>
    </dxf>
    <dxf>
      <numFmt numFmtId="19" formatCode="m/d/yyyy"/>
      <border diagonalUp="0" diagonalDown="0">
        <left style="thin">
          <color rgb="FF000000"/>
        </left>
        <right style="thin">
          <color rgb="FF000000"/>
        </right>
        <top style="thin">
          <color rgb="FF000000"/>
        </top>
        <bottom style="thin">
          <color rgb="FF000000"/>
        </bottom>
        <vertical/>
        <horizontal/>
      </border>
    </dxf>
    <dxf>
      <numFmt numFmtId="19" formatCode="m/d/yyyy"/>
      <border diagonalUp="0" diagonalDown="0">
        <left style="thin">
          <color rgb="FF000000"/>
        </left>
        <right style="thin">
          <color rgb="FF000000"/>
        </right>
        <top style="thin">
          <color rgb="FF000000"/>
        </top>
        <bottom style="thin">
          <color rgb="FF000000"/>
        </bottom>
        <vertical/>
        <horizontal/>
      </border>
    </dxf>
    <dxf>
      <numFmt numFmtId="19" formatCode="m/d/yyyy"/>
      <border diagonalUp="0" diagonalDown="0">
        <left style="thin">
          <color rgb="FF000000"/>
        </left>
        <right style="thin">
          <color rgb="FF000000"/>
        </right>
        <top style="thin">
          <color rgb="FF000000"/>
        </top>
        <bottom style="thin">
          <color rgb="FF000000"/>
        </bottom>
        <vertical/>
        <horizontal/>
      </border>
    </dxf>
    <dxf>
      <numFmt numFmtId="19" formatCode="m/d/yyyy"/>
      <border diagonalUp="0" diagonalDown="0">
        <left style="thin">
          <color rgb="FF000000"/>
        </left>
        <right style="thin">
          <color rgb="FF000000"/>
        </right>
        <top style="thin">
          <color rgb="FF000000"/>
        </top>
        <bottom style="thin">
          <color rgb="FF000000"/>
        </bottom>
        <vertical/>
        <horizontal/>
      </border>
    </dxf>
    <dxf>
      <numFmt numFmtId="19" formatCode="m/d/yyyy"/>
      <border diagonalUp="0" diagonalDown="0">
        <left style="thin">
          <color rgb="FF000000"/>
        </left>
        <right style="thin">
          <color rgb="FF000000"/>
        </right>
        <top style="thin">
          <color rgb="FF000000"/>
        </top>
        <bottom style="thin">
          <color rgb="FF000000"/>
        </bottom>
        <vertical/>
        <horizontal/>
      </border>
    </dxf>
    <dxf>
      <numFmt numFmtId="19" formatCode="m/d/yyyy"/>
      <border diagonalUp="0" diagonalDown="0">
        <left style="thin">
          <color rgb="FF000000"/>
        </left>
        <right style="thin">
          <color rgb="FF000000"/>
        </right>
        <top style="thin">
          <color rgb="FF000000"/>
        </top>
        <bottom style="thin">
          <color rgb="FF000000"/>
        </bottom>
        <vertical/>
        <horizontal/>
      </border>
    </dxf>
    <dxf>
      <numFmt numFmtId="19" formatCode="m/d/yyyy"/>
      <border diagonalUp="0" diagonalDown="0">
        <left style="thin">
          <color rgb="FF000000"/>
        </left>
        <right style="thin">
          <color rgb="FF000000"/>
        </right>
        <top style="thin">
          <color rgb="FF000000"/>
        </top>
        <bottom style="thin">
          <color rgb="FF000000"/>
        </bottom>
        <vertical/>
        <horizontal/>
      </border>
    </dxf>
    <dxf>
      <numFmt numFmtId="19" formatCode="m/d/yyyy"/>
      <border diagonalUp="0" diagonalDown="0">
        <left style="thin">
          <color rgb="FF000000"/>
        </left>
        <right style="thin">
          <color rgb="FF000000"/>
        </right>
        <top style="thin">
          <color rgb="FF000000"/>
        </top>
        <bottom style="thin">
          <color rgb="FF000000"/>
        </bottom>
        <vertical/>
        <horizontal/>
      </border>
    </dxf>
    <dxf>
      <numFmt numFmtId="19" formatCode="m/d/yyyy"/>
      <border diagonalUp="0" diagonalDown="0">
        <left style="thin">
          <color rgb="FF000000"/>
        </left>
        <right style="thin">
          <color rgb="FF000000"/>
        </right>
        <top style="thin">
          <color rgb="FF000000"/>
        </top>
        <bottom style="thin">
          <color rgb="FF000000"/>
        </bottom>
        <vertical/>
        <horizontal/>
      </border>
    </dxf>
    <dxf>
      <numFmt numFmtId="19" formatCode="m/d/yyyy"/>
      <border diagonalUp="0" diagonalDown="0">
        <left style="thin">
          <color rgb="FF000000"/>
        </left>
        <right style="thin">
          <color rgb="FF000000"/>
        </right>
        <top style="thin">
          <color rgb="FF000000"/>
        </top>
        <bottom style="thin">
          <color rgb="FF000000"/>
        </bottom>
        <vertical/>
        <horizontal/>
      </border>
    </dxf>
    <dxf>
      <border diagonalUp="0" diagonalDown="0">
        <left style="thin">
          <color rgb="FF000000"/>
        </left>
        <right style="thin">
          <color rgb="FF000000"/>
        </right>
        <top style="thin">
          <color rgb="FF000000"/>
        </top>
        <bottom style="thin">
          <color rgb="FF000000"/>
        </bottom>
        <vertical/>
        <horizontal/>
      </border>
    </dxf>
    <dxf>
      <border diagonalUp="0" diagonalDown="0">
        <left style="thin">
          <color rgb="FF000000"/>
        </left>
        <right style="thin">
          <color rgb="FF000000"/>
        </right>
        <top style="thin">
          <color rgb="FF000000"/>
        </top>
        <bottom style="thin">
          <color rgb="FF000000"/>
        </bottom>
        <vertical/>
        <horizontal/>
      </border>
    </dxf>
    <dxf>
      <border diagonalUp="0" diagonalDown="0">
        <left style="thin">
          <color rgb="FF000000"/>
        </left>
        <right style="thin">
          <color rgb="FF000000"/>
        </right>
        <top style="thin">
          <color rgb="FF000000"/>
        </top>
        <bottom style="thin">
          <color rgb="FF000000"/>
        </bottom>
        <vertical/>
        <horizontal/>
      </border>
    </dxf>
    <dxf>
      <border diagonalUp="0" diagonalDown="0">
        <left style="thin">
          <color rgb="FF000000"/>
        </left>
        <right style="thin">
          <color rgb="FF000000"/>
        </right>
        <top style="thin">
          <color rgb="FF000000"/>
        </top>
        <bottom style="thin">
          <color rgb="FF000000"/>
        </bottom>
        <vertical/>
        <horizontal/>
      </border>
    </dxf>
    <dxf>
      <border diagonalUp="0" diagonalDown="0">
        <left style="thin">
          <color rgb="FF000000"/>
        </left>
        <right style="thin">
          <color rgb="FF000000"/>
        </right>
        <top style="thin">
          <color rgb="FF000000"/>
        </top>
        <bottom style="thin">
          <color rgb="FF000000"/>
        </bottom>
        <vertical/>
        <horizontal/>
      </border>
    </dxf>
    <dxf>
      <border diagonalUp="0" diagonalDown="0">
        <left style="thin">
          <color rgb="FF000000"/>
        </left>
        <right style="thin">
          <color rgb="FF000000"/>
        </right>
        <top style="thin">
          <color rgb="FF000000"/>
        </top>
        <bottom style="thin">
          <color rgb="FF000000"/>
        </bottom>
        <vertical/>
        <horizontal/>
      </border>
    </dxf>
    <dxf>
      <border diagonalUp="0" diagonalDown="0">
        <left style="thin">
          <color rgb="FF000000"/>
        </left>
        <right style="thin">
          <color rgb="FF000000"/>
        </right>
        <top style="thin">
          <color rgb="FF000000"/>
        </top>
        <bottom style="thin">
          <color rgb="FF000000"/>
        </bottom>
        <vertical/>
        <horizontal/>
      </border>
    </dxf>
    <dxf>
      <alignment horizontal="left"/>
      <border diagonalUp="0" diagonalDown="0">
        <left style="thin">
          <color rgb="FF000000"/>
        </left>
        <right style="thin">
          <color rgb="FF000000"/>
        </right>
        <top style="thin">
          <color rgb="FF000000"/>
        </top>
        <bottom style="thin">
          <color rgb="FF000000"/>
        </bottom>
        <vertical/>
        <horizontal/>
      </border>
    </dxf>
    <dxf>
      <border diagonalUp="0" diagonalDown="0">
        <left style="thin">
          <color rgb="FF000000"/>
        </left>
        <right style="thin">
          <color rgb="FF000000"/>
        </right>
        <top style="thin">
          <color rgb="FF000000"/>
        </top>
        <bottom style="thin">
          <color rgb="FF000000"/>
        </bottom>
        <vertical/>
        <horizontal/>
      </border>
    </dxf>
    <dxf>
      <border outline="0">
        <bottom style="thin">
          <color rgb="FF000000"/>
        </bottom>
      </border>
    </dxf>
    <dxf>
      <font>
        <b/>
        <i val="0"/>
        <strike val="0"/>
        <condense val="0"/>
        <extend val="0"/>
        <outline val="0"/>
        <shadow val="0"/>
        <u val="none"/>
        <vertAlign val="baseline"/>
        <sz val="11"/>
        <color theme="1"/>
        <name val="Calibri"/>
        <family val="2"/>
        <scheme val="minor"/>
      </font>
      <numFmt numFmtId="19" formatCode="m/d/yyyy"/>
    </dxf>
    <dxf>
      <fill>
        <patternFill patternType="solid">
          <bgColor theme="9" tint="0.79998168889431442"/>
        </patternFill>
      </fill>
    </dxf>
    <dxf>
      <fill>
        <patternFill patternType="solid">
          <bgColor rgb="FFFF0000"/>
        </patternFill>
      </fill>
    </dxf>
    <dxf>
      <fill>
        <patternFill patternType="solid">
          <bgColor rgb="FFFFC000"/>
        </patternFill>
      </fill>
    </dxf>
    <dxf>
      <fill>
        <patternFill patternType="solid">
          <bgColor rgb="FFFF0000"/>
        </patternFill>
      </fill>
    </dxf>
    <dxf>
      <fill>
        <patternFill patternType="solid">
          <bgColor rgb="FFFF0000"/>
        </patternFill>
      </fill>
    </dxf>
    <dxf>
      <alignment horizontal="left"/>
      <border diagonalUp="0" diagonalDown="0">
        <left style="thin">
          <color rgb="FF000000"/>
        </left>
        <right style="thin">
          <color rgb="FF000000"/>
        </right>
        <top style="thin">
          <color rgb="FF000000"/>
        </top>
        <bottom style="thin">
          <color rgb="FF000000"/>
        </bottom>
        <vertical/>
        <horizontal/>
      </border>
    </dxf>
    <dxf>
      <numFmt numFmtId="19" formatCode="m/d/yyyy"/>
      <alignment horizontal="left"/>
      <border diagonalUp="0" diagonalDown="0">
        <left style="thin">
          <color rgb="FF000000"/>
        </left>
        <right style="thin">
          <color rgb="FF000000"/>
        </right>
        <top style="thin">
          <color rgb="FF000000"/>
        </top>
        <bottom style="thin">
          <color rgb="FF000000"/>
        </bottom>
        <vertical/>
        <horizontal/>
      </border>
    </dxf>
    <dxf>
      <numFmt numFmtId="19" formatCode="m/d/yyyy"/>
      <border diagonalUp="0" diagonalDown="0">
        <left style="thin">
          <color rgb="FF000000"/>
        </left>
        <right style="thin">
          <color rgb="FF000000"/>
        </right>
        <top style="thin">
          <color rgb="FF000000"/>
        </top>
        <bottom style="thin">
          <color rgb="FF000000"/>
        </bottom>
        <vertical/>
        <horizontal/>
      </border>
    </dxf>
    <dxf>
      <numFmt numFmtId="19" formatCode="m/d/yyyy"/>
      <alignment horizontal="left"/>
      <border diagonalUp="0" diagonalDown="0">
        <left style="thin">
          <color rgb="FF000000"/>
        </left>
        <right style="thin">
          <color rgb="FF000000"/>
        </right>
        <top style="thin">
          <color rgb="FF000000"/>
        </top>
        <bottom style="thin">
          <color rgb="FF000000"/>
        </bottom>
        <vertical/>
        <horizontal/>
      </border>
    </dxf>
    <dxf>
      <numFmt numFmtId="19" formatCode="m/d/yyyy"/>
      <alignment horizontal="left"/>
      <border diagonalUp="0" diagonalDown="0">
        <left style="thin">
          <color rgb="FF000000"/>
        </left>
        <right style="thin">
          <color rgb="FF000000"/>
        </right>
        <top style="thin">
          <color rgb="FF000000"/>
        </top>
        <bottom style="thin">
          <color rgb="FF000000"/>
        </bottom>
        <vertical/>
        <horizontal/>
      </border>
    </dxf>
    <dxf>
      <numFmt numFmtId="19" formatCode="m/d/yyyy"/>
      <border diagonalUp="0" diagonalDown="0">
        <left style="thin">
          <color rgb="FF000000"/>
        </left>
        <right style="thin">
          <color rgb="FF000000"/>
        </right>
        <top style="thin">
          <color rgb="FF000000"/>
        </top>
        <bottom style="thin">
          <color rgb="FF000000"/>
        </bottom>
        <vertical/>
        <horizontal/>
      </border>
    </dxf>
    <dxf>
      <numFmt numFmtId="19" formatCode="m/d/yyyy"/>
      <border diagonalUp="0" diagonalDown="0">
        <left style="thin">
          <color rgb="FF000000"/>
        </left>
        <right style="thin">
          <color rgb="FF000000"/>
        </right>
        <top style="thin">
          <color rgb="FF000000"/>
        </top>
        <bottom style="thin">
          <color rgb="FF000000"/>
        </bottom>
        <vertical/>
        <horizontal/>
      </border>
    </dxf>
    <dxf>
      <numFmt numFmtId="19" formatCode="m/d/yyyy"/>
      <border diagonalUp="0" diagonalDown="0">
        <left style="thin">
          <color rgb="FF000000"/>
        </left>
        <right style="thin">
          <color rgb="FF000000"/>
        </right>
        <top style="thin">
          <color rgb="FF000000"/>
        </top>
        <bottom style="thin">
          <color rgb="FF000000"/>
        </bottom>
        <vertical/>
        <horizontal/>
      </border>
    </dxf>
    <dxf>
      <numFmt numFmtId="19" formatCode="m/d/yyyy"/>
      <border diagonalUp="0" diagonalDown="0">
        <left style="thin">
          <color rgb="FF000000"/>
        </left>
        <right style="thin">
          <color rgb="FF000000"/>
        </right>
        <top style="thin">
          <color rgb="FF000000"/>
        </top>
        <bottom style="thin">
          <color rgb="FF000000"/>
        </bottom>
        <vertical/>
        <horizontal/>
      </border>
    </dxf>
    <dxf>
      <numFmt numFmtId="19" formatCode="m/d/yyyy"/>
      <border diagonalUp="0" diagonalDown="0">
        <left style="thin">
          <color rgb="FF000000"/>
        </left>
        <right style="thin">
          <color rgb="FF000000"/>
        </right>
        <top style="thin">
          <color rgb="FF000000"/>
        </top>
        <bottom style="thin">
          <color rgb="FF000000"/>
        </bottom>
        <vertical/>
        <horizontal/>
      </border>
    </dxf>
    <dxf>
      <numFmt numFmtId="19" formatCode="m/d/yyyy"/>
      <border diagonalUp="0" diagonalDown="0">
        <left style="thin">
          <color rgb="FF000000"/>
        </left>
        <right style="thin">
          <color rgb="FF000000"/>
        </right>
        <top style="thin">
          <color rgb="FF000000"/>
        </top>
        <bottom style="thin">
          <color rgb="FF000000"/>
        </bottom>
        <vertical/>
        <horizontal/>
      </border>
    </dxf>
    <dxf>
      <numFmt numFmtId="19" formatCode="m/d/yyyy"/>
      <border diagonalUp="0" diagonalDown="0">
        <left style="thin">
          <color rgb="FF000000"/>
        </left>
        <right style="thin">
          <color rgb="FF000000"/>
        </right>
        <top style="thin">
          <color rgb="FF000000"/>
        </top>
        <bottom style="thin">
          <color rgb="FF000000"/>
        </bottom>
        <vertical/>
        <horizontal/>
      </border>
    </dxf>
    <dxf>
      <numFmt numFmtId="19" formatCode="m/d/yyyy"/>
      <border diagonalUp="0" diagonalDown="0">
        <left style="thin">
          <color rgb="FF000000"/>
        </left>
        <right style="thin">
          <color rgb="FF000000"/>
        </right>
        <top style="thin">
          <color rgb="FF000000"/>
        </top>
        <bottom style="thin">
          <color rgb="FF000000"/>
        </bottom>
        <vertical/>
        <horizontal/>
      </border>
    </dxf>
    <dxf>
      <numFmt numFmtId="19" formatCode="m/d/yyyy"/>
      <border diagonalUp="0" diagonalDown="0">
        <left style="thin">
          <color rgb="FF000000"/>
        </left>
        <right style="thin">
          <color rgb="FF000000"/>
        </right>
        <top style="thin">
          <color rgb="FF000000"/>
        </top>
        <bottom style="thin">
          <color rgb="FF000000"/>
        </bottom>
        <vertical/>
        <horizontal/>
      </border>
    </dxf>
    <dxf>
      <numFmt numFmtId="19" formatCode="m/d/yyyy"/>
      <border diagonalUp="0" diagonalDown="0">
        <left style="thin">
          <color rgb="FF000000"/>
        </left>
        <right style="thin">
          <color rgb="FF000000"/>
        </right>
        <top style="thin">
          <color rgb="FF000000"/>
        </top>
        <bottom style="thin">
          <color rgb="FF000000"/>
        </bottom>
        <vertical/>
        <horizontal/>
      </border>
    </dxf>
    <dxf>
      <numFmt numFmtId="19" formatCode="m/d/yyyy"/>
      <border diagonalUp="0" diagonalDown="0">
        <left style="thin">
          <color rgb="FF000000"/>
        </left>
        <right style="thin">
          <color rgb="FF000000"/>
        </right>
        <top style="thin">
          <color rgb="FF000000"/>
        </top>
        <bottom style="thin">
          <color rgb="FF000000"/>
        </bottom>
        <vertical/>
        <horizontal/>
      </border>
    </dxf>
    <dxf>
      <border diagonalUp="0" diagonalDown="0">
        <left style="thin">
          <color rgb="FF000000"/>
        </left>
        <right style="thin">
          <color rgb="FF000000"/>
        </right>
        <top style="thin">
          <color rgb="FF000000"/>
        </top>
        <bottom style="thin">
          <color rgb="FF000000"/>
        </bottom>
        <vertical/>
        <horizontal/>
      </border>
    </dxf>
    <dxf>
      <border diagonalUp="0" diagonalDown="0">
        <left style="thin">
          <color rgb="FF000000"/>
        </left>
        <right style="thin">
          <color rgb="FF000000"/>
        </right>
        <top style="thin">
          <color rgb="FF000000"/>
        </top>
        <bottom style="thin">
          <color rgb="FF000000"/>
        </bottom>
        <vertical/>
        <horizontal/>
      </border>
    </dxf>
    <dxf>
      <border diagonalUp="0" diagonalDown="0">
        <left style="thin">
          <color rgb="FF000000"/>
        </left>
        <right style="thin">
          <color rgb="FF000000"/>
        </right>
        <top style="thin">
          <color rgb="FF000000"/>
        </top>
        <bottom style="thin">
          <color rgb="FF000000"/>
        </bottom>
        <vertical/>
        <horizontal/>
      </border>
    </dxf>
    <dxf>
      <border diagonalUp="0" diagonalDown="0">
        <left style="thin">
          <color rgb="FF000000"/>
        </left>
        <right style="thin">
          <color rgb="FF000000"/>
        </right>
        <top style="thin">
          <color rgb="FF000000"/>
        </top>
        <bottom style="thin">
          <color rgb="FF000000"/>
        </bottom>
        <vertical/>
        <horizontal/>
      </border>
    </dxf>
    <dxf>
      <border diagonalUp="0" diagonalDown="0">
        <left style="thin">
          <color rgb="FF000000"/>
        </left>
        <right style="thin">
          <color rgb="FF000000"/>
        </right>
        <top style="thin">
          <color rgb="FF000000"/>
        </top>
        <bottom style="thin">
          <color rgb="FF000000"/>
        </bottom>
        <vertical/>
        <horizontal/>
      </border>
    </dxf>
    <dxf>
      <border diagonalUp="0" diagonalDown="0">
        <left style="thin">
          <color rgb="FF000000"/>
        </left>
        <right style="thin">
          <color rgb="FF000000"/>
        </right>
        <top style="thin">
          <color rgb="FF000000"/>
        </top>
        <bottom style="thin">
          <color rgb="FF000000"/>
        </bottom>
        <vertical/>
        <horizontal/>
      </border>
    </dxf>
    <dxf>
      <border diagonalUp="0" diagonalDown="0">
        <left style="thin">
          <color rgb="FF000000"/>
        </left>
        <right style="thin">
          <color rgb="FF000000"/>
        </right>
        <top style="thin">
          <color rgb="FF000000"/>
        </top>
        <bottom style="thin">
          <color rgb="FF000000"/>
        </bottom>
        <vertical/>
        <horizontal/>
      </border>
    </dxf>
    <dxf>
      <alignment horizontal="left"/>
      <border diagonalUp="0" diagonalDown="0">
        <left style="thin">
          <color rgb="FF000000"/>
        </left>
        <right style="thin">
          <color rgb="FF000000"/>
        </right>
        <top style="thin">
          <color rgb="FF000000"/>
        </top>
        <bottom style="thin">
          <color rgb="FF000000"/>
        </bottom>
        <vertical/>
        <horizontal/>
      </border>
    </dxf>
    <dxf>
      <border diagonalUp="0" diagonalDown="0">
        <left style="thin">
          <color rgb="FF000000"/>
        </left>
        <right style="thin">
          <color rgb="FF000000"/>
        </right>
        <top style="thin">
          <color rgb="FF000000"/>
        </top>
        <bottom style="thin">
          <color rgb="FF000000"/>
        </bottom>
        <vertical/>
        <horizontal/>
      </border>
    </dxf>
    <dxf>
      <border outline="0">
        <bottom style="thin">
          <color rgb="FF000000"/>
        </bottom>
      </border>
    </dxf>
    <dxf>
      <font>
        <b/>
        <i val="0"/>
        <strike val="0"/>
        <condense val="0"/>
        <extend val="0"/>
        <outline val="0"/>
        <shadow val="0"/>
        <u val="none"/>
        <vertAlign val="baseline"/>
        <sz val="11"/>
        <color theme="1"/>
        <name val="Calibri"/>
        <family val="2"/>
        <scheme val="minor"/>
      </font>
      <numFmt numFmtId="19" formatCode="m/d/yyyy"/>
    </dxf>
    <dxf>
      <fill>
        <patternFill patternType="solid">
          <bgColor theme="9" tint="0.79998168889431442"/>
        </patternFill>
      </fill>
    </dxf>
    <dxf>
      <fill>
        <patternFill patternType="solid">
          <bgColor rgb="FFFF0000"/>
        </patternFill>
      </fill>
    </dxf>
    <dxf>
      <fill>
        <patternFill patternType="solid">
          <bgColor rgb="FFFFC000"/>
        </patternFill>
      </fill>
    </dxf>
    <dxf>
      <fill>
        <patternFill patternType="solid">
          <bgColor rgb="FFFF0000"/>
        </patternFill>
      </fill>
    </dxf>
    <dxf>
      <fill>
        <patternFill patternType="solid">
          <bgColor rgb="FFFF0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20" Type="http://schemas.microsoft.com/office/2022/11/relationships/FeaturePropertyBag" Target="featurePropertyBag/featurePropertyBag.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ocumenttasks/documenttask1.xml><?xml version="1.0" encoding="utf-8"?>
<Tasks xmlns="http://schemas.microsoft.com/office/tasks/2019/documenttasks">
  <Task id="{AA80C721-191A-44A2-8CDA-EB508FFDE1E4}">
    <Anchor>
      <Comment id="{0C18B90F-A42C-455B-B534-EA5C36C7752E}"/>
    </Anchor>
    <History>
      <Event time="2025-08-14T19:04:24.44" id="{C234E592-35DC-4BA1-B054-E94A7BDADC01}">
        <Attribution userId="S::katie@s2advisors.com::81a14ccb-2698-429a-80f4-527759aeda94" userName="Katie Choate" userProvider="AD"/>
        <Anchor>
          <Comment id="{0C18B90F-A42C-455B-B534-EA5C36C7752E}"/>
        </Anchor>
        <Create/>
      </Event>
      <Event time="2025-08-14T19:04:24.44" id="{297647A2-3E6C-4F34-B108-333903188589}">
        <Attribution userId="S::katie@s2advisors.com::81a14ccb-2698-429a-80f4-527759aeda94" userName="Katie Choate" userProvider="AD"/>
        <Anchor>
          <Comment id="{0C18B90F-A42C-455B-B534-EA5C36C7752E}"/>
        </Anchor>
        <Assign userId="S::KP@s2advisors.com::a4d42f6e-5668-482a-a44a-0212f6f65275" userName="Kristen Pearcy" userProvider="AD"/>
      </Event>
      <Event time="2025-08-14T19:04:24.44" id="{DB53B6F8-1B46-4B54-91C6-94DD64540B07}">
        <Attribution userId="S::katie@s2advisors.com::81a14ccb-2698-429a-80f4-527759aeda94" userName="Katie Choate" userProvider="AD"/>
        <Anchor>
          <Comment id="{0C18B90F-A42C-455B-B534-EA5C36C7752E}"/>
        </Anchor>
        <SetTitle title="@Kristen Pearcy Do I typically put OpenPO for CL's work?"/>
      </Event>
      <Event time="2025-08-20T15:58:17.36" id="{BAB8ADBF-6262-47E9-AF3C-957A599311B9}">
        <Attribution userId="S::KP@s2advisors.com::a4d42f6e-5668-482a-a44a-0212f6f65275" userName="Kristen Pearcy" userProvider="AD"/>
        <Anchor>
          <Comment id="{BB57A173-C62A-4C32-8708-C7B75A76E976}"/>
        </Anchor>
        <UnassignAll/>
      </Event>
      <Event time="2025-08-20T15:58:17.36" id="{A133B828-D004-4E4C-86BC-AD27A90C807A}">
        <Attribution userId="S::KP@s2advisors.com::a4d42f6e-5668-482a-a44a-0212f6f65275" userName="Kristen Pearcy" userProvider="AD"/>
        <Anchor>
          <Comment id="{BB57A173-C62A-4C32-8708-C7B75A76E976}"/>
        </Anchor>
        <Assign userId="S::katie@s2advisors.com::81a14ccb-2698-429a-80f4-527759aeda94" userName="Katie Choate" userProvider="AD"/>
      </Event>
    </History>
  </Task>
</Tasks>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Excluded 'Complete'" id="{94BB7E5A-054A-467A-A60A-4D9FFAEA996C}"/>
  <namedSheetView name="View1" id="{517AF79B-EA0F-46C6-91E5-99D49C5747CC}"/>
</namedSheetViews>
</file>

<file path=xl/persons/person.xml><?xml version="1.0" encoding="utf-8"?>
<personList xmlns="http://schemas.microsoft.com/office/spreadsheetml/2018/threadedcomments" xmlns:x="http://schemas.openxmlformats.org/spreadsheetml/2006/main">
  <person displayName="Kristen Pearcy" id="{61AE843C-6A63-4579-804E-959434E36B1B}" userId="KP@s2advisors.com" providerId="PeoplePicker"/>
  <person displayName="Bram Wathen" id="{6A28FC4E-F87F-4F10-AB96-908DA16A4317}" userId="Bram@s2advisors.com" providerId="PeoplePicker"/>
  <person displayName="Katie Choate" id="{34C24F73-DE54-43FE-AA94-407F43D39C1B}" userId="Katie@s2advisors.com" providerId="PeoplePicker"/>
  <person displayName="Kristen Pearcy" id="{53BB7822-1D95-446C-8931-DE604FB2C306}" userId="S::kp@s2advisors.com::a4d42f6e-5668-482a-a44a-0212f6f65275" providerId="AD"/>
  <person displayName="Katie Choate" id="{566F6E46-002C-40EE-9587-28EC1B3B109B}" userId="S::katie@s2advisors.com::81a14ccb-2698-429a-80f4-527759aeda94" providerId="AD"/>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6AE5903C-589C-4FF4-BFBF-B38EB35CE526}" name="Table145" displayName="Table145" ref="A1:Y134" totalsRowShown="0" headerRowDxfId="96" tableBorderDxfId="95">
  <autoFilter ref="A1:Y134" xr:uid="{0D31BE67-65A7-4675-A8C3-7B89D09FDDE8}"/>
  <tableColumns count="25">
    <tableColumn id="1" xr3:uid="{18ECD44D-7598-471B-A4E1-FF633A5A0014}" name="NAME" dataDxfId="94"/>
    <tableColumn id="2" xr3:uid="{087C5B6B-74F7-4857-BC91-76AA0AF65618}" name="LOCATION" dataDxfId="93"/>
    <tableColumn id="3" xr3:uid="{FC598448-CEC0-4D8B-B0F4-51CFEA012A3C}" name="A/E" dataDxfId="92"/>
    <tableColumn id="4" xr3:uid="{1CFBA58B-D8FF-40D5-A295-3AE266FC9958}" name="Phase _x000a_(Design or CA)" dataDxfId="91"/>
    <tableColumn id="5" xr3:uid="{62729650-527B-40BB-9206-FDB792E609A8}" name="AE-PM Name" dataDxfId="90"/>
    <tableColumn id="6" xr3:uid="{6C0B7743-9104-4FE5-A65F-CB8A8AF2F455}" name="AE-PM Contact" dataDxfId="89"/>
    <tableColumn id="7" xr3:uid="{6C568AB2-4C70-4B06-A0B1-812F717C788F}" name="S2 PM" dataDxfId="88"/>
    <tableColumn id="8" xr3:uid="{337129D9-FA32-4A10-847F-E1BC63AAE023}" name="Project Status" dataDxfId="87"/>
    <tableColumn id="9" xr3:uid="{57EC1F5C-2C25-4A16-AB54-82B58F5A0129}" name="Floorplans Received " dataDxfId="86"/>
    <tableColumn id="24" xr3:uid="{873F077A-8DF0-450F-9BBA-64E056ACAA98}" name="Floor Plans Needed" dataDxfId="85">
      <calculatedColumnFormula>IFERROR(WORKDAY(Table145[[#This Row],[50% IFR - 
AE]],-15), " ")</calculatedColumnFormula>
    </tableColumn>
    <tableColumn id="10" xr3:uid="{D4CC14B8-B4FF-46E9-8A75-D52E867BE081}" name="50% IFR - Notora" dataDxfId="84"/>
    <tableColumn id="11" xr3:uid="{872AC8EE-F08E-4FD8-9586-DBD71F8C3270}" name="50% IFR - _x000a_AE" dataDxfId="83"/>
    <tableColumn id="12" xr3:uid="{25C7EBCF-5614-41F8-B709-9AE539C8F369}" name="100% IFR - Notora" dataDxfId="82"/>
    <tableColumn id="13" xr3:uid="{6FD777B2-A630-4E40-A6CD-7B1F4660B794}" name="100% IFR - AE" dataDxfId="81"/>
    <tableColumn id="14" xr3:uid="{C5C2973C-EBD6-4228-9D74-82F175DE2728}" name="IFP - Notora" dataDxfId="80"/>
    <tableColumn id="15" xr3:uid="{368BDF0B-4C75-4AD7-842C-16EE618A9B75}" name="IFP - AE" dataDxfId="79"/>
    <tableColumn id="16" xr3:uid="{8F655F4E-1300-456E-9A93-8979D9DEAC23}" name="IFC" dataDxfId="78"/>
    <tableColumn id="17" xr3:uid="{A3510D41-C32E-4C4D-883B-85886B33CFCA}" name="Project Start" dataDxfId="77"/>
    <tableColumn id="18" xr3:uid="{3025BAC7-3864-49E0-8A02-0D7660DB41E5}" name="Submittal" dataDxfId="76"/>
    <tableColumn id="19" xr3:uid="{C1376B20-D9C0-49D5-8A04-CB4C0D3C68A4}" name="Substantial Completion" dataDxfId="75"/>
    <tableColumn id="25" xr3:uid="{642E235C-4F79-4540-A934-75C7DF72BFB5}" name="Issue For Record" dataDxfId="74"/>
    <tableColumn id="20" xr3:uid="{EE69EB20-9834-470B-91D6-6B0D184C3703}" name="Completion" dataDxfId="73"/>
    <tableColumn id="21" xr3:uid="{E6848F47-41DA-4BC2-8C0B-88483ACA9FB2}" name="Commissioning" dataDxfId="72"/>
    <tableColumn id="22" xr3:uid="{8AE25174-90D5-4416-9F0A-4F7AD56C9185}" name="Action Item Needed" dataDxfId="71"/>
    <tableColumn id="23" xr3:uid="{9FFB422E-73D6-4AA6-AA5E-2B04CC50D840}" name="Comments" dataDxfId="70"/>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E69F4BE7-2F76-4E88-A637-F4FE31C49D1B}" name="Table14" displayName="Table14" ref="A1:Y134" totalsRowShown="0" headerRowDxfId="64" tableBorderDxfId="63">
  <autoFilter ref="A1:Y134" xr:uid="{0D31BE67-65A7-4675-A8C3-7B89D09FDDE8}"/>
  <tableColumns count="25">
    <tableColumn id="1" xr3:uid="{8C602677-5EBD-4D7B-8110-2DA573092959}" name="NAME" dataDxfId="62"/>
    <tableColumn id="2" xr3:uid="{192DB7CA-84FE-41FE-A9E6-B94A7E376FB4}" name="LOCATION" dataDxfId="61"/>
    <tableColumn id="3" xr3:uid="{992ED9E3-9F2E-4763-AEE9-C4D255063B87}" name="A/E" dataDxfId="60"/>
    <tableColumn id="4" xr3:uid="{905206A9-E078-4DDD-AB07-40207820A25D}" name="Phase _x000a_(Design or CA)" dataDxfId="59"/>
    <tableColumn id="5" xr3:uid="{23D21ED6-8871-4F27-8103-D74525507D6D}" name="AE-PM Name" dataDxfId="58"/>
    <tableColumn id="6" xr3:uid="{5E152E5E-A75D-4253-A333-F27D6065BCFC}" name="AE-PM Contact" dataDxfId="57"/>
    <tableColumn id="7" xr3:uid="{94E347F9-52EE-431D-ACB3-A6615F6022D0}" name="S2 PM" dataDxfId="56"/>
    <tableColumn id="8" xr3:uid="{D3172A04-3D48-422A-855E-4B605565201E}" name="Project Status" dataDxfId="55"/>
    <tableColumn id="9" xr3:uid="{2F7FC709-B91A-49DF-8CB9-D848FF6A2E2F}" name="Floorplans Received " dataDxfId="54"/>
    <tableColumn id="24" xr3:uid="{344C8702-8D2B-4961-9386-D61B6198EA06}" name="Floor Plans Needed" dataDxfId="53">
      <calculatedColumnFormula>IFERROR(WORKDAY(Table14[[#This Row],[50% IFR - 
AE]],-15), " ")</calculatedColumnFormula>
    </tableColumn>
    <tableColumn id="10" xr3:uid="{DF212F81-1356-4398-909D-37E207252ABE}" name="50% IFR - Notora" dataDxfId="52"/>
    <tableColumn id="11" xr3:uid="{DEC67115-53A0-4FEE-99C8-00A96BDA5781}" name="50% IFR - _x000a_AE" dataDxfId="51"/>
    <tableColumn id="12" xr3:uid="{3EB729F9-99C3-48E8-9CE8-32D9ABF0EE00}" name="100% IFR - Notora" dataDxfId="50"/>
    <tableColumn id="13" xr3:uid="{7FFC0AC3-539A-4B56-B46C-561E6FBF6083}" name="100% IFR - AE" dataDxfId="49"/>
    <tableColumn id="14" xr3:uid="{6A8C43BA-17C6-4552-A6BB-4281A1EF5936}" name="IFP - Notora" dataDxfId="48"/>
    <tableColumn id="15" xr3:uid="{D9D50382-11FB-4614-940B-8C77E017FDA2}" name="IFP - AE" dataDxfId="47"/>
    <tableColumn id="16" xr3:uid="{8C944F84-B279-45C7-BC79-2B281E1B8649}" name="IFC" dataDxfId="46"/>
    <tableColumn id="17" xr3:uid="{ED3033A0-4B50-413C-98C4-942F5C67E12C}" name="Project Start" dataDxfId="45"/>
    <tableColumn id="18" xr3:uid="{8AECD123-1158-4E46-B808-4643D57A9EF2}" name="Submittal" dataDxfId="44"/>
    <tableColumn id="19" xr3:uid="{B238F70F-1338-4A64-A5B4-072762C5C084}" name="Substantial Completion" dataDxfId="43"/>
    <tableColumn id="25" xr3:uid="{037C6991-B7EE-48E4-A670-DBB573D96F81}" name="Issue For Record" dataDxfId="42"/>
    <tableColumn id="20" xr3:uid="{F16CF22D-FCBC-4DF3-9D6A-29BEE77CC7DC}" name="Completion" dataDxfId="41"/>
    <tableColumn id="21" xr3:uid="{72E70C5E-06ED-424D-965C-0CD5E002B7A6}" name="Commissioning" dataDxfId="40"/>
    <tableColumn id="22" xr3:uid="{DFEEC77E-7F1E-41D8-A6F3-883E07733D2E}" name="Action Item Needed" dataDxfId="39"/>
    <tableColumn id="23" xr3:uid="{40F579F5-653E-468B-B086-C2D266AA303D}" name="Comments" dataDxfId="38"/>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D31BE67-65A7-4675-A8C3-7B89D09FDDE8}" name="Table1" displayName="Table1" ref="A1:Y186" totalsRowShown="0" headerRowDxfId="32" tableBorderDxfId="31">
  <autoFilter ref="A1:Y186" xr:uid="{0D31BE67-65A7-4675-A8C3-7B89D09FDDE8}"/>
  <tableColumns count="25">
    <tableColumn id="1" xr3:uid="{F5A25F7A-07EC-4C86-825D-1F0CD879E14B}" name="NAME" dataDxfId="30"/>
    <tableColumn id="2" xr3:uid="{29B55D0E-878D-45DA-923C-AD50AFB1903C}" name="LOCATION" dataDxfId="29"/>
    <tableColumn id="3" xr3:uid="{BE4E94F2-731B-44FB-B678-F188B3966522}" name="A/E" dataDxfId="28"/>
    <tableColumn id="4" xr3:uid="{2294D0FF-E590-4E05-B115-760C315369D5}" name="Phase _x000a_(Design or CA)" dataDxfId="27"/>
    <tableColumn id="5" xr3:uid="{1D01EAEC-92A3-48A1-9665-FBF77C477523}" name="AE-PM Name" dataDxfId="26"/>
    <tableColumn id="6" xr3:uid="{0BB8022E-7AA7-490F-A672-933049C21A0D}" name="AE-PM Contact" dataDxfId="25"/>
    <tableColumn id="7" xr3:uid="{8EF3DF8D-62D2-4409-8FAB-87DA8FD7FA07}" name="S2 PM" dataDxfId="24"/>
    <tableColumn id="8" xr3:uid="{EF083F4C-BC7A-4939-9875-54F8993708D0}" name="Project Status" dataDxfId="23"/>
    <tableColumn id="9" xr3:uid="{540DE9D9-D953-4F2E-95AE-BBC6485A6784}" name="Floorplans Received " dataDxfId="22"/>
    <tableColumn id="24" xr3:uid="{B837B802-D138-447C-98F3-6068E33B8728}" name="Floor Plans Needed" dataDxfId="21">
      <calculatedColumnFormula>IFERROR(WORKDAY(Table1[[#This Row],[50% IFR - 
AE]],-15), " ")</calculatedColumnFormula>
    </tableColumn>
    <tableColumn id="10" xr3:uid="{FBF779A5-11AE-4B79-BAC1-AC04A3AF91B2}" name="50% IFR - Notora" dataDxfId="20"/>
    <tableColumn id="11" xr3:uid="{2A2AD0B0-BD12-49BB-BA59-384B6191E34F}" name="50% IFR - _x000a_AE" dataDxfId="19"/>
    <tableColumn id="12" xr3:uid="{06C8D954-7F6B-4BA2-9250-9CD0D6A74017}" name="100% IFR - Notora" dataDxfId="18"/>
    <tableColumn id="13" xr3:uid="{4D0C4A35-900B-4E6A-933A-DCE146D97F63}" name="100% IFR - AE" dataDxfId="17"/>
    <tableColumn id="14" xr3:uid="{4F39F948-B69F-4C40-99B9-E2858AE2D87C}" name="IFP - Notora" dataDxfId="16"/>
    <tableColumn id="15" xr3:uid="{E76CB091-CC0C-4A19-92EA-E7A649D75CFE}" name="IFP - AE" dataDxfId="15"/>
    <tableColumn id="16" xr3:uid="{DEA15930-099D-4820-89DE-E7CB8AC51FB2}" name="IFC" dataDxfId="14"/>
    <tableColumn id="17" xr3:uid="{8BC12F0B-576F-4144-B978-FD29727118BF}" name="Project Start" dataDxfId="13"/>
    <tableColumn id="18" xr3:uid="{AD4737F1-2434-41A9-8820-0EB1B681B286}" name="Submittal" dataDxfId="12"/>
    <tableColumn id="19" xr3:uid="{C171EDBF-FF32-4596-B207-DBE9F6BE886F}" name="Substantial Completion" dataDxfId="11"/>
    <tableColumn id="25" xr3:uid="{CDF36D7C-96B9-43C6-8C33-00005A7B4E6B}" name="Issue For Record" dataDxfId="10"/>
    <tableColumn id="20" xr3:uid="{AEE84DEF-DFA0-4DFA-887B-64043EFF6199}" name="Completion" dataDxfId="9"/>
    <tableColumn id="21" xr3:uid="{4AC2BBA4-D060-4DD7-81EB-44804464BBE2}" name="Commissioning" dataDxfId="8"/>
    <tableColumn id="22" xr3:uid="{DAAFF3C9-5BD1-4D95-8A67-23E63DB7645C}" name="Action Item Needed" dataDxfId="7"/>
    <tableColumn id="23" xr3:uid="{FB619292-7A6F-443F-B4C2-054C2F8940FC}" name="Comments" dataDxfId="6"/>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E23" dT="2023-05-25T13:47:17.67" personId="{53BB7822-1D95-446C-8931-DE604FB2C306}" id="{EBEAEB26-2C19-4ECC-9793-5188E170670E}">
    <text>FYI... per emails in March, I think Brandi Sauter took over as PM.</text>
  </threadedComment>
</ThreadedComments>
</file>

<file path=xl/threadedComments/threadedComment2.xml><?xml version="1.0" encoding="utf-8"?>
<ThreadedComments xmlns="http://schemas.microsoft.com/office/spreadsheetml/2018/threadedcomments" xmlns:x="http://schemas.openxmlformats.org/spreadsheetml/2006/main">
  <threadedComment ref="E23" dT="2023-05-25T13:47:17.67" personId="{53BB7822-1D95-446C-8931-DE604FB2C306}" id="{017742FC-1889-4946-BAC4-EFD4F5F36138}">
    <text>FYI... per emails in March, I think Brandi Sauter took over as PM.</text>
  </threadedComment>
</ThreadedComments>
</file>

<file path=xl/threadedComments/threadedComment3.xml><?xml version="1.0" encoding="utf-8"?>
<ThreadedComments xmlns="http://schemas.microsoft.com/office/spreadsheetml/2018/threadedcomments" xmlns:x="http://schemas.openxmlformats.org/spreadsheetml/2006/main">
  <threadedComment ref="A6" dT="2024-12-06T17:41:33.50" personId="{53BB7822-1D95-446C-8931-DE604FB2C306}" id="{57BB29FA-21EA-429D-93E6-6DF4E17A4BA3}" done="1">
    <text>see emailed NTP from Hector 12/6.
Per Bram 12/6 this is still in proposal stage (?).</text>
  </threadedComment>
  <threadedComment ref="A10" dT="2024-11-11T23:12:09.87" personId="{53BB7822-1D95-446C-8931-DE604FB2C306}" id="{ED40ACBB-3EFD-4E77-87F4-8DAABA44821F}" done="1">
    <text>11/18: NTP from A/E and NT po received/sent</text>
  </threadedComment>
  <threadedComment ref="A14" dT="2024-11-07T20:20:32.37" personId="{53BB7822-1D95-446C-8931-DE604FB2C306}" id="{8254C5E3-AB84-4901-90C5-BBC767F46FC9}">
    <text>11/7: AVC43 Boydton Area ISP changes requested - need to confirm how to reflect dates on tracker.
12/6: AVC43DRB07 agreement signed with A/E.  need to confirm how to reflect this in tracker</text>
  </threadedComment>
  <threadedComment ref="N15" dT="2025-04-22T15:40:44.24" personId="{53BB7822-1D95-446C-8931-DE604FB2C306}" id="{438B7309-11F1-44FB-90BF-4092B35AB686}">
    <text>updated from 4/21 to 4/25</text>
  </threadedComment>
  <threadedComment ref="A16" dT="2024-11-07T20:17:35.44" personId="{53BB7822-1D95-446C-8931-DE604FB2C306}" id="{7549B053-E90B-4F3A-895D-4C1F4849A49E}">
    <text xml:space="preserve">added 11/7 - Boydton Area ISP changes coming. </text>
  </threadedComment>
  <threadedComment ref="A17" dT="2025-04-21T16:02:41.19" personId="{53BB7822-1D95-446C-8931-DE604FB2C306}" id="{4407EE12-846F-4C86-9860-70312ED890A2}">
    <text>Added 4/21/25 and PO sent to CL</text>
  </threadedComment>
  <threadedComment ref="A17" dT="2025-04-22T15:23:50.07" personId="{53BB7822-1D95-446C-8931-DE604FB2C306}" id="{4CE04D29-6F3F-4A5B-BDB5-2D4B757CE08A}" parentId="{4407EE12-846F-4C86-9860-70312ED890A2}">
    <text>Design revisions to be billed to MS PO 101207897</text>
  </threadedComment>
  <threadedComment ref="A20" dT="2025-05-12T16:33:28.03" personId="{53BB7822-1D95-446C-8931-DE604FB2C306}" id="{E3398B03-AC13-41FC-AFA5-8BCD949EA4CA}">
    <text xml:space="preserve">PSDAS Code update - </text>
  </threadedComment>
  <threadedComment ref="Q20" dT="2025-05-29T14:15:26.45" personId="{53BB7822-1D95-446C-8931-DE604FB2C306}" id="{88861234-F35E-4D39-B8D0-99718C58C6F2}">
    <text> DRB 06 IFC (PSDAS Code Update)</text>
  </threadedComment>
  <threadedComment ref="A21" dT="2025-04-15T15:28:38.68" personId="{53BB7822-1D95-446C-8931-DE604FB2C306}" id="{F1596307-5D4F-4A0A-B80A-BFCEF516B801}">
    <text>4/15/25 -   IFC put on hold. Project being descoped.  Date TBD</text>
  </threadedComment>
  <threadedComment ref="M21" dT="2024-08-23T17:55:57.50" personId="{53BB7822-1D95-446C-8931-DE604FB2C306}" id="{0237376A-B9C5-46B9-9B7F-E2AC0A7FC606}">
    <text>was due 8/28.  NT delivered 8/23.</text>
  </threadedComment>
  <threadedComment ref="A27" dT="2025-03-06T18:04:48.80" personId="{53BB7822-1D95-446C-8931-DE604FB2C306}" id="{0C8827DE-9528-44DF-977C-1FF7BCDBA796}">
    <text>project cancelled March 2025</text>
  </threadedComment>
  <threadedComment ref="A29" dT="2024-12-19T15:25:31.64" personId="{53BB7822-1D95-446C-8931-DE604FB2C306}" id="{60D0F648-C96F-4C44-A9D7-F0EF24ADC419}">
    <text>12/19 - waiting on contract from A/E</text>
  </threadedComment>
  <threadedComment ref="A29" dT="2025-01-16T19:41:10.97" personId="{53BB7822-1D95-446C-8931-DE604FB2C306}" id="{1928119D-F5E4-4E3A-87C0-24AC6541DD8E}" parentId="{60D0F648-C96F-4C44-A9D7-F0EF24ADC419}">
    <text>All contracts in place</text>
  </threadedComment>
  <threadedComment ref="A29" dT="2025-03-06T18:05:24.41" personId="{53BB7822-1D95-446C-8931-DE604FB2C306}" id="{B9447883-2830-4B44-9C1D-7DEE4AC4B525}" parentId="{60D0F648-C96F-4C44-A9D7-F0EF24ADC419}">
    <text>Project cancelled March 2025</text>
  </threadedComment>
  <threadedComment ref="A31" dT="2025-03-06T18:05:13.07" personId="{53BB7822-1D95-446C-8931-DE604FB2C306}" id="{D994EA7F-0FEC-4C4C-8214-6CC490DA12CA}">
    <text>project cancelled March 2025</text>
  </threadedComment>
  <threadedComment ref="L33" dT="2024-09-24T15:49:14.18" personId="{53BB7822-1D95-446C-8931-DE604FB2C306}" id="{9C259C21-289E-4FD9-AC3B-0819D4CC8D90}">
    <text>09/24: BW to follow up with Deens to confirm date.</text>
  </threadedComment>
  <threadedComment ref="U38" dT="2025-04-24T23:26:02.39" personId="{53BB7822-1D95-446C-8931-DE604FB2C306}" id="{413DF0AF-F7ED-4288-ABF5-A9D4A1A8045C}">
    <text xml:space="preserve">first round delivered 9/10/24 - per email from Kristin McCue 4/23 - targeting to have redline drawings available by 5/8 and final Issue for Record drawing sets delivered by end of May </text>
  </threadedComment>
  <threadedComment ref="U38" dT="2025-05-06T16:29:28.76" personId="{53BB7822-1D95-446C-8931-DE604FB2C306}" id="{027BC290-4E66-4CA5-AC93-F2A9FA1C5299}" parentId="{413DF0AF-F7ED-4288-ABF5-A9D4A1A8045C}">
    <text>Per Brandon Gilyard, redlines ETA by 5/9/25</text>
  </threadedComment>
  <threadedComment ref="E41" dT="2023-05-25T13:47:17.67" personId="{53BB7822-1D95-446C-8931-DE604FB2C306}" id="{6B86ED3F-4E61-42BC-9009-A714D566C9BA}">
    <text>FYI... per emails in March, I think Brandi Sauter took over as PM.</text>
  </threadedComment>
  <threadedComment ref="A50" dT="2025-04-23T15:16:56.84" personId="{53BB7822-1D95-446C-8931-DE604FB2C306}" id="{6FDDB6D4-ABD3-446F-931D-8159D31CB49D}">
    <text>Redesign to Fremont Design kick off meeting 5/19 - proposal requested from CL</text>
  </threadedComment>
  <threadedComment ref="I50" dT="2025-05-02T15:56:48.27" personId="{53BB7822-1D95-446C-8931-DE604FB2C306}" id="{DEBD2EEC-3C25-495B-A1F7-F49C01C790F3}">
    <text>Kick Off Meeting 5/19</text>
  </threadedComment>
  <threadedComment ref="A52" dT="2025-04-29T19:55:33.48" personId="{53BB7822-1D95-446C-8931-DE604FB2C306}" id="{3FF2F593-8598-4F43-8148-6503A2EE5A53}">
    <text>Move PS Antenna - bill to CA</text>
  </threadedComment>
  <threadedComment ref="A68" dT="2024-11-07T20:17:35.44" personId="{53BB7822-1D95-446C-8931-DE604FB2C306}" id="{39E4BD3F-577E-469F-938B-55B77DD9BBF9}">
    <text>on project tracker/shared folders as LVL06DRB06</text>
  </threadedComment>
  <threadedComment ref="U69" dT="2025-04-17T18:18:20.41" personId="{53BB7822-1D95-446C-8931-DE604FB2C306}" id="{35247391-F2EB-4485-8A7B-D907C7E0BE77}">
    <text>LVL04/05 - see email from Mira 4/17 with requirements.</text>
  </threadedComment>
  <threadedComment ref="A73" dT="2025-08-07T18:02:07.54" personId="{53BB7822-1D95-446C-8931-DE604FB2C306}" id="{727F5189-0ADB-4818-85D5-CB872CDEF866}">
    <text>Kick off meeting 8/12/25</text>
  </threadedComment>
  <threadedComment ref="A74" dT="2024-11-07T20:17:35.44" personId="{53BB7822-1D95-446C-8931-DE604FB2C306}" id="{4A51118B-86A7-4568-A77E-8BABE8AC3A91}">
    <text>on project tracker/shared drive as LVL11DRB04</text>
  </threadedComment>
  <threadedComment ref="A78" dT="2025-03-24T16:43:27.30" personId="{53BB7822-1D95-446C-8931-DE604FB2C306}" id="{A08BE3D8-9626-40BB-A608-2AE1F46A9827}">
    <text>LVL11 to be updated to match LVL08 update to Ericsson unit. - no billing expected from Centerline side</text>
  </threadedComment>
  <threadedComment ref="A79" dT="2024-12-19T15:16:25.06" personId="{53BB7822-1D95-446C-8931-DE604FB2C306}" id="{B9D5C2AA-93B6-41CA-90B3-54D577A6BBBA}">
    <text>1/7/25 - budget remaining on original LVL12-14 Design contract. Use that to cover revisions.</text>
  </threadedComment>
  <threadedComment ref="A79" dT="2025-02-18T16:21:10.08" personId="{53BB7822-1D95-446C-8931-DE604FB2C306}" id="{A40ED92C-408C-4DD7-A93E-50C34A402C93}" parentId="{B9D5C2AA-93B6-41CA-90B3-54D577A6BBBA}">
    <text>A/E canceled IFP for 2/19.  On hold pending scope revisions from MSFT.</text>
  </threadedComment>
  <threadedComment ref="A79" dT="2025-02-27T11:51:30.25" personId="{53BB7822-1D95-446C-8931-DE604FB2C306}" id="{6830A019-8FE4-4877-B151-240DB34BEEBC}" parentId="{B9D5C2AA-93B6-41CA-90B3-54D577A6BBBA}">
    <text>A/E confirmed IFP still on hold.</text>
  </threadedComment>
  <threadedComment ref="A79" dT="2025-04-18T17:12:23.47" personId="{53BB7822-1D95-446C-8931-DE604FB2C306}" id="{7B9CD512-C09F-4410-88CF-87571EDD74D0}" parentId="{B9D5C2AA-93B6-41CA-90B3-54D577A6BBBA}">
    <text>Email from Mira Lammers advising IFC date 4/28/25 noon.</text>
  </threadedComment>
  <threadedComment ref="A90" dT="2025-04-08T14:39:55.65" personId="{53BB7822-1D95-446C-8931-DE604FB2C306}" id="{01A08598-483D-4593-8B09-7284F946FAAC}">
    <text>HS requested update on redline drawing due date from A/E 4/7.</text>
  </threadedComment>
  <threadedComment ref="U90" dT="2025-05-06T16:59:35.63" personId="{53BB7822-1D95-446C-8931-DE604FB2C306}" id="{B8218A53-9420-4AE7-820A-2C82F6037709}">
    <text xml:space="preserve">Brandon Gilyard - email 5/6 approval to work ahead on record set drawings.  </text>
  </threadedComment>
  <threadedComment ref="Q96" dT="2025-05-28T14:06:02.64" personId="{53BB7822-1D95-446C-8931-DE604FB2C306}" id="{7E7E74B3-4495-4846-A21E-411DE3E8B38F}">
    <text>Per A/E, Andrea Frasier-Sanchez:  schedule will be advised.</text>
  </threadedComment>
  <threadedComment ref="U96" dT="2025-05-28T14:06:02.64" personId="{53BB7822-1D95-446C-8931-DE604FB2C306}" id="{A83BAD5F-972C-44C2-B85B-FF7D36ED6C46}">
    <text>Per A/E, Andrea Frasier-Sanchez:  schedule will be advised.</text>
  </threadedComment>
  <threadedComment ref="K98" dT="2025-04-28T19:21:34.30" personId="{53BB7822-1D95-446C-8931-DE604FB2C306}" id="{CC2F7D21-457C-4F29-BD94-685FE00ED97B}">
    <text>BW reached out to Michael Dale at Jacobs requesting updated floor plans.</text>
  </threadedComment>
  <threadedComment ref="A107" dT="2024-07-11T15:38:28.12" personId="{53BB7822-1D95-446C-8931-DE604FB2C306}" id="{EA2593A5-7EBC-47C3-842F-74CE09EE115A}">
    <text>Phase 2 - need to design remaining COLOS</text>
  </threadedComment>
  <threadedComment ref="N107" dT="2024-07-15T17:04:23.06" personId="{53BB7822-1D95-446C-8931-DE604FB2C306}" id="{52DEC792-8890-4744-9D28-AF5B5D4AE32F}">
    <text>90% per HS email</text>
  </threadedComment>
  <threadedComment ref="U107" dT="2025-01-17T00:24:28.19" personId="{53BB7822-1D95-446C-8931-DE604FB2C306}" id="{7634E280-BFF6-4693-AC60-FC5E93C09197}">
    <text>1/16/25:  S2A will not issue until commissioning has been completed. BW communicated this to Fernando.</text>
  </threadedComment>
  <threadedComment ref="U107" dT="2025-01-29T16:07:04.10" personId="{53BB7822-1D95-446C-8931-DE604FB2C306}" id="{0B8B4622-CA8E-407F-816D-06E6ADD33184}" parentId="{7634E280-BFF6-4693-AC60-FC5E93C09197}">
    <text>01/29/25:  Date pushed out to a week.  Due to end client 2/7.</text>
  </threadedComment>
  <threadedComment ref="U107" dT="2025-06-18T20:33:28.56" personId="{53BB7822-1D95-446C-8931-DE604FB2C306}" id="{00BC23DF-4B2A-41B1-8135-4ACC5BB4BBC5}" parentId="{7634E280-BFF6-4693-AC60-FC5E93C09197}">
    <text>Email thread - Bram requesting details on Record Set needs</text>
  </threadedComment>
  <threadedComment ref="O108" dT="2024-10-03T17:12:27.20" personId="{53BB7822-1D95-446C-8931-DE604FB2C306}" id="{276656CF-6607-4A4F-A56A-99084A173A9C}">
    <text>@Bram Wathen  - Hi Bram, this cell was blank.  I plugged in the Friday before the A/E due date.  (3 days would have been a Sunday).    Let me know if any concerns.  Thanks! KP</text>
    <mentions>
      <mention mentionpersonId="{6A28FC4E-F87F-4F10-AB96-908DA16A4317}" mentionId="{EF40420E-7712-4B3B-B5D0-6C0D843187FB}" startIndex="0" length="12"/>
    </mentions>
  </threadedComment>
  <threadedComment ref="K109" dT="2024-09-27T15:43:26.24" personId="{53BB7822-1D95-446C-8931-DE604FB2C306}" id="{5274464F-57E5-45D2-BC79-93F752D1F1B1}">
    <text>per 09/26 call: shooting for 10/3/24 delivery</text>
  </threadedComment>
  <threadedComment ref="A114" dT="2024-12-10T17:30:44.64" personId="{53BB7822-1D95-446C-8931-DE604FB2C306}" id="{DD97663C-E75B-4E7B-A3C6-C9402951F526}">
    <text>12/10/24: Estimated online October 2025.</text>
  </threadedComment>
  <threadedComment ref="Q116" dT="2024-11-08T16:47:05.07" personId="{53BB7822-1D95-446C-8931-DE604FB2C306}" id="{257C2166-C174-405A-AE07-44BF79A96511}">
    <text xml:space="preserve">12/17/24: BW confirmed target 1/9/25.
12/13/24: A McClung Email - fogot to loop in S2A on IFC pkg and requesting call to discuss deliverable date </text>
  </threadedComment>
  <threadedComment ref="A117" dT="2024-12-20T17:22:40.08" personId="{53BB7822-1D95-446C-8931-DE604FB2C306}" id="{BBB51B6C-257F-457A-8BF0-5331505E1107}">
    <text>12/20: A/E advised project likely not to proceed to IFC stage . To be redesigned to 2 store Fremont design.</text>
  </threadedComment>
  <threadedComment ref="O121" dT="2024-09-27T15:53:10.65" personId="{53BB7822-1D95-446C-8931-DE604FB2C306}" id="{05E5BEFF-6EBB-4E0E-902C-DE12357552E6}" done="1">
    <text>@Bram Wathen Hi Bram, sorry but my notes from yesterday's call are not clear on what delivery date NT is working towards for the SJC04 IFP.   I put 10/1 in as place holder but did they commit to something sooner?   Thanks for confirming.</text>
    <mentions>
      <mention mentionpersonId="{6A28FC4E-F87F-4F10-AB96-908DA16A4317}" mentionId="{FCDCA969-97D5-487E-9E40-D16140E09ABD}" startIndex="0" length="12"/>
    </mentions>
  </threadedComment>
  <threadedComment ref="O121" dT="2024-09-27T17:12:58.75" personId="{53BB7822-1D95-446C-8931-DE604FB2C306}" id="{8E1B9E36-EC08-40DE-9179-0EC16D48E3ED}" parentId="{05E5BEFF-6EBB-4E0E-902C-DE12357552E6}">
    <text>Bram confirmed Stephen to delivery 10/2</text>
  </threadedComment>
  <threadedComment ref="Q131" dT="2025-05-29T13:33:08.12" personId="{53BB7822-1D95-446C-8931-DE604FB2C306}" id="{84B6D307-AD81-422E-8C73-69839CAEAC57}">
    <text>DRB09 - IFC submission date TBD.  A/E target to have MS SME input by 6/6.  Probably earliest will be mid June.</text>
  </threadedComment>
  <threadedComment ref="Q133" dT="2025-05-06T21:15:59.31" personId="{53BB7822-1D95-446C-8931-DE604FB2C306}" id="{91053BBF-9C59-41F9-B23B-6DD67FD174C4}">
    <text>IFC date for A/E was 5/1.  Bram has been in communication</text>
  </threadedComment>
</ThreadedComments>
</file>

<file path=xl/threadedComments/threadedComment4.xml><?xml version="1.0" encoding="utf-8"?>
<ThreadedComments xmlns="http://schemas.microsoft.com/office/spreadsheetml/2018/threadedcomments" xmlns:x="http://schemas.openxmlformats.org/spreadsheetml/2006/main">
  <threadedComment ref="I23" dT="2025-08-14T19:04:24.64" personId="{566F6E46-002C-40EE-9587-28EC1B3B109B}" id="{0C18B90F-A42C-455B-B534-EA5C36C7752E}">
    <text>@Kristen Pearcy Do I typically put OpenPO for CL's work?</text>
    <mentions>
      <mention mentionpersonId="{61AE843C-6A63-4579-804E-959434E36B1B}" mentionId="{E90BCAEC-06EB-40AB-8CEF-8D0D02FB1A54}" startIndex="0" length="15"/>
    </mentions>
  </threadedComment>
  <threadedComment ref="I23" dT="2025-08-14T22:14:30.89" personId="{53BB7822-1D95-446C-8931-DE604FB2C306}" id="{500C3F34-3881-40D9-ABC9-274722A2D9C7}" parentId="{0C18B90F-A42C-455B-B534-EA5C36C7752E}">
    <text xml:space="preserve">If the deliverable is being tracked against the open po then yes.  Did you add anything to the open po tab? </text>
  </threadedComment>
  <threadedComment ref="I23" dT="2025-08-20T15:57:11.92" personId="{53BB7822-1D95-446C-8931-DE604FB2C306}" id="{BB57A173-C62A-4C32-8708-C7B75A76E976}" parentId="{0C18B90F-A42C-455B-B534-EA5C36C7752E}">
    <text>@Katie Choate Let's cover this tomorrow and make sure column H gets filled in.</text>
    <mentions>
      <mention mentionpersonId="{34C24F73-DE54-43FE-AA94-407F43D39C1B}" mentionId="{9E94C76D-A73A-4665-9716-FFFA991E2B59}" startIndex="0" length="13"/>
    </mentions>
  </threadedComment>
</ThreadedComments>
</file>

<file path=xl/threadedComments/threadedComment5.xml><?xml version="1.0" encoding="utf-8"?>
<ThreadedComments xmlns="http://schemas.microsoft.com/office/spreadsheetml/2018/threadedcomments" xmlns:x="http://schemas.openxmlformats.org/spreadsheetml/2006/main">
  <threadedComment ref="B1" dT="2025-10-10T17:13:37.24" personId="{566F6E46-002C-40EE-9587-28EC1B3B109B}" id="{C21D20F5-560A-4034-BF04-3B8DE099D26E}">
    <text>Additional $25k Open PO initiated 10/8</text>
  </threadedComment>
  <threadedComment ref="A6" dT="2025-09-25T19:47:19.54" personId="{566F6E46-002C-40EE-9587-28EC1B3B109B}" id="{5BFA8B7C-1A46-49A7-9CCF-7B1B1BDB1EDA}">
    <text>@Kristen Pearcy I think this project name was entered wrong. It's IAD04 in the "Scope" and also IAD04 Design Revision on Jenna's list.</text>
    <mentions>
      <mention mentionpersonId="{61AE843C-6A63-4579-804E-959434E36B1B}" mentionId="{BB29BDAD-94D1-4FFB-9C4F-108E9E281FF3}" startIndex="0" length="15"/>
    </mentions>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6" Type="http://schemas.openxmlformats.org/officeDocument/2006/relationships/hyperlink" Target="mailto:hhernandez@ha-ny.com" TargetMode="External"/><Relationship Id="rId21" Type="http://schemas.openxmlformats.org/officeDocument/2006/relationships/hyperlink" Target="mailto:lwall@syska.com" TargetMode="External"/><Relationship Id="rId42" Type="http://schemas.openxmlformats.org/officeDocument/2006/relationships/hyperlink" Target="../../../../../:f:/p/harold/ErPAn3_HNt9Oqjx63HzllaMBjqJG7wW0EXHmV5JPRX28Sw?e=uapVbc" TargetMode="External"/><Relationship Id="rId47" Type="http://schemas.openxmlformats.org/officeDocument/2006/relationships/hyperlink" Target="../../../../../:f:/p/harold/EkW0FAKAV3xLgcAYBWBMIMUBWao3rpOF8zsh6lGbbYJr5g?e=8Fy3n1" TargetMode="External"/><Relationship Id="rId63" Type="http://schemas.openxmlformats.org/officeDocument/2006/relationships/hyperlink" Target="../../../../../:f:/p/harold/EnDQZAyVcuNMnFjqHah3e9wBObqAmyJyUjc2_Cv4bTQhBg?e=udctJE" TargetMode="External"/><Relationship Id="rId68" Type="http://schemas.openxmlformats.org/officeDocument/2006/relationships/hyperlink" Target="../../../../../:f:/p/harold/Er2CIkA0VUBCoJU42KlLcsYBdc2KAKxRatR4QHSVDNCiiA?e=hzi8F7" TargetMode="External"/><Relationship Id="rId2" Type="http://schemas.openxmlformats.org/officeDocument/2006/relationships/hyperlink" Target="mailto:SAkbari@morrisonhershfield.com" TargetMode="External"/><Relationship Id="rId16" Type="http://schemas.openxmlformats.org/officeDocument/2006/relationships/hyperlink" Target="mailto:khornbeck@burnsmcd.com" TargetMode="External"/><Relationship Id="rId29" Type="http://schemas.openxmlformats.org/officeDocument/2006/relationships/hyperlink" Target="mailto:hhernandez@ha-ny.com" TargetMode="External"/><Relationship Id="rId11" Type="http://schemas.openxmlformats.org/officeDocument/2006/relationships/hyperlink" Target="mailto:gabriel.pereira@deerns.com" TargetMode="External"/><Relationship Id="rId24" Type="http://schemas.openxmlformats.org/officeDocument/2006/relationships/hyperlink" Target="mailto:Kristin.McCue@jacobs.com" TargetMode="External"/><Relationship Id="rId32" Type="http://schemas.openxmlformats.org/officeDocument/2006/relationships/hyperlink" Target="mailto:dbarber@olsson.com" TargetMode="External"/><Relationship Id="rId37" Type="http://schemas.openxmlformats.org/officeDocument/2006/relationships/hyperlink" Target="mailto:hhernandez@ha-ny.com" TargetMode="External"/><Relationship Id="rId40" Type="http://schemas.openxmlformats.org/officeDocument/2006/relationships/hyperlink" Target="mailto:mplank@olsson.com" TargetMode="External"/><Relationship Id="rId45" Type="http://schemas.openxmlformats.org/officeDocument/2006/relationships/hyperlink" Target="../../../../../:f:/p/harold/EkSiaKAXQt9CtJ7MRkaaep8BizdYhBJixsoU2vYIOEAi1w?e=hKV6dQ" TargetMode="External"/><Relationship Id="rId53" Type="http://schemas.openxmlformats.org/officeDocument/2006/relationships/hyperlink" Target="../../../../../:f:/p/harold/EoO4Fi4ciTlBm8QofDQqUU0BJGKv_7zC9nVCpQBNgAtN_g?e=1w95lv" TargetMode="External"/><Relationship Id="rId58" Type="http://schemas.openxmlformats.org/officeDocument/2006/relationships/hyperlink" Target="../../../../../:f:/p/harold/EiNw7aC8N3dLnmaZ9ZAgzsgBJAzzVSDvSLoLKsHs4_xcBg?e=S4rd5o" TargetMode="External"/><Relationship Id="rId66" Type="http://schemas.openxmlformats.org/officeDocument/2006/relationships/hyperlink" Target="../../../../../:f:/p/harold/EqSOgg-G6q5DmQgnA0rcpacB5U1P3Xa6_wY0d_V4m0IGjw?e=n3EIri" TargetMode="External"/><Relationship Id="rId5" Type="http://schemas.openxmlformats.org/officeDocument/2006/relationships/hyperlink" Target="mailto:amcclung@pagethink.com" TargetMode="External"/><Relationship Id="rId61" Type="http://schemas.openxmlformats.org/officeDocument/2006/relationships/hyperlink" Target="../../../../../:f:/p/harold/EslVI2K9l8hGogrFDapnfwIBGcPuB8g5c8-r75aYXnvYfw?e=zIqp2D" TargetMode="External"/><Relationship Id="rId19" Type="http://schemas.openxmlformats.org/officeDocument/2006/relationships/hyperlink" Target="mailto:lalexander@pagethink.com" TargetMode="External"/><Relationship Id="rId14" Type="http://schemas.openxmlformats.org/officeDocument/2006/relationships/hyperlink" Target="mailto:khornbeck@burnsmcd.com" TargetMode="External"/><Relationship Id="rId22" Type="http://schemas.openxmlformats.org/officeDocument/2006/relationships/hyperlink" Target="mailto:RSims@swansonrink.com" TargetMode="External"/><Relationship Id="rId27" Type="http://schemas.openxmlformats.org/officeDocument/2006/relationships/hyperlink" Target="mailto:Kristin.McCue@jacobs.com" TargetMode="External"/><Relationship Id="rId30" Type="http://schemas.openxmlformats.org/officeDocument/2006/relationships/hyperlink" Target="mailto:cmendell@esdglobal.com" TargetMode="External"/><Relationship Id="rId35" Type="http://schemas.openxmlformats.org/officeDocument/2006/relationships/hyperlink" Target="mailto:cmendell@esdglobal.com" TargetMode="External"/><Relationship Id="rId43" Type="http://schemas.openxmlformats.org/officeDocument/2006/relationships/hyperlink" Target="../../../../../:f:/p/harold/EqrAHHP64itLrN13Uep6RicBlo7YzYe0RqOphPEMTezSjw?e=duaGmf" TargetMode="External"/><Relationship Id="rId48" Type="http://schemas.openxmlformats.org/officeDocument/2006/relationships/hyperlink" Target="../../../../../:f:/p/harold/Ev0_dM2iHzVMhdQDqTR8l2kBaWScRpF15KmcBOpMBCjNBQ?e=bc81pP" TargetMode="External"/><Relationship Id="rId56" Type="http://schemas.openxmlformats.org/officeDocument/2006/relationships/hyperlink" Target="../../../../../:f:/p/harold/EnEzoLf9291IrB3iSY0Cw-cB0DO2NTb8kVrjDesAp3sMdQ?e=Tb0b4g" TargetMode="External"/><Relationship Id="rId64" Type="http://schemas.openxmlformats.org/officeDocument/2006/relationships/hyperlink" Target="../../../../../:f:/p/harold/EscjxsVZdqhCuUuEmAkQZxoBN3g2L1w5Ss7mKdP86A5yug?e=7rqGOi" TargetMode="External"/><Relationship Id="rId69" Type="http://schemas.openxmlformats.org/officeDocument/2006/relationships/printerSettings" Target="../printerSettings/printerSettings2.bin"/><Relationship Id="rId8" Type="http://schemas.openxmlformats.org/officeDocument/2006/relationships/hyperlink" Target="mailto:Blake.Giles@jacobs.com" TargetMode="External"/><Relationship Id="rId51" Type="http://schemas.openxmlformats.org/officeDocument/2006/relationships/hyperlink" Target="../../../../../:f:/p/harold/Eq9o15JMOatKt2Ix0J9lTeABnIt8z397U0dCWDPMWHrTJA?e=qWsJGj" TargetMode="External"/><Relationship Id="rId72" Type="http://schemas.openxmlformats.org/officeDocument/2006/relationships/comments" Target="../comments1.xml"/><Relationship Id="rId3" Type="http://schemas.openxmlformats.org/officeDocument/2006/relationships/hyperlink" Target="mailto:SAkbari@morrisonhershfield.com" TargetMode="External"/><Relationship Id="rId12" Type="http://schemas.openxmlformats.org/officeDocument/2006/relationships/hyperlink" Target="mailto:gabriel.pereira@deerns.com" TargetMode="External"/><Relationship Id="rId17" Type="http://schemas.openxmlformats.org/officeDocument/2006/relationships/hyperlink" Target="mailto:khornbeck@burnsmcd.com" TargetMode="External"/><Relationship Id="rId25" Type="http://schemas.openxmlformats.org/officeDocument/2006/relationships/hyperlink" Target="mailto:hhernandez@ha-ny.com" TargetMode="External"/><Relationship Id="rId33" Type="http://schemas.openxmlformats.org/officeDocument/2006/relationships/hyperlink" Target="mailto:dbarber@olsson.com" TargetMode="External"/><Relationship Id="rId38" Type="http://schemas.openxmlformats.org/officeDocument/2006/relationships/hyperlink" Target="mailto:critchie@ha-ny.com" TargetMode="External"/><Relationship Id="rId46" Type="http://schemas.openxmlformats.org/officeDocument/2006/relationships/hyperlink" Target="../../../../../:f:/p/harold/Evr9GKDIXTRCro71dIQw4MwB8y-52NQaUNl-WP3mnwXRMg?e=AwjRYx" TargetMode="External"/><Relationship Id="rId59" Type="http://schemas.openxmlformats.org/officeDocument/2006/relationships/hyperlink" Target="../../../../../:f:/p/harold/Ep1op2wI6F1LiKeVwxg6YbIBNUWXrImzjyWkhdB5wZUI0Q?e=zKeBqY" TargetMode="External"/><Relationship Id="rId67" Type="http://schemas.openxmlformats.org/officeDocument/2006/relationships/hyperlink" Target="../../../../../:f:/p/harold/ElYAUmCk6r1HoVDgQJn1o_IBtmh_UyOIFuMsdXuSXpUQPA?e=dqRGI7" TargetMode="External"/><Relationship Id="rId20" Type="http://schemas.openxmlformats.org/officeDocument/2006/relationships/hyperlink" Target="mailto:lwall@syska.com" TargetMode="External"/><Relationship Id="rId41" Type="http://schemas.openxmlformats.org/officeDocument/2006/relationships/hyperlink" Target="mailto:lalexander@pagethink.com" TargetMode="External"/><Relationship Id="rId54" Type="http://schemas.openxmlformats.org/officeDocument/2006/relationships/hyperlink" Target="../../../../../:f:/p/harold/EruMY1cgdWlFgqN_EEo_bsgBl0kz7m5tAaH4tYjBUoS5GQ?e=wzplIc" TargetMode="External"/><Relationship Id="rId62" Type="http://schemas.openxmlformats.org/officeDocument/2006/relationships/hyperlink" Target="../../../../../:f:/p/harold/EslVI2K9l8hGogrFDapnfwIBGcPuB8g5c8-r75aYXnvYfw?e=zIqp2D" TargetMode="External"/><Relationship Id="rId70" Type="http://schemas.openxmlformats.org/officeDocument/2006/relationships/vmlDrawing" Target="../drawings/vmlDrawing1.vml"/><Relationship Id="rId1" Type="http://schemas.openxmlformats.org/officeDocument/2006/relationships/hyperlink" Target="mailto:Kristin.McCue@jacobs.com" TargetMode="External"/><Relationship Id="rId6" Type="http://schemas.openxmlformats.org/officeDocument/2006/relationships/hyperlink" Target="mailto:Blake.Giles@jacobs.com" TargetMode="External"/><Relationship Id="rId15" Type="http://schemas.openxmlformats.org/officeDocument/2006/relationships/hyperlink" Target="mailto:khornbeck@burnsmcd.com" TargetMode="External"/><Relationship Id="rId23" Type="http://schemas.openxmlformats.org/officeDocument/2006/relationships/hyperlink" Target="mailto:RSims@swansonrink.com" TargetMode="External"/><Relationship Id="rId28" Type="http://schemas.openxmlformats.org/officeDocument/2006/relationships/hyperlink" Target="mailto:SAkbari@morrisonhershfield.com" TargetMode="External"/><Relationship Id="rId36" Type="http://schemas.openxmlformats.org/officeDocument/2006/relationships/hyperlink" Target="mailto:clay@syska.com" TargetMode="External"/><Relationship Id="rId49" Type="http://schemas.openxmlformats.org/officeDocument/2006/relationships/hyperlink" Target="../../../../../:f:/p/harold/EivpT7ZQH5tKqCeJXwlkp1sBbApxWKMtGoO8iaZBALFzTQ?e=vtzhR0" TargetMode="External"/><Relationship Id="rId57" Type="http://schemas.openxmlformats.org/officeDocument/2006/relationships/hyperlink" Target="../../../../../:f:/p/harold/EjskhgxD7GtDqly9O5hnsJMBZ-DD3yKnW8a6UOlOcquvCw?e=qhRh4r" TargetMode="External"/><Relationship Id="rId10" Type="http://schemas.openxmlformats.org/officeDocument/2006/relationships/hyperlink" Target="mailto:clay@syska.com" TargetMode="External"/><Relationship Id="rId31" Type="http://schemas.openxmlformats.org/officeDocument/2006/relationships/hyperlink" Target="mailto:LPercy@morrisonhershfield.com" TargetMode="External"/><Relationship Id="rId44" Type="http://schemas.openxmlformats.org/officeDocument/2006/relationships/hyperlink" Target="../../../../../:f:/p/harold/EpspNmbcpQVLkP6HMEZRUGcBTtR5fOCji_LKpXySLmMa5w?e=T3FTc5" TargetMode="External"/><Relationship Id="rId52" Type="http://schemas.openxmlformats.org/officeDocument/2006/relationships/hyperlink" Target="../../../../../:f:/p/harold/Etl5xJ-ft8hGkV0OZiOzxdoBWv1I_kIKuAWmAAfG2f_d6Q?e=CZxcWb" TargetMode="External"/><Relationship Id="rId60" Type="http://schemas.openxmlformats.org/officeDocument/2006/relationships/hyperlink" Target="../../../../../:f:/p/harold/Eg3xHrytpGFAnkVdZ0ywdPAB-YkyMRbF_rWnvICeLINZIg?e=7F9WLB" TargetMode="External"/><Relationship Id="rId65" Type="http://schemas.openxmlformats.org/officeDocument/2006/relationships/hyperlink" Target="../../../../../:f:/p/harold/EqE2uNS49bJMop5ncoffqH4B2r90PKxHoUmWAmrRkQ5KoQ?e=cNUfti" TargetMode="External"/><Relationship Id="rId73" Type="http://schemas.microsoft.com/office/2017/10/relationships/threadedComment" Target="../threadedComments/threadedComment1.xml"/><Relationship Id="rId4" Type="http://schemas.openxmlformats.org/officeDocument/2006/relationships/hyperlink" Target="mailto:SAkbari@morrisonhershfield.com" TargetMode="External"/><Relationship Id="rId9" Type="http://schemas.openxmlformats.org/officeDocument/2006/relationships/hyperlink" Target="mailto:cmendell@esdglobal.com" TargetMode="External"/><Relationship Id="rId13" Type="http://schemas.openxmlformats.org/officeDocument/2006/relationships/hyperlink" Target="mailto:gabriel.pereira@deerns.com" TargetMode="External"/><Relationship Id="rId18" Type="http://schemas.openxmlformats.org/officeDocument/2006/relationships/hyperlink" Target="mailto:khornbeck@burnsmcd.com" TargetMode="External"/><Relationship Id="rId39" Type="http://schemas.openxmlformats.org/officeDocument/2006/relationships/hyperlink" Target="mailto:cmendell@esdglobal.com" TargetMode="External"/><Relationship Id="rId34" Type="http://schemas.openxmlformats.org/officeDocument/2006/relationships/hyperlink" Target="mailto:dbarber@olsson.com" TargetMode="External"/><Relationship Id="rId50" Type="http://schemas.openxmlformats.org/officeDocument/2006/relationships/hyperlink" Target="../../../../../:f:/p/harold/EuCUn47u2n9Mg3ls-9IiriABX1ZW4JLlsuuckovvEwKzZQ?e=00MNWm" TargetMode="External"/><Relationship Id="rId55" Type="http://schemas.openxmlformats.org/officeDocument/2006/relationships/hyperlink" Target="../../../../../:f:/p/harold/Ep83YI4oOQ1HjTDRYKmZztIB82x9-vnNRCrC_E7BDqe6RA?e=DqTck6" TargetMode="External"/><Relationship Id="rId7" Type="http://schemas.openxmlformats.org/officeDocument/2006/relationships/hyperlink" Target="mailto:Blake.Giles@jacobs.com" TargetMode="External"/><Relationship Id="rId7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26" Type="http://schemas.openxmlformats.org/officeDocument/2006/relationships/hyperlink" Target="mailto:hhernandez@ha-ny.com" TargetMode="External"/><Relationship Id="rId21" Type="http://schemas.openxmlformats.org/officeDocument/2006/relationships/hyperlink" Target="mailto:lwall@syska.com" TargetMode="External"/><Relationship Id="rId42" Type="http://schemas.openxmlformats.org/officeDocument/2006/relationships/hyperlink" Target="../../../../../:f:/p/harold/ErPAn3_HNt9Oqjx63HzllaMBjqJG7wW0EXHmV5JPRX28Sw?e=uapVbc" TargetMode="External"/><Relationship Id="rId47" Type="http://schemas.openxmlformats.org/officeDocument/2006/relationships/hyperlink" Target="../../../../../:f:/p/harold/EkW0FAKAV3xLgcAYBWBMIMUBWao3rpOF8zsh6lGbbYJr5g?e=8Fy3n1" TargetMode="External"/><Relationship Id="rId63" Type="http://schemas.openxmlformats.org/officeDocument/2006/relationships/hyperlink" Target="../../../../../:f:/p/harold/EnDQZAyVcuNMnFjqHah3e9wBObqAmyJyUjc2_Cv4bTQhBg?e=udctJE" TargetMode="External"/><Relationship Id="rId68" Type="http://schemas.openxmlformats.org/officeDocument/2006/relationships/hyperlink" Target="../../../../../:f:/p/harold/Er2CIkA0VUBCoJU42KlLcsYBdc2KAKxRatR4QHSVDNCiiA?e=hzi8F7" TargetMode="External"/><Relationship Id="rId2" Type="http://schemas.openxmlformats.org/officeDocument/2006/relationships/hyperlink" Target="mailto:SAkbari@morrisonhershfield.com" TargetMode="External"/><Relationship Id="rId16" Type="http://schemas.openxmlformats.org/officeDocument/2006/relationships/hyperlink" Target="mailto:khornbeck@burnsmcd.com" TargetMode="External"/><Relationship Id="rId29" Type="http://schemas.openxmlformats.org/officeDocument/2006/relationships/hyperlink" Target="mailto:hhernandez@ha-ny.com" TargetMode="External"/><Relationship Id="rId11" Type="http://schemas.openxmlformats.org/officeDocument/2006/relationships/hyperlink" Target="mailto:gabriel.pereira@deerns.com" TargetMode="External"/><Relationship Id="rId24" Type="http://schemas.openxmlformats.org/officeDocument/2006/relationships/hyperlink" Target="mailto:Kristin.McCue@jacobs.com" TargetMode="External"/><Relationship Id="rId32" Type="http://schemas.openxmlformats.org/officeDocument/2006/relationships/hyperlink" Target="mailto:dbarber@olsson.com" TargetMode="External"/><Relationship Id="rId37" Type="http://schemas.openxmlformats.org/officeDocument/2006/relationships/hyperlink" Target="mailto:hhernandez@ha-ny.com" TargetMode="External"/><Relationship Id="rId40" Type="http://schemas.openxmlformats.org/officeDocument/2006/relationships/hyperlink" Target="mailto:mplank@olsson.com" TargetMode="External"/><Relationship Id="rId45" Type="http://schemas.openxmlformats.org/officeDocument/2006/relationships/hyperlink" Target="../../../../../:f:/p/harold/EkSiaKAXQt9CtJ7MRkaaep8BizdYhBJixsoU2vYIOEAi1w?e=hKV6dQ" TargetMode="External"/><Relationship Id="rId53" Type="http://schemas.openxmlformats.org/officeDocument/2006/relationships/hyperlink" Target="../../../../../:f:/p/harold/EoO4Fi4ciTlBm8QofDQqUU0BJGKv_7zC9nVCpQBNgAtN_g?e=1w95lv" TargetMode="External"/><Relationship Id="rId58" Type="http://schemas.openxmlformats.org/officeDocument/2006/relationships/hyperlink" Target="../../../../../:f:/p/harold/EiNw7aC8N3dLnmaZ9ZAgzsgBJAzzVSDvSLoLKsHs4_xcBg?e=S4rd5o" TargetMode="External"/><Relationship Id="rId66" Type="http://schemas.openxmlformats.org/officeDocument/2006/relationships/hyperlink" Target="../../../../../:f:/p/harold/EqSOgg-G6q5DmQgnA0rcpacB5U1P3Xa6_wY0d_V4m0IGjw?e=n3EIri" TargetMode="External"/><Relationship Id="rId5" Type="http://schemas.openxmlformats.org/officeDocument/2006/relationships/hyperlink" Target="mailto:amcclung@pagethink.com" TargetMode="External"/><Relationship Id="rId61" Type="http://schemas.openxmlformats.org/officeDocument/2006/relationships/hyperlink" Target="../../../../../:f:/p/harold/EslVI2K9l8hGogrFDapnfwIBGcPuB8g5c8-r75aYXnvYfw?e=zIqp2D" TargetMode="External"/><Relationship Id="rId19" Type="http://schemas.openxmlformats.org/officeDocument/2006/relationships/hyperlink" Target="mailto:lalexander@pagethink.com" TargetMode="External"/><Relationship Id="rId14" Type="http://schemas.openxmlformats.org/officeDocument/2006/relationships/hyperlink" Target="mailto:khornbeck@burnsmcd.com" TargetMode="External"/><Relationship Id="rId22" Type="http://schemas.openxmlformats.org/officeDocument/2006/relationships/hyperlink" Target="mailto:RSims@swansonrink.com" TargetMode="External"/><Relationship Id="rId27" Type="http://schemas.openxmlformats.org/officeDocument/2006/relationships/hyperlink" Target="mailto:Kristin.McCue@jacobs.com" TargetMode="External"/><Relationship Id="rId30" Type="http://schemas.openxmlformats.org/officeDocument/2006/relationships/hyperlink" Target="mailto:cmendell@esdglobal.com" TargetMode="External"/><Relationship Id="rId35" Type="http://schemas.openxmlformats.org/officeDocument/2006/relationships/hyperlink" Target="mailto:cmendell@esdglobal.com" TargetMode="External"/><Relationship Id="rId43" Type="http://schemas.openxmlformats.org/officeDocument/2006/relationships/hyperlink" Target="../../../../../:f:/p/harold/EqrAHHP64itLrN13Uep6RicBlo7YzYe0RqOphPEMTezSjw?e=duaGmf" TargetMode="External"/><Relationship Id="rId48" Type="http://schemas.openxmlformats.org/officeDocument/2006/relationships/hyperlink" Target="../../../../../:f:/p/harold/Ev0_dM2iHzVMhdQDqTR8l2kBaWScRpF15KmcBOpMBCjNBQ?e=bc81pP" TargetMode="External"/><Relationship Id="rId56" Type="http://schemas.openxmlformats.org/officeDocument/2006/relationships/hyperlink" Target="../../../../../:f:/p/harold/EnEzoLf9291IrB3iSY0Cw-cB0DO2NTb8kVrjDesAp3sMdQ?e=Tb0b4g" TargetMode="External"/><Relationship Id="rId64" Type="http://schemas.openxmlformats.org/officeDocument/2006/relationships/hyperlink" Target="../../../../../:f:/p/harold/EscjxsVZdqhCuUuEmAkQZxoBN3g2L1w5Ss7mKdP86A5yug?e=7rqGOi" TargetMode="External"/><Relationship Id="rId69" Type="http://schemas.openxmlformats.org/officeDocument/2006/relationships/printerSettings" Target="../printerSettings/printerSettings3.bin"/><Relationship Id="rId8" Type="http://schemas.openxmlformats.org/officeDocument/2006/relationships/hyperlink" Target="mailto:Blake.Giles@jacobs.com" TargetMode="External"/><Relationship Id="rId51" Type="http://schemas.openxmlformats.org/officeDocument/2006/relationships/hyperlink" Target="../../../../../:f:/p/harold/Eq9o15JMOatKt2Ix0J9lTeABnIt8z397U0dCWDPMWHrTJA?e=qWsJGj" TargetMode="External"/><Relationship Id="rId72" Type="http://schemas.openxmlformats.org/officeDocument/2006/relationships/comments" Target="../comments2.xml"/><Relationship Id="rId3" Type="http://schemas.openxmlformats.org/officeDocument/2006/relationships/hyperlink" Target="mailto:SAkbari@morrisonhershfield.com" TargetMode="External"/><Relationship Id="rId12" Type="http://schemas.openxmlformats.org/officeDocument/2006/relationships/hyperlink" Target="mailto:gabriel.pereira@deerns.com" TargetMode="External"/><Relationship Id="rId17" Type="http://schemas.openxmlformats.org/officeDocument/2006/relationships/hyperlink" Target="mailto:khornbeck@burnsmcd.com" TargetMode="External"/><Relationship Id="rId25" Type="http://schemas.openxmlformats.org/officeDocument/2006/relationships/hyperlink" Target="mailto:hhernandez@ha-ny.com" TargetMode="External"/><Relationship Id="rId33" Type="http://schemas.openxmlformats.org/officeDocument/2006/relationships/hyperlink" Target="mailto:dbarber@olsson.com" TargetMode="External"/><Relationship Id="rId38" Type="http://schemas.openxmlformats.org/officeDocument/2006/relationships/hyperlink" Target="mailto:critchie@ha-ny.com" TargetMode="External"/><Relationship Id="rId46" Type="http://schemas.openxmlformats.org/officeDocument/2006/relationships/hyperlink" Target="../../../../../:f:/p/harold/Evr9GKDIXTRCro71dIQw4MwB8y-52NQaUNl-WP3mnwXRMg?e=AwjRYx" TargetMode="External"/><Relationship Id="rId59" Type="http://schemas.openxmlformats.org/officeDocument/2006/relationships/hyperlink" Target="../../../../../:f:/p/harold/Ep1op2wI6F1LiKeVwxg6YbIBNUWXrImzjyWkhdB5wZUI0Q?e=zKeBqY" TargetMode="External"/><Relationship Id="rId67" Type="http://schemas.openxmlformats.org/officeDocument/2006/relationships/hyperlink" Target="../../../../../:f:/p/harold/ElYAUmCk6r1HoVDgQJn1o_IBtmh_UyOIFuMsdXuSXpUQPA?e=dqRGI7" TargetMode="External"/><Relationship Id="rId20" Type="http://schemas.openxmlformats.org/officeDocument/2006/relationships/hyperlink" Target="mailto:lwall@syska.com" TargetMode="External"/><Relationship Id="rId41" Type="http://schemas.openxmlformats.org/officeDocument/2006/relationships/hyperlink" Target="mailto:lalexander@pagethink.com" TargetMode="External"/><Relationship Id="rId54" Type="http://schemas.openxmlformats.org/officeDocument/2006/relationships/hyperlink" Target="../../../../../:f:/p/harold/EruMY1cgdWlFgqN_EEo_bsgBl0kz7m5tAaH4tYjBUoS5GQ?e=wzplIc" TargetMode="External"/><Relationship Id="rId62" Type="http://schemas.openxmlformats.org/officeDocument/2006/relationships/hyperlink" Target="../../../../../:f:/p/harold/EslVI2K9l8hGogrFDapnfwIBGcPuB8g5c8-r75aYXnvYfw?e=zIqp2D" TargetMode="External"/><Relationship Id="rId70" Type="http://schemas.openxmlformats.org/officeDocument/2006/relationships/vmlDrawing" Target="../drawings/vmlDrawing2.vml"/><Relationship Id="rId1" Type="http://schemas.openxmlformats.org/officeDocument/2006/relationships/hyperlink" Target="mailto:Kristin.McCue@jacobs.com" TargetMode="External"/><Relationship Id="rId6" Type="http://schemas.openxmlformats.org/officeDocument/2006/relationships/hyperlink" Target="mailto:Blake.Giles@jacobs.com" TargetMode="External"/><Relationship Id="rId15" Type="http://schemas.openxmlformats.org/officeDocument/2006/relationships/hyperlink" Target="mailto:khornbeck@burnsmcd.com" TargetMode="External"/><Relationship Id="rId23" Type="http://schemas.openxmlformats.org/officeDocument/2006/relationships/hyperlink" Target="mailto:RSims@swansonrink.com" TargetMode="External"/><Relationship Id="rId28" Type="http://schemas.openxmlformats.org/officeDocument/2006/relationships/hyperlink" Target="mailto:SAkbari@morrisonhershfield.com" TargetMode="External"/><Relationship Id="rId36" Type="http://schemas.openxmlformats.org/officeDocument/2006/relationships/hyperlink" Target="mailto:clay@syska.com" TargetMode="External"/><Relationship Id="rId49" Type="http://schemas.openxmlformats.org/officeDocument/2006/relationships/hyperlink" Target="../../../../../:f:/p/harold/EivpT7ZQH5tKqCeJXwlkp1sBbApxWKMtGoO8iaZBALFzTQ?e=vtzhR0" TargetMode="External"/><Relationship Id="rId57" Type="http://schemas.openxmlformats.org/officeDocument/2006/relationships/hyperlink" Target="../../../../../:f:/p/harold/EjskhgxD7GtDqly9O5hnsJMBZ-DD3yKnW8a6UOlOcquvCw?e=qhRh4r" TargetMode="External"/><Relationship Id="rId10" Type="http://schemas.openxmlformats.org/officeDocument/2006/relationships/hyperlink" Target="mailto:clay@syska.com" TargetMode="External"/><Relationship Id="rId31" Type="http://schemas.openxmlformats.org/officeDocument/2006/relationships/hyperlink" Target="mailto:LPercy@morrisonhershfield.com" TargetMode="External"/><Relationship Id="rId44" Type="http://schemas.openxmlformats.org/officeDocument/2006/relationships/hyperlink" Target="../../../../../:f:/p/harold/EpspNmbcpQVLkP6HMEZRUGcBTtR5fOCji_LKpXySLmMa5w?e=T3FTc5" TargetMode="External"/><Relationship Id="rId52" Type="http://schemas.openxmlformats.org/officeDocument/2006/relationships/hyperlink" Target="../../../../../:f:/p/harold/Etl5xJ-ft8hGkV0OZiOzxdoBWv1I_kIKuAWmAAfG2f_d6Q?e=CZxcWb" TargetMode="External"/><Relationship Id="rId60" Type="http://schemas.openxmlformats.org/officeDocument/2006/relationships/hyperlink" Target="../../../../../:f:/p/harold/Eg3xHrytpGFAnkVdZ0ywdPAB-YkyMRbF_rWnvICeLINZIg?e=7F9WLB" TargetMode="External"/><Relationship Id="rId65" Type="http://schemas.openxmlformats.org/officeDocument/2006/relationships/hyperlink" Target="../../../../../:f:/p/harold/EqE2uNS49bJMop5ncoffqH4B2r90PKxHoUmWAmrRkQ5KoQ?e=cNUfti" TargetMode="External"/><Relationship Id="rId73" Type="http://schemas.microsoft.com/office/2017/10/relationships/threadedComment" Target="../threadedComments/threadedComment2.xml"/><Relationship Id="rId4" Type="http://schemas.openxmlformats.org/officeDocument/2006/relationships/hyperlink" Target="mailto:SAkbari@morrisonhershfield.com" TargetMode="External"/><Relationship Id="rId9" Type="http://schemas.openxmlformats.org/officeDocument/2006/relationships/hyperlink" Target="mailto:cmendell@esdglobal.com" TargetMode="External"/><Relationship Id="rId13" Type="http://schemas.openxmlformats.org/officeDocument/2006/relationships/hyperlink" Target="mailto:gabriel.pereira@deerns.com" TargetMode="External"/><Relationship Id="rId18" Type="http://schemas.openxmlformats.org/officeDocument/2006/relationships/hyperlink" Target="mailto:khornbeck@burnsmcd.com" TargetMode="External"/><Relationship Id="rId39" Type="http://schemas.openxmlformats.org/officeDocument/2006/relationships/hyperlink" Target="mailto:cmendell@esdglobal.com" TargetMode="External"/><Relationship Id="rId34" Type="http://schemas.openxmlformats.org/officeDocument/2006/relationships/hyperlink" Target="mailto:dbarber@olsson.com" TargetMode="External"/><Relationship Id="rId50" Type="http://schemas.openxmlformats.org/officeDocument/2006/relationships/hyperlink" Target="../../../../../:f:/p/harold/EuCUn47u2n9Mg3ls-9IiriABX1ZW4JLlsuuckovvEwKzZQ?e=00MNWm" TargetMode="External"/><Relationship Id="rId55" Type="http://schemas.openxmlformats.org/officeDocument/2006/relationships/hyperlink" Target="../../../../../:f:/p/harold/Ep83YI4oOQ1HjTDRYKmZztIB82x9-vnNRCrC_E7BDqe6RA?e=DqTck6" TargetMode="External"/><Relationship Id="rId7" Type="http://schemas.openxmlformats.org/officeDocument/2006/relationships/hyperlink" Target="mailto:Blake.Giles@jacobs.com" TargetMode="External"/><Relationship Id="rId71" Type="http://schemas.openxmlformats.org/officeDocument/2006/relationships/table" Target="../tables/table2.xml"/></Relationships>
</file>

<file path=xl/worksheets/_rels/sheet5.xml.rels><?xml version="1.0" encoding="UTF-8" standalone="yes"?>
<Relationships xmlns="http://schemas.openxmlformats.org/package/2006/relationships"><Relationship Id="rId13" Type="http://schemas.openxmlformats.org/officeDocument/2006/relationships/hyperlink" Target="mailto:khornbeck@burnsmcd.com" TargetMode="External"/><Relationship Id="rId18" Type="http://schemas.openxmlformats.org/officeDocument/2006/relationships/hyperlink" Target="mailto:lwall@syska.com" TargetMode="External"/><Relationship Id="rId26" Type="http://schemas.openxmlformats.org/officeDocument/2006/relationships/hyperlink" Target="mailto:SAkbari@morrisonhershfield.com" TargetMode="External"/><Relationship Id="rId39" Type="http://schemas.openxmlformats.org/officeDocument/2006/relationships/hyperlink" Target="mailto:pduffy@ha-ny.com" TargetMode="External"/><Relationship Id="rId21" Type="http://schemas.openxmlformats.org/officeDocument/2006/relationships/hyperlink" Target="mailto:RSims@swansonrink.com" TargetMode="External"/><Relationship Id="rId34" Type="http://schemas.openxmlformats.org/officeDocument/2006/relationships/hyperlink" Target="mailto:hhernandez@ha-ny.com" TargetMode="External"/><Relationship Id="rId42" Type="http://schemas.openxmlformats.org/officeDocument/2006/relationships/hyperlink" Target="mailto:clay@syska.com" TargetMode="External"/><Relationship Id="rId47" Type="http://schemas.openxmlformats.org/officeDocument/2006/relationships/hyperlink" Target="mailto:hhernandez@ha-ny.com" TargetMode="External"/><Relationship Id="rId50" Type="http://schemas.openxmlformats.org/officeDocument/2006/relationships/hyperlink" Target="mailto:RSims@swansonrink.com" TargetMode="External"/><Relationship Id="rId55" Type="http://schemas.openxmlformats.org/officeDocument/2006/relationships/printerSettings" Target="../printerSettings/printerSettings4.bin"/><Relationship Id="rId7" Type="http://schemas.openxmlformats.org/officeDocument/2006/relationships/hyperlink" Target="mailto:cmendell@esdglobal.com" TargetMode="External"/><Relationship Id="rId2" Type="http://schemas.openxmlformats.org/officeDocument/2006/relationships/hyperlink" Target="mailto:SAkbari@morrisonhershfield.com" TargetMode="External"/><Relationship Id="rId16" Type="http://schemas.openxmlformats.org/officeDocument/2006/relationships/hyperlink" Target="mailto:khornbeck@burnsmcd.com" TargetMode="External"/><Relationship Id="rId29" Type="http://schemas.openxmlformats.org/officeDocument/2006/relationships/hyperlink" Target="mailto:LPercy@morrisonhershfield.com" TargetMode="External"/><Relationship Id="rId11" Type="http://schemas.openxmlformats.org/officeDocument/2006/relationships/hyperlink" Target="mailto:gabriel.pereira@deerns.com" TargetMode="External"/><Relationship Id="rId24" Type="http://schemas.openxmlformats.org/officeDocument/2006/relationships/hyperlink" Target="mailto:hhernandez@ha-ny.com" TargetMode="External"/><Relationship Id="rId32" Type="http://schemas.openxmlformats.org/officeDocument/2006/relationships/hyperlink" Target="mailto:cmendell@esdglobal.com" TargetMode="External"/><Relationship Id="rId37" Type="http://schemas.openxmlformats.org/officeDocument/2006/relationships/hyperlink" Target="mailto:mplank@olsson.com" TargetMode="External"/><Relationship Id="rId40" Type="http://schemas.openxmlformats.org/officeDocument/2006/relationships/hyperlink" Target="mailto:Michael.Mcloone@jacobs.com" TargetMode="External"/><Relationship Id="rId45" Type="http://schemas.openxmlformats.org/officeDocument/2006/relationships/hyperlink" Target="mailto:lalexander@pagethink.com" TargetMode="External"/><Relationship Id="rId53" Type="http://schemas.openxmlformats.org/officeDocument/2006/relationships/hyperlink" Target="mailto:Steve.Baum@jacob.com" TargetMode="External"/><Relationship Id="rId58" Type="http://schemas.openxmlformats.org/officeDocument/2006/relationships/comments" Target="../comments3.xml"/><Relationship Id="rId5" Type="http://schemas.openxmlformats.org/officeDocument/2006/relationships/hyperlink" Target="mailto:Andrea.FrazierSanchez@jacobs.com" TargetMode="External"/><Relationship Id="rId19" Type="http://schemas.openxmlformats.org/officeDocument/2006/relationships/hyperlink" Target="mailto:lwall@syska.com" TargetMode="External"/><Relationship Id="rId4" Type="http://schemas.openxmlformats.org/officeDocument/2006/relationships/hyperlink" Target="mailto:amcclung@pagethink.com" TargetMode="External"/><Relationship Id="rId9" Type="http://schemas.openxmlformats.org/officeDocument/2006/relationships/hyperlink" Target="mailto:gabriel.pereira@deerns.com" TargetMode="External"/><Relationship Id="rId14" Type="http://schemas.openxmlformats.org/officeDocument/2006/relationships/hyperlink" Target="mailto:khornbeck@burnsmcd.com" TargetMode="External"/><Relationship Id="rId22" Type="http://schemas.openxmlformats.org/officeDocument/2006/relationships/hyperlink" Target="mailto:Kristin.McCue@jacobs.com" TargetMode="External"/><Relationship Id="rId27" Type="http://schemas.openxmlformats.org/officeDocument/2006/relationships/hyperlink" Target="mailto:hhernandez@ha-ny.com" TargetMode="External"/><Relationship Id="rId30" Type="http://schemas.openxmlformats.org/officeDocument/2006/relationships/hyperlink" Target="mailto:dbarber@olsson.com" TargetMode="External"/><Relationship Id="rId35" Type="http://schemas.openxmlformats.org/officeDocument/2006/relationships/hyperlink" Target="mailto:critchie@ha-ny.com" TargetMode="External"/><Relationship Id="rId43" Type="http://schemas.openxmlformats.org/officeDocument/2006/relationships/hyperlink" Target="mailto:akalaani@burnsmcd.com" TargetMode="External"/><Relationship Id="rId48" Type="http://schemas.openxmlformats.org/officeDocument/2006/relationships/hyperlink" Target="mailto:hhernandez@ha-ny.com" TargetMode="External"/><Relationship Id="rId56" Type="http://schemas.openxmlformats.org/officeDocument/2006/relationships/vmlDrawing" Target="../drawings/vmlDrawing3.vml"/><Relationship Id="rId8" Type="http://schemas.openxmlformats.org/officeDocument/2006/relationships/hyperlink" Target="mailto:clay@syska.com" TargetMode="External"/><Relationship Id="rId51" Type="http://schemas.openxmlformats.org/officeDocument/2006/relationships/hyperlink" Target="mailto:Andrea.FrazierSanchez@jacobs.com" TargetMode="External"/><Relationship Id="rId3" Type="http://schemas.openxmlformats.org/officeDocument/2006/relationships/hyperlink" Target="mailto:SAkbari@morrisonhershfield.com" TargetMode="External"/><Relationship Id="rId12" Type="http://schemas.openxmlformats.org/officeDocument/2006/relationships/hyperlink" Target="mailto:khornbeck@burnsmcd.com" TargetMode="External"/><Relationship Id="rId17" Type="http://schemas.openxmlformats.org/officeDocument/2006/relationships/hyperlink" Target="mailto:lalexander@pagethink.com" TargetMode="External"/><Relationship Id="rId25" Type="http://schemas.openxmlformats.org/officeDocument/2006/relationships/hyperlink" Target="mailto:Kristin.McCue@jacobs.com" TargetMode="External"/><Relationship Id="rId33" Type="http://schemas.openxmlformats.org/officeDocument/2006/relationships/hyperlink" Target="mailto:clay@syska.com" TargetMode="External"/><Relationship Id="rId38" Type="http://schemas.openxmlformats.org/officeDocument/2006/relationships/hyperlink" Target="mailto:lalexander@pagethink.com" TargetMode="External"/><Relationship Id="rId46" Type="http://schemas.openxmlformats.org/officeDocument/2006/relationships/hyperlink" Target="mailto:lalexander@pagethink.com" TargetMode="External"/><Relationship Id="rId59" Type="http://schemas.microsoft.com/office/2017/10/relationships/threadedComment" Target="../threadedComments/threadedComment3.xml"/><Relationship Id="rId20" Type="http://schemas.openxmlformats.org/officeDocument/2006/relationships/hyperlink" Target="mailto:RSims@swansonrink.com" TargetMode="External"/><Relationship Id="rId41" Type="http://schemas.openxmlformats.org/officeDocument/2006/relationships/hyperlink" Target="mailto:clay@syska.com" TargetMode="External"/><Relationship Id="rId54" Type="http://schemas.openxmlformats.org/officeDocument/2006/relationships/hyperlink" Target="mailto:SAkbari@morrisonhershfield.com" TargetMode="External"/><Relationship Id="rId1" Type="http://schemas.openxmlformats.org/officeDocument/2006/relationships/hyperlink" Target="mailto:Kristin.McCue@jacobs.com" TargetMode="External"/><Relationship Id="rId6" Type="http://schemas.openxmlformats.org/officeDocument/2006/relationships/hyperlink" Target="mailto:Blake.Giles@jacobs.com" TargetMode="External"/><Relationship Id="rId15" Type="http://schemas.openxmlformats.org/officeDocument/2006/relationships/hyperlink" Target="mailto:khornbeck@burnsmcd.com" TargetMode="External"/><Relationship Id="rId23" Type="http://schemas.openxmlformats.org/officeDocument/2006/relationships/hyperlink" Target="mailto:hhernandez@ha-ny.com" TargetMode="External"/><Relationship Id="rId28" Type="http://schemas.openxmlformats.org/officeDocument/2006/relationships/hyperlink" Target="mailto:cmendell@esdglobal.com" TargetMode="External"/><Relationship Id="rId36" Type="http://schemas.openxmlformats.org/officeDocument/2006/relationships/hyperlink" Target="mailto:cmendell@esdglobal.com" TargetMode="External"/><Relationship Id="rId49" Type="http://schemas.openxmlformats.org/officeDocument/2006/relationships/hyperlink" Target="mailto:hhernandez@ha-ny.com" TargetMode="External"/><Relationship Id="rId57" Type="http://schemas.openxmlformats.org/officeDocument/2006/relationships/table" Target="../tables/table3.xml"/><Relationship Id="rId10" Type="http://schemas.openxmlformats.org/officeDocument/2006/relationships/hyperlink" Target="mailto:gabriel.pereira@deerns.com" TargetMode="External"/><Relationship Id="rId31" Type="http://schemas.openxmlformats.org/officeDocument/2006/relationships/hyperlink" Target="mailto:dbarber@olsson.com" TargetMode="External"/><Relationship Id="rId44" Type="http://schemas.openxmlformats.org/officeDocument/2006/relationships/hyperlink" Target="mailto:hhernandez@ha-ny.com" TargetMode="External"/><Relationship Id="rId52" Type="http://schemas.openxmlformats.org/officeDocument/2006/relationships/hyperlink" Target="mailto:Michael.Clements@stantec.com" TargetMode="External"/></Relationships>
</file>

<file path=xl/worksheets/_rels/sheet6.xml.rels><?xml version="1.0" encoding="UTF-8" standalone="yes"?>
<Relationships xmlns="http://schemas.openxmlformats.org/package/2006/relationships"><Relationship Id="rId1" Type="http://schemas.openxmlformats.org/officeDocument/2006/relationships/hyperlink" Target="https://app.procore.com/webclients/host/companies/6844/projects/2076546/tools/documents?folder_id=977987351" TargetMode="External"/></Relationships>
</file>

<file path=xl/worksheets/_rels/sheet8.xml.rels><?xml version="1.0" encoding="UTF-8" standalone="yes"?>
<Relationships xmlns="http://schemas.openxmlformats.org/package/2006/relationships"><Relationship Id="rId3" Type="http://schemas.openxmlformats.org/officeDocument/2006/relationships/printerSettings" Target="../printerSettings/printerSettings5.bin"/><Relationship Id="rId7" Type="http://schemas.microsoft.com/office/2019/04/relationships/documenttask" Target="../documenttasks/documenttask1.xml"/><Relationship Id="rId2" Type="http://schemas.openxmlformats.org/officeDocument/2006/relationships/hyperlink" Target="https://oaconsulting.sharepoint.com/:f:/r/sites/LakesideProjects/Shared%20Documents/ATLANTA%20(ATL,%20CCO,%20FTY)/FTY03/02%20-%20FTY03%20Design%20Project%20Files/20-Management/QA-QC/26-04-02%20-%20FTY03%20FINAL%20IFC%20QC?csf=1&amp;web=1&amp;e=xXVl92" TargetMode="External"/><Relationship Id="rId1" Type="http://schemas.openxmlformats.org/officeDocument/2006/relationships/hyperlink" Target="https://oaconsulting.sharepoint.com/:f:/r/sites/LakesideProjects/Shared%20Documents/CHARLOTTE%20(CLT)/CLT17%20Building%20CA/02%20-%20CLT17%20Building%20CA/20-Management/QA-QC/26-03-06%20-%20CLT17%20DRB01%20QC?csf=1&amp;web=1&amp;e=1QPcA7" TargetMode="External"/><Relationship Id="rId6" Type="http://schemas.microsoft.com/office/2017/10/relationships/threadedComment" Target="../threadedComments/threadedComment4.xml"/><Relationship Id="rId5" Type="http://schemas.openxmlformats.org/officeDocument/2006/relationships/comments" Target="../comments4.xml"/><Relationship Id="rId4" Type="http://schemas.openxmlformats.org/officeDocument/2006/relationships/vmlDrawing" Target="../drawings/vmlDrawing4.vml"/></Relationships>
</file>

<file path=xl/worksheets/_rels/sheet9.xml.rels><?xml version="1.0" encoding="UTF-8" standalone="yes"?>
<Relationships xmlns="http://schemas.openxmlformats.org/package/2006/relationships"><Relationship Id="rId8" Type="http://schemas.openxmlformats.org/officeDocument/2006/relationships/hyperlink" Target="../../../../../../:b:/r/personal/harold_s2advisors_com/Documents/MSFT_Project_Folder/YTO/YTO40/YTO40CA_RFI_Submittals/YTO40%20CA%20Standard%20Practices.pdf?csf=1&amp;web=1&amp;e=hYAQpj" TargetMode="External"/><Relationship Id="rId13" Type="http://schemas.openxmlformats.org/officeDocument/2006/relationships/hyperlink" Target="https://u7990385.ct.sendgrid.net/ls/click?upn=u001.oZ6GXC16Ztdw1ob-2F3C5yo7QVW75-2FTKePwKfaxxJh5mDNQ-2BgiZys1jP-2Fb-2B-2FvnHwftAcP3Uwdv3cKdg78pao1tlpcDW6zHE0O1-2B4bDfhf5jo-2BbhrM610I04DjegFU-2BFt2JzaV7ZpIe0cMhB4ojn-2FKOXVd-2FNYgd2lEV5tBr7UQL1VW16LMMgPbMzcsdKvfXwWErh23y_6xtWcELrszigtWclrNeGebJoskduW1ZTLOudkGMwS78Hmga-2FypSg6pdbW23es1d97zs-2Fcema6DDULVs-2BZ5nctK8eEy31iZL82B58goZJX-2Fvi6KMdrwis7miNDg-2BCdndRLR5A9vCap68BqTvP9nfadMg8Y8Lz5IbcwH48oN70y9FTy9DAIAdsup9TVwhbzirRbT8Ct3aRupf-2BwKuOSY-2FPzej9B237s3F3pBtxFuN-2FCJuM-2FYWFZ2GisoG2jrjkuac-2FcqDhsR-2F-2Bop9dcjEKz81Qp3C7QBqSCPxPlOoCf88Jbh6B-2FYDG-2FDDDxZB4GA0Ruu3Rku-2FPHCzFxc0Iuyi6u6TkPTLYRQReL3nBQ015ttMFVeQMw9mxCOSkeh0Yo2mTBX7IpdERHN2LUSyJbQ1e2cBloOdR88j-2BMub4fviVhsnUI2TsiPZKrj8kZ5WNo5ORDn6Pwuc4jw97nwEWvA2H8fK19FXkOVRkDedAEUKiHtBxFDFskV4Fz2ztHo-2Fi7caYIBE9uE-2FIqlg1f9qsgqdGTCFQylBj20MTlIRpuIaMmL0dQOcKC9O1X3QTAb6cA-2FPehRVGs47OhumMws5dgcxnMFg4zDPJWf4ZClcw4ohk6-2By9Np-2FaemrClyvxpcg2UyZxiZBESZ2EAhN4kCXHlUkHZ5TqQV-2FnH-2B-2FCXdtyqTdftaFAKAZCDkolc3U75kb9Phyuz-2BhTyG2DjPkQHxHN2HpCdPc1bavxcED1NIcAVPIVbPU08N46-2Fj6FqTpdGRhJr93yCE52Y4C-2Ff67f-2BS4QNRCf2I-2FlNE-2F5s-2BcIYay-2FMH0a-2By1nZ-2FogH6fUTxHYO9O3HPYGFaZl0rYIceq0KLZVF-2BSR8J-2Bgui5J-2F84eJyzpPwzXoS-2BllbwISVQ1kyCOLcAiYGFMIc0-2BU2xJwbQQzoVd1D5LewK68B3qO6mXZjocq5o3EpC8U35GTtjfxdmwVXGHoKLmSDJ-2FqWPgyJUXlhgUM2kUZPAkvA-3D-3D" TargetMode="External"/><Relationship Id="rId18" Type="http://schemas.openxmlformats.org/officeDocument/2006/relationships/hyperlink" Target="https://urldefense.proofpoint.com/v2/url?u=https-3A__microsoftprd.sharepoint.com_-3Ax-3A_r_teams_AMERDesignDocuments_Project-2520Documents_LVL12-2D14_01-5FDesign_07-2520-2D-2520DESIGN-2520DELIVERABLES_LVL13-2520Redesign_20260121-2520LVL13-2520RFI-2520Log-2520-2D-2520Weitz-25201.22.26-5FAE-2520Working-2520Copy.xlsx-3Fd-3Dwf32807fdf093466fa169ac6332c26db7-26csf-3D1-26web-3D1-26e-3Dogk0Sr&amp;d=DwMFAg&amp;c=euGZstcaTDllvimEN8b7jXrwqOf-v5A_CdpgnVfiiMM&amp;r=xth08qXXlC3Ho6r5tOp3YfWUvW2mbXWsxXerUoErFK0&amp;m=4_5d-IPD6z7OqyrRqLFBguoQapdRQLVZBVW1eyBbZQydq1l8BLFakbT5UlNPO1xK&amp;s=x7MwB-_rRL9-D4N-HylbTApBfmyO9cO_lNNRIdpk22U&amp;e=" TargetMode="External"/><Relationship Id="rId26" Type="http://schemas.microsoft.com/office/2019/04/relationships/namedSheetView" Target="../namedSheetViews/namedSheetView1.xml"/><Relationship Id="rId3" Type="http://schemas.openxmlformats.org/officeDocument/2006/relationships/hyperlink" Target="https://u7990385.ct.sendgrid.net/ls/click?upn=u001.oZ6GXC16Ztdw1ob-2F3C5yow-2FsK2YC4S8s269h9OLgp-2FGBFWZLZllbRBHWvODbhwmcc7X8H2CAdhggcUMaMndMNZclzfRXdNQrZTJ9H1dTQpx3yHI4UHORVgfntoD6oBofGBxMbXItbrOqOr-2FNtCwg0KTKSykt7kLVNPBQqXPC6Pu5xf30J7oSTzWO5xkKIGZlnC07_6xtWcELrszigtWclrNeGebJoskduW1ZTLOudkGMwS78Hmga-2FypSg6pdbW23es1d922gYIUcl1aS-2F155XdvCXGTnrXk9khAmQqa-2BkMg-2FzfuLBussie2OtNhdfv1tNenklkXQPPmjqhFEKPfe1jVfKdJPjYWxR8rBVfdiyYwNb-2Fi2HL84x8LS195-2BAS6lSFpHkftR3rBGUduEYdHGlVMJA0NQryDM9CgRWr7nf0J6bprrIuWCctZxsS14H8tN-2Btk10QKKgOSNro1bLF3QWg2x41ySDqQfafbMb65MFKQoDj-2F5Oh-2FuJSj7Fvy-2F-2BynAecgaqOkjUk2YgDcJOhW-2BSjrJK2H97vEsI09jxrz2fBuVdss5-2FRrOkV-2FiiA-2BUvM4jmrD8ALwlUGQ5r1vFkL9rQn5Dj11zIg17-2Fh51iwjscVXZ-2F3R0biRRIBFA-2FsDD8Ipx8kCZT8WFtN-2BM3tiSdPvvhf2csMm93F-2BNh7e5D-2BEe40D6GEJrZi1L5bpHpFs7GqunP3U4gDZOfnLJEKxq2j0zBPCwkwZ9Fdw0ytsvUSW1RlnWAVKPdQbi99kNRm8V-2Ft-2FAeejO05EIT91NvQS10GfeufZ5pl0Hm-2Bc-2BM7OtOMj9aUafp9F13lE18lt-2FAKNAY7RwxbMcvWxn-2BjbUFUKl7fcu4eTGhchaPnM4SNv4VVcZq4L8ynQeiql-2BdS2c-2BIeneGOVMhQafqD7GFhfcGxQ3-2BasSDnsId4Nn8ThBThFsxuVt3laTRx90B9iHA7MuAPKBwqdUygBa0tVxV5kcY5MBl1TYgvfJMF37rdEuwMxaXZbGh0-2BoLvk1a1K3vCb8mCdyCkcrpV6ZMjzoithYaWfF-2B83Thqv-2F0VKIqwvSMB8iA1pG9K3sI-2FLqIzcCV9-2BOXKf-2BUj3KrhLU" TargetMode="External"/><Relationship Id="rId21" Type="http://schemas.openxmlformats.org/officeDocument/2006/relationships/hyperlink" Target="https://oaconsulting.sharepoint.com/:f:/r/sites/LakesideProjects/Shared%20Documents/ATLANTA%20(ATL,%20CCO,%20FTY)/FTY02/Design/60%20-%20Construction/FTY02%20Building%202/Submittals/FTY02_27%2050%2019-8%20Revision%201%20FTY02%20DAS%20Benchmark%20Study%20-%20RF%20Benchmark?csf=1&amp;web=1&amp;e=COb2fP" TargetMode="External"/><Relationship Id="rId7" Type="http://schemas.openxmlformats.org/officeDocument/2006/relationships/hyperlink" Target="../../../../../../:b:/r/personal/harold_s2advisors_com/Documents/MSFT_Project_Folder/01_Admin/Project%20Management/Client_Vendor_Guidelines/Page/Page_Submittal_Guidelines_11.18.24.pdf?csf=1&amp;web=1&amp;e=vvR1Pd" TargetMode="External"/><Relationship Id="rId12" Type="http://schemas.openxmlformats.org/officeDocument/2006/relationships/hyperlink" Target="https://u7990385.ct.sendgrid.net/ls/click?upn=u001.oZ6GXC16Ztdw1ob-2F3C5yo7QVW75-2FTKePwKfaxxJh5mDNQ-2BgiZys1jP-2Fb-2B-2FvnHwftAcP3Uwdv3cKdg78pao1tlpcDW6zHE0O1-2B4bDfhf5jo-2BbhrM610I04DjegFU-2BFt2JMGuqG-2BmQFeN3lWGCL4CPxWDOouHohYXMPOR7MzhSSx4V6hv-2F9kYr8VLLvdbuE-2BY8ujYJ_6xtWcELrszigtWclrNeGebJoskduW1ZTLOudkGMwS78Hmga-2FypSg6pdbW23es1d97zs-2Fcema6DDULVs-2BZ5nctK8eEy31iZL82B58goZJX-2Fvi6KMdrwis7miNDg-2BCdndRLR5A9vCap68BqTvP9nfadMg8Y8Lz5IbcwH48oN70y9HdJ5mC18QGjlm3wzX8LQPKm4hDzfuCk-2BY9K3oP6v0T4GRtyAZ9l2F4Pvhswal2qVGA5im0fjEIO42R8B0H9AoeNyG5V1hpVbqcTrBRQupbGQgSdLULv03V4CppIHow9Tv5KmbzUcQLpbtVte8zWg9AIl9gdtbYq2dVeKoGEVQyBaj3NcUEzCWDYTML7Jsb09367IgZwpuxjAIZqkoPENePdM4x4TNJ42CKZF2TSa-2Frnm9sPbg2aK3F2tXm-2F2UOXC5ePlYVBjaYvEcav6LyP-2B-2BI4xoGG92fWxKHIaaWqIM37EXnmCQnlKk9T6dy9tlPjMyZIihM5Di07zUAs41Ns-2Fa-2FlpaYtMbEOe-2B-2BDkDaK6R1-2BE1v7zvlmEpSRAtr76KjcyQCwDNywdrjfBw3806Gfjep9BvrNLbz4sX-2FEgfT4Qp-2B-2BbpvzSIt3k-2BeEaet2Uqi5PkBsLzki8YpzlVZtld9F8L8cdJpVh7LyL1GnVqZNdCp718UmJCpU3bG4rr9hic-2FQf3FxoUUFp4uIizzTOE3HI1WArNWLcznhpOWG22PiknNHJbfUAL6vCC9QoKtk3ZHq4jYPf0m5ncdMkNq-2FNDaVKCUGIsYcHTC1hrNTe9rQJH7jxfug2E2-2BxgU7wTY-2FbAaCdhx9Bd1XlsC8og6-2FhDhxQfhBfTz74pyM0NyFOl4sdBsE-2FLdkHuNtocbfR0IPtlcO2SfDJtuGvvTfCOx6kHyJ4o9d8NK7EoE1AeFZ-2FRcSQydHaWWHcNvDnO7c08uxfrho4CvoTeSKb0AF8zpmPfs9xDZwDaCPKPL8DgGYKKetKX4DQ-3D-3D" TargetMode="External"/><Relationship Id="rId17" Type="http://schemas.openxmlformats.org/officeDocument/2006/relationships/hyperlink" Target="https://u7990385.ct.sendgrid.net/ls/click?upn=u001.oZ6GXC16Ztdw1ob-2F3C5yo7QVW75-2FTKePwKfaxxJh5mDNQ-2BgiZys1jP-2Fb-2B-2FvnHwftAcP3Uwdv3cKdg78pao1tlpcDW6zHE0O1-2B4bDfhf5jo-2FFQ7U1JLUeH-2Fmq6v-2FFQJb-2BYjnMSn9xKyvclmSkTXAz5R68BEQVSndHkiQAbppOOg3D-2BNYu8SE16vZCeMLu6wOoRBWZWVHjwM6zIHMX0sWaSw-3D-3DK0cg_7J8IcsXzaSBjIHjuW8v7PZeofEgbmU97T-2FibhxzsjTxxDygsCGiskKxDAaAvYx5T2qtJfO3MfjmzK3HjPe5VjlXJDQu368EJtf3eNR2bTFqTex8oyTHflesQo2Rbv7mWJQNF7e-2BzO8otI-2FfUGcIA4XrDhiGBdil8hihcatGhqdTZaoX8FwD3ryrqFaUQ9-2BC3oBIeQmEqY57OpSF-2Bufwva-2FEDjm3DJ-2BBCCRhZbOtlBe2VUa-2Fsy-2F5XlEGguhhBHftzCUDUxmQt4TUYKf8I7iYerSU4U-2FwxY-2F85XgM-2BC7xRtT7MC1gqBFCQMN3O1EHulDD-2BlVaZ5Sq-2FJBra3zJJE0S5f0qac61GMkK8FMv27Dz31gWolB2vjPhCtsCOFwfop-2FMWJW5MnyBi0qdeHk0gxJHmWXpT5jj-2Fyi-2BBESpOvKWuMQrpwFMnrwI-2BsVFet-2FxMSOcmQIZnVkNqXd-2BED-2Fg3b8xkUiNco6lqtR-2FIF355o0kjufWg6tI2GmrfGpNqc-2Bzm3M8NANSm-2Bgyioqq7SlOCk-2BWHdqidwrc79Xn4sdo4FnIcS1nAUerq6gbuH4lFMTrKCRFhtunG9hveYtUxbzBQMnKmtuPhpSNAoj6Uf3d1QIb0BjS1KQRrTM0Hh-2FDWq-2FE-2B9LK6tbNTHQGaLhZxngKdGhmzo5BThZSQp071HHqyQieJyvaMeuploaFq7pwE8AMIRlnO225UDCVv6Hx4-2BZC3AQfeCpyX3OwJdqWutZTA5YBEPAeYRJ8N2ggDGZOUOMWaKIpil7aNjcWD9xSoC0xeHmYqHp4U20ZWuzSBz01z-2F8R94NnoPGTBFi-2FU0xVnaTCscS8WOE58O9SKtrT67kDCWL8SdO-2FoaNmeiFjA6mCZgK70fnffDNk3Q2bMRHX6otsxQMLLsLDZE7dA79dmk-2FvmBIGwqgYX4aqUidphL60RC7XJC10bbQUYqGIIJ5UXmUH5sofIa2Dim-2FCp7bGayXvoIQfezlTPQY73IwH1SacKbM9TQqAVUsRusDMZAWFe1D-2FiM7g-2FgD-2F8oDrwYIe7kfPO2MBBlA-3D-3D" TargetMode="External"/><Relationship Id="rId25" Type="http://schemas.openxmlformats.org/officeDocument/2006/relationships/printerSettings" Target="../printerSettings/printerSettings6.bin"/><Relationship Id="rId2" Type="http://schemas.openxmlformats.org/officeDocument/2006/relationships/hyperlink" Target="https://u7990385.ct.sendgrid.net/ls/click?upn=u001.oZ6GXC16Ztdw1ob-2F3C5yow-2FsK2YC4S8s269h9OLgp-2FGBFWZLZllbRBHWvODbhwmcc7X8H2CAdhggcUMaMndMNZclzfRXdNQrZTJ9H1dTQpx3yHI4UHORVgfntoD6oBofIUYdRxiOrCBoOKXp8TvS4moNR4fjUyJszszt5Z-2BFO9v0UVhP8HEvZs4Fqiw9YDeiu_0j_6xtWcELrszigtWclrNeGebJoskduW1ZTLOudkGMwS78Hmga-2FypSg6pdbW23es1d922gYIUcl1aS-2F155XdvCXGTnrXk9khAmQqa-2BkMg-2FzfuLBussie2OtNhdfv1tNenklkXQPPmjqhFEKPfe1jVfKdK6T0H3sj8AHC9wDgDQcaVGaRqMLg6JSeO57gMBbEqCBO-2FIqi9rlXRh9DLEbN4liSi0RkrcRtrVhs5sVPYe5PgnqHZEEM4Xez3OTx5c1JJyE1UMa29DGU-2BCyutjoTH-2FhLhMXauduIomQbTJWGs-2BcJZRBJLMFrpBVIDagtN4ThjG0BQi6RCOEVmUFdA1mJieU41msrWh2D3RxRYpTmoO8tsR5OsCOL9qwWsCkm2FlIqhygAeY2sXCA1OQH8GntgGABYMVqUCPu4VG6vgK6cLfROVLa3g0jAS40SbVGtx8vGP8KYU7FftPtDcaEk3QXw0iTPtXvD0GlopNQyZ5Yuj3weFYNyoxq38rIQfvH7gp4P8Ggpp9FOPkkqCVgA1mfX1rkFbopiGVZDbGCGKJzD29Y3wDwtOglMVb44stF-2F5RmZSHOlf5zDweK-2B4Af0yWR5aDqzdaG7aKxh5-2BZYcp4GRwkm0jc654h43y2wgKEiLNw35v-2F38f9yz-2BTaiyqWRr6q3sUC2J92Xnjmrcc6x2Awd2OTicxcyS4lw6WSsE5-2B1HKPV-2BV29PnG4XPs-2FcOFFysUrTWj7dPhHursC-2BVQ5xDlVpAaQNJIMn1OSVkzWorP8eDBCMP8T9r697T7PpPuXfGRmIhosja8-2BIPt428TT5c-2FLG8FcFtK-2BZfUsCvO9gzQ3hN2BMELXEfJCE0xdDhX7DJptAMQnOaDgMpOmmrXrDNstTjLzz1sq4JBYG7bJtbb5tdQY0" TargetMode="External"/><Relationship Id="rId16" Type="http://schemas.openxmlformats.org/officeDocument/2006/relationships/hyperlink" Target="https://u7990385.ct.sendgrid.net/ls/click?upn=u001.oZ6GXC16Ztdw1ob-2F3C5yo8048UBaJOCtZ-2Fwh1Ld40EYORIhEjsMfvUTQLQMq-2BzlqLejH9A-2BGNZasrAHFN27QOm0Kr-2Fg78s-2BeTIS2rClM-2BKzWiz3CksgBG6tbUybSb3LjlGRhDiiu-2B4kVpTjwU0RormHvH7ro-2F8SFHzCek7CQu99-2BSZv1byH3QotnMsO3g3lmPIJD_7J8IcsXzaSBjIHjuW8v7PZeofEgbmU97T-2FibhxzsjTxxDygsCGiskKxDAaAvYx5T2qtJfO3MfjmzK3HjPe5VjlXJDQu368EJtf3eNR2bTFqTex8oyTHflesQo2Rbv7mWyJs2cFejchuWDEjCW8Q2tMGZ01tpfZ0yanQnC8uWBdH-2BAtJqZBiaUgqh58WoEDJq-2Fmyt8gVLkTuQPPxV0vid5Yxp2m43GbtTyCZ95ajehNiwj31KgiG5zuxPcxWe5XBO5cIzrreobzNkI7qffjK8dC7wHEnpt3QD48M2waRfNLIZBZwclPvcH6H094fB14Xjzen8-2FIQxaH-2BlHBRkjN4fRqO1bWv2I9C6d0pqZrQipEn8zLOQTjdE5fniHCtF8PG5pPh6MZHNGJ2Da6chhld42HepJUaBl3JADhyBj0B7z-2FG3pqXBEE86mxHo7BYX1awET-2BKtVqiqsYL00ffQHF25zqMLol4-2F5zjO4HIyb1xxu6wYf0m9L-2BC-2Bfwxs8AdjE-2FGxXyniB6f4kzlJsl2H1C3u0CEqb-2BWRqwuWxZGBrzkGRNuP4cE84DIcI8uvvCN4bToC98ehw6FxFVIciFpJ98TaYAyZpfgx5g0mtgdfb-2Bd5-2FwzyIxArQjODbVQ6JgRZmj2zxkMSJpVc0-2BrIVuRuAUT-2FzypXraNf8mov-2BZZL-2FJPrjtzHRrWE2bnM8Y414anG17eeqbPj-2FqbDFnMKSsffSuoZ4QK9jYkwcMi4xYfHj0bAhOJ6XbMnh7XpIkZ-2BJu80yguDAVxOlk4efsOUet4JJjGXjLYVYkWYlhasXEWN-2BildGFZNPjlGChXMdhKkIdAwu03R-2BgaKy6QUybxuIJy-2FUVrwYfG7-2B2KKrZ4Dq-2BEs4zmALQvm-2BHW6Lf2Kpz-2Bunp-2FRapG22qGk7Rv0zwlnXlo62H2Cak7EvN5FugcyoeGBbCR3I6ASFgZM-2Bw03lBEe-2BkMysRlXjsPWYI9AG0pPhnGKoop9hA-3D-3D" TargetMode="External"/><Relationship Id="rId20" Type="http://schemas.openxmlformats.org/officeDocument/2006/relationships/hyperlink" Target="https://oaconsulting.sharepoint.com/:f:/r/sites/LakesideProjects/Shared%20Documents/ATLANTA%20(ATL,%20CCO,%20FTY)/FTY02/Design/60%20-%20Construction/FTY02%20Building%202/Submittals/FTY02_27%2050%2019-3%20Revision%203%20Cell%20DAS%20Design?csf=1&amp;web=1&amp;e=ADLOZu" TargetMode="External"/><Relationship Id="rId1" Type="http://schemas.openxmlformats.org/officeDocument/2006/relationships/hyperlink" Target="https://u7990385.ct.sendgrid.net/ls/click?upn=u001.oZ6GXC16Ztdw1ob-2F3C5yow-2FsK2YC4S8s269h9OLgp-2FGBFWZLZllbRBHWvODbhwmcc7X8H2CAdhggcUMaMndMNZclzfRXdNQrZTJ9H1dTQpx3yHI4UHORVgfntoD6oBofvMW4wnEsolKTULGXX7TT2LXE8dG55TfwtT6WWKWS-2FWEK5z2K-2B-2Fv7ksrrWWkSzKXfpkjo_6xtWcELrszigtWclrNeGebJoskduW1ZTLOudkGMwS78Hmga-2FypSg6pdbW23es1d922gYIUcl1aS-2F155XdvCXGTnrXk9khAmQqa-2BkMg-2FzfuLBussie2OtNhdfv1tNenklkXQPPmjqhFEKPfe1jVfKdK6T0H3sj8AHC9wDgDQcaVGaRqMLg6JSeO57gMBbEqCBO-2FIqi9rlXRh9DLEbN4liSi0RkrcRtrVhs5sVPYe5PgnqHZEEM4Xez3OTx5c1JJyE1UMa29DGU-2BCyutjoTH-2FhLhMXauduIomQbTJWGs-2BcJZRBJLMFrpBVIDagtN4ThjG0BQi6RCOEVmUFdA1mJieU41msrWh2D3RxRYpTmoO8tsR5OsCOL9qwWsCkm2FlIqhygAeY2sXCA1OQH8GntgGABYMVqUCPu4VG6vgK6cLfROVLa3g0jAS40SbVGtx8vGP8KYU7FftPtDcaEk3QXw0iTPtXvD0GlopNQyZ5Yuj3weFYNyoxq38rIQfvH7gp4P8Ggpp9FOPkkqCVgA1mfX1rkPm5aALTSTSY0NT9uWj8lyZL8snT5iBNT-2FVE9ovjEPxgPvpVaXgDDKvQ-2BUu0FUqvRfZo3rrl8YRl0o8vmzr15LRMza9fdKCubOCdKiG4euYoPBpB8nsnJIfBzZhMQpgc9P9wuY10961YreFx6JoUprlRP6epBY3AUZverauDJH-2FLTF1B96Pq-2FuEkAAd7opU-2BDH-2FK8ygH4v1Jowc2JM576dnlg5M6kK-2BF1aFqcXMo6v0l078P2pIb8IG3xLcxnCrLMbhWSvRZ85DqHaLrOs26XffD6ZEErowEN1FtDncbH7aE9lzoeVHiQPyxLA4FvxTtrIAcROYBsb1lLbph-2F7rW4H9DhAKAkBH7rwkcWQDnzEDL" TargetMode="External"/><Relationship Id="rId6" Type="http://schemas.openxmlformats.org/officeDocument/2006/relationships/hyperlink" Target="https://u7990385.ct.sendgrid.net/ls/click?upn=u001.oZ6GXC16Ztdw1ob-2F3C5yow-2FsK2YC4S8s269h9OLgp-2FGBFWZLZllbRBHWvODbhwmcc7X8H2CAdhggcUMaMndMNZclzfRXdNQrZTJ9H1dTQpx3yHI4UHORVgfntoD6oBofMEPmJIyhe1qI5dYbIZCujm48DJkcgKgkDw7QDHNqyM7LT-2BZ3EtNt9286wRUY0j5NLe2A_6xtWcELrszigtWclrNeGebJoskduW1ZTLOudkGMwS78Hmga-2FypSg6pdbW23es1d922gYIUcl1aS-2F155XdvCXGTnrXk9khAmQqa-2BkMg-2FzfuLBussie2OtNhdfv1tNenklkXQPPmjqhFEKPfe1jVfKdJPjYWxR8rBVfdiyYwNb-2Fi2HL84x8LS195-2BAS6lSFpHkftR3rBGUduEYdHGlVMJA0NQryDM9CgRWr7nf0J6bprrIuWCctZxsS14H8tN-2Btk10QKKgOSNro1bLF3QWg2x41ySDqQfafbMb65MFKQoDj-2F5Oh-2FuJSj7Fvy-2F-2BynAecgaqOkjUk2YgDcJOhW-2BSjrJK2H97vEsI09jxrz2fBuVdss5-2FRrOkV-2FiiA-2BUvM4jmrD8ALwlUGQ5r1vFkL9rQn5Dj11zIg17-2Fh51iwjscVXZ-2F3R0biRRIBFA-2FsDD8Ipx8kCZT8WFtN-2BM3tiSdPvvhf2csMm93F-2BNh7e5D-2BEe40D6GEJrZi1L5bpHpFs7GqunP3U4gDZOfnLJEKxq2j0zBPCwkwZ9Fdw0ytsvUSW1RlnWAVKPrMc6nyX0Kk4DLt5v3bVU3NpxAvFnnomo0T0UN-2FZPEVPEZtNkK6lieaD0G7OUGQBCdAs6pUkv2znxoGZdQXumY-2F5i0wzCfFYehm3h8XSVB3Jcg8mwIN9G81lmWqDL-2FQH2SbklRjfakq2E1GRqK1qTsjl6HDQvrl-2F5DK-2BT8qcRF9K2aUstPs05XSurFbVyEll5nILaNMOxpHhUfpSwpOkBCzSZ2pDI3XSgDTrazp9-2FG-2B2OA8rCpQn90RFSRVzIe01YQSH-2BkR-2F8xe36ykLrFzSwMmfWLrNXhaQ0Txt1ackQ74EWmFMoLDLrSf90DRuOkHzhHsoLTDem4bmX2pI4jY-2Bq0" TargetMode="External"/><Relationship Id="rId11" Type="http://schemas.openxmlformats.org/officeDocument/2006/relationships/hyperlink" Target="https://u7990385.ct.sendgrid.net/ls/click?upn=u001.oZ6GXC16Ztdw1ob-2F3C5yo7QVW75-2FTKePwKfaxxJh5mAaGd08cQUY8gmEwjImX9zkEffvf-2FRYZtr87AxXTeZaG2A60vB8ei1pC0UfZ7H3mbojD128m2FFg8iS6bZrlpI5s1yMvgqKuPqNLJPCVev9nOJjD0ZVzeiQml4YIdLGvmXInCKzp5ndcMh5ZLpnFc31lu44EQ25HzU9xM4Mu9yydQ-3D-3DHqvu_6xtWcELrszigtWclrNeGebJoskduW1ZTLOudkGMwS78Hmga-2FypSg6pdbW23es1d97zs-2Fcema6DDULVs-2BZ5nctK8eEy31iZL82B58goZJX-2Fvi6KMdrwis7miNDg-2BCdndRKUXLIRT9Q0ZBDrGTLotl-2Bau3vg93C5ZUSZtlIzAVAA93FHgiyU6za-2B3Q9Q7Ew6onWcj4mApp3SBG78HNqBNsgB2eMXR8vWGJASV9JEHVx1MOCksp-2BwJ1NGIHGfCt8ZOgXRkI83O0LI0xzKW6uD1VrZl-2Ft7DHYMUKkKYA4xKZ4DvpU0AWlguUkZsS-2BYTbh0cRH7ICcBB8KcsNKzYERWLplovzywrWR6PRHaMAKc6Sjos-2FoEkP48lW5AS5fPV8QiED7ywzVpXnBQSpOh383W9DtTTZaYxwQyDvm12JfzHQAXgovpbYdr8hpWmSYhgw4lSgpi3qQ6Oq0YSprBp1TqS7PO89KVnI7tlkdKT8vq34zSZBUg3-2FM602vQdlxUWq8POCvlp4QOZ7YBZDpYM1WAhqmcnja0UoUeYn3vVe012M0M-2Bv4gJVZ9EUfTghf9phqsYO19UZSZg26xsdnYtgPDfVfWcpEJ5I9x-2FI6cGkF5PF3q6BSfHxt85LMinqdO-2BOPJA9PfGMbzQuO84IHNY-2BIin9Xk9vyvhlMc1fzIgEQ9Qkpu-2BOJ8OVZi9XxfHuPjFc60-2BZGA86GbRq7FKD0DW8pObhyfSnX-2Fst8MNA4eqbtmBfJ3MnpyNaVK0KjQ9cqOzo4gmnOSg6tYmUuKM7InsRGoMAxUzx5CVd4oz7-2F3q6n-2BO643tjpRWaAvsnSjeMeScWuC50SWzi2F92faUhFF3AIRo5SXnm3I9DLjsKUL1DD9U6TlY7sY9V4oLOW4NgFppOX2Hu-2BBN-2FvDdzC16iG9rw777b4QPUui5Ty6e1ofHHTrTjlefjqunebE2312bFgFMOvSxAxMTty-2FrsZY7Q4qbaIvZvFHDuIOO0YEV1NjuzQ9Mg-2BYI002m9c3Et0tqNJKEiV0nCS8bdK7GRNtan0h6Gzka8og-3D-3D" TargetMode="External"/><Relationship Id="rId24" Type="http://schemas.openxmlformats.org/officeDocument/2006/relationships/hyperlink" Target="https://us02.procore.com/562949954193218/project/submittal_logs/562949967160305" TargetMode="External"/><Relationship Id="rId5" Type="http://schemas.openxmlformats.org/officeDocument/2006/relationships/hyperlink" Target="https://u7990385.ct.sendgrid.net/ls/click?upn=u001.oZ6GXC16Ztdw1ob-2F3C5yow-2FsK2YC4S8s269h9OLgp-2FGBFWZLZllbRBHWvODbhwmcc7X8H2CAdhggcUMaMndMNZclzfRXdNQrZTJ9H1dTQpx3yHI4UHORVgfntoD6oBofbrV6Bp8FfEefxasfa3rWOhtMDtmJ42IAuvC4DOGtE9pdVHdVMtpAImSZpmEwN26HhuOO_6xtWcELrszigtWclrNeGebJoskduW1ZTLOudkGMwS78Hmga-2FypSg6pdbW23es1d922gYIUcl1aS-2F155XdvCXGTnrXk9khAmQqa-2BkMg-2FzfuLBussie2OtNhdfv1tNenklkXQPPmjqhFEKPfe1jVfKdJPjYWxR8rBVfdiyYwNb-2Fi2HL84x8LS195-2BAS6lSFpHkftR3rBGUduEYdHGlVMJA0NQryDM9CgRWr7nf0J6bprrIuWCctZxsS14H8tN-2Btk10QKKgOSNro1bLF3QWg2x41ySDqQfafbMb65MFKQoDj-2F5Oh-2FuJSj7Fvy-2F-2BynAecgaqOkjUk2YgDcJOhW-2BSjrJK2H97vEsI09jxrz2fBuVdss5-2FRrOkV-2FiiA-2BUvM4jmrD8ALwlUGQ5r1vFkL9rQn5Dj11zIg17-2Fh51iwjscVXZ-2F3R0biRRIBFA-2FsDD8Ipx8kCZT8WFtN-2BM3tiSdPvvhf2csMm93F-2BNh7e5D-2BEe40D6GEJrZi1L5bpHpFs7GqunP3U4gDZOfnLJEKxq2j0zBPCwkwZ9Fdw0ytsvUSW1RlnWAVKO-2FlqUZOnHTkAiAASdOQ0rg21YddSaP2D9kDbERJHaboPB73nErjCHbC0n3rGrFzp2n-2FLNacKGPeU5HOnNvZ61d8jwG-2BKqX4reEjK45t7fvlVm8RYSM8c52Faw-2B01Z9o113rQWlbyotoHVysp3rwcD-2BOIOdz-2FyUjjaqYrYnB7ursICCgpOszys7D06LC-2Fp-2FfgIHgzQF7qzerdwpZSUjjfVywmTAmzjEcQPvuDTCgUf-2BL2ENJtfyJblOSKv4R2VL4QQecbat4Oyn8SPtDqVqOWClL6Euvrfwpd-2BJBF1YITFUDZxktfFT31PzG9fXt67BPp4s1KGdvwksYZ5rZHXXvKMu" TargetMode="External"/><Relationship Id="rId15" Type="http://schemas.openxmlformats.org/officeDocument/2006/relationships/hyperlink" Target="https://u7990385.ct.sendgrid.net/ls/click?upn=u001.oZ6GXC16Ztdw1ob-2F3C5yo7QVW75-2FTKePwKfaxxJh5mDNQ-2BgiZys1jP-2Fb-2B-2FvnHwftAcP3Uwdv3cKdg78pao1tlpcDW6zHE0O1-2B4bDfhf5jo-2BbhrM610I04DjegFU-2BFt2JYbySBNClUpySkxHZRFla4Rtp9yysuRch32xGxK5cisU4NLjCRkCbBSmtIgQ5zvZrQFCL_6xtWcELrszigtWclrNeGebJoskduW1ZTLOudkGMwS78Hmga-2FypSg6pdbW23es1d97zs-2Fcema6DDULVs-2BZ5nctK8eEy31iZL82B58goZJX-2Fvi6KMdrwis7miNDg-2BCdndRLR5A9vCap68BqTvP9nfadMg8Y8Lz5IbcwH48oN70y9Evic-2BDUDqJuJpDQSllfo-2FgY1nVlvsFrI0JVMqEItxdfd9Kn-2FTS-2FmO6swLNEIK827hXcDuTkcgvF-2FUwGzrxTtA1arT6T4Xjpz4AEIY4CmmZ82NP5hPl3D2eUBi46O39qyAqxx6HvTOJRs24Q4fyl2lhWxvVC5zrdEfSZ12oZhouyHD6WgBKCur1e8D6WbN5CuAhUbGDLhJGb-2FrTfaP6S3zF3YfSi9-2FS0M-2B1KF5SCaGgqN95BZOLAs9pqYW47Pbyy7mjE1p39CwZd65OTKqiYX3GDotwYZztIDN-2BWke4TIDx669zP8ojWFWSBP1IErkQ4v15Z1dbn7Bkfl3uZX3z9AjAy5t2qnweEy2Aam2gPUtTqYrP3s3CLgJNLhoHafiZCiBZBFvxyJVfnXecyWHjEV0LaLPOMgDjZseNzx2kHC3EjwjOZTsKcn8mOSuI5A4vptmQHgPYOn8qzwwnOsiy-2FVhvLi3rFEQG2J-2BUudNfDEBEMJcwbExBzyICFDwJKkZLKZx7PJCTA9OSCWKP8WEH-2FTGQdGTR-2FjhIASxn5dZaUhXcANFSQzVl7FlulXSrougv4PXhuKhdGReYpRCiaxnOfsI-2BPvLT23tFEsbBNekE2CdxMKaqmiufLl2KuPYb-2FSWmBRboWO37PE9VnSE4BkJ1S-2B-2Fo6BmbEXoKYFQYYM-2BMhc-2B-2Bsr0it2rsMSJ9BM-2BbknEzJsLLtzwcoei2tr8OM2kf-2BSJEV5PD6k6io06r9YjG1LNO7z057IwARYxr7lftdzJLwGT3UBwCwwWk1syoJgrsni86Cb1H3r6RAh61aAHHuqhSXA-3D-3D" TargetMode="External"/><Relationship Id="rId23" Type="http://schemas.openxmlformats.org/officeDocument/2006/relationships/hyperlink" Target="https://oaconsulting.sharepoint.com/:f:/r/sites/LakesideProjects/Shared%20Documents/ATLANTA%20(ATL,%20CCO,%20FTY)/FTY02/Design/60%20-%20Construction/FTY02%20Building%202/Submittals/FTY02_27%2008%2020-8%20Revision%200%20ADMIN%20%26%20COLO%201%20-%20Test%20Reports%20Package%202?csf=1&amp;web=1&amp;e=MJ5rUL" TargetMode="External"/><Relationship Id="rId10" Type="http://schemas.openxmlformats.org/officeDocument/2006/relationships/hyperlink" Target="https://u7990385.ct.sendgrid.net/ls/click?upn=u001.oZ6GXC16Ztdw1ob-2F3C5yo7QVW75-2FTKePwKfaxxJh5mAaGd08cQUY8gmEwjImX9zkEffvf-2FRYZtr87AxXTeZaG2A60vB8ei1pC0UfZ7H3mbojD128m2FFg8iS6bZrlpI5Z9aNTv36S-2FIP7VLq9YTI8g89kep5MG0DBQEotVUnM2SI9W7S6pbqDj1ys7qa2-2BLmW4omIe2h5N3LPS9Wn8j0jg-3D-3DCuvJ_6xtWcELrszigtWclrNeGebJoskduW1ZTLOudkGMwS78Hmga-2FypSg6pdbW23es1d97zs-2Fcema6DDULVs-2BZ5nctK8eEy31iZL82B58goZJX-2Fvi6KMdrwis7miNDg-2BCdndRKUXLIRT9Q0ZBDrGTLotl-2Bau3vg93C5ZUSZtlIzAVAA8-2BMmkxDcE0CZvD-2BcKCzvY0k5lM90BEminUhwZdQZATRUSOm3sTDylEnUgi-2FRuuszGNiMu2eYyASmhJKNaPxtowS-2Ffs0IakgcfnEkeGKC5-2BxwNDiqod1XWsQGEHcUPf0wXPrYwrcqYu2xCASuE9yqizMTCVZ4ikEbVwe3y4xc3ec5uv1eWPfOZQU4riIak3ThE7kmjAN5EziKaFeYqKpBKCiqVKhw8h99JWClZiDaoApgOu48IjdXk92MRz9jf8eSOZ2Z9md4cj-2Bkf1BZakOEJ5x2A-2BcOS9L9QZfvi62UNVSujDdL7PSE1En86F41o-2FRriQe8i-2FSThTDFJGNT-2FhZE5G7tHHhPM-2FlmWI2bDYHOMdNAah06p4XXe4AwHQuXWEckry-2Bx1Grmsc8EtsN25N-2BRMAY0FILWFN1-2FJPV3NoFiC0HXg0BHlYjoZCglqeAszp6wnPEdHFKv1ph1pS5jaBs9jJcOkEkNICJhrUKXk5cEBKLo8OoQG1564pvHipfah89W89hAkpePKTDjjCykR5Y85yH-2Bn-2B1iBsWJ6sh5JiIVOFoenqHzjYXLANalPoPxRp-2F-2FlUeNaYXoFGxeXh3NdLTM1n4dhcJwZ8Zq9yFHirW56kfzHyjxZMVWsPYFOaYbdbQdqp66p9Ftu2HNPMOoRAoZfDr5gfZEjobPtRa2kumT-2BWA0xX7bK54tBxdHotLp-2F-2FootnsYjtu0s-2BBZXUzBbdB6-2BcKFXy-2B4rtNvsRuL7YyO-2FNZF1gTWbpru6r-2FYjk1DgNDGSB0N92beJbR54FigLXIyWpHNgDCl62yP546C50a48ST9tUfs1u33qZX6DW6HD9bGxcF5MQNHUmT6ZCcWcjCGfM4vx9EE-2BmCDhwKY5rWVlAvw-3D-3D" TargetMode="External"/><Relationship Id="rId19" Type="http://schemas.openxmlformats.org/officeDocument/2006/relationships/hyperlink" Target="https://urldefense.proofpoint.com/v2/url?u=https-3A__microsoftprd.sharepoint.com_-3Ax-3A_r_teams_AMERDesignDocuments_Project-2520Documents_LVL12-2D14_01-5FDesign_07-2520-2D-2520DESIGN-2520DELIVERABLES_LVL13-2520Redesign_20260121-2520LVL13-2520RFI-2520Log-2520-2D-2520Weitz-25201.22.26-5FAE-2520Working-2520Copy.xlsx-3Fd-3Dwf32807fdf093466fa169ac6332c26db7-26csf-3D1-26web-3D1-26e-3Dogk0Sr&amp;d=DwMFAg&amp;c=euGZstcaTDllvimEN8b7jXrwqOf-v5A_CdpgnVfiiMM&amp;r=xth08qXXlC3Ho6r5tOp3YfWUvW2mbXWsxXerUoErFK0&amp;m=4_5d-IPD6z7OqyrRqLFBguoQapdRQLVZBVW1eyBbZQydq1l8BLFakbT5UlNPO1xK&amp;s=x7MwB-_rRL9-D4N-HylbTApBfmyO9cO_lNNRIdpk22U&amp;e=" TargetMode="External"/><Relationship Id="rId4" Type="http://schemas.openxmlformats.org/officeDocument/2006/relationships/hyperlink" Target="https://u7990385.ct.sendgrid.net/ls/click?upn=u001.oZ6GXC16Ztdw1ob-2F3C5yow-2FsK2YC4S8s269h9OLgp-2FGBFWZLZllbRBHWvODbhwmcc7X8H2CAdhggcUMaMndMNZclzfRXdNQrZTJ9H1dTQpx3yHI4UHORVgfntoD6oBofZ6IEj3OCXjhk1FaPWPRHjy1WfUYS3wDckzhunDF-2BiEKbYcrgNWjG0wwHPK-2BlMRqfskfT_6xtWcELrszigtWclrNeGebJoskduW1ZTLOudkGMwS78Hmga-2FypSg6pdbW23es1d922gYIUcl1aS-2F155XdvCXGTnrXk9khAmQqa-2BkMg-2FzfuLBussie2OtNhdfv1tNenklkXQPPmjqhFEKPfe1jVfKdJPjYWxR8rBVfdiyYwNb-2Fi2HL84x8LS195-2BAS6lSFpHkftR3rBGUduEYdHGlVMJA0NQryDM9CgRWr7nf0J6bprrIuWCctZxsS14H8tN-2Btk10QKKgOSNro1bLF3QWg2x41ySDqQfafbMb65MFKQoDj-2F5Oh-2FuJSj7Fvy-2F-2BynAecgaqOkjUk2YgDcJOhW-2BSjrJK2H97vEsI09jxrz2fBuVdss5-2FRrOkV-2FiiA-2BUvM4jmrD8ALwlUGQ5r1vFkL9rQn5Dj11zIg17-2Fh51iwjscVXZ-2F3R0biRRIBFA-2FsDD8Ipx8kCZT8WFtN-2BM3tiSdPvvhf2csMm93F-2BNh7e5D-2BEe40D6GEJrZi1L5bpHpFs7GqunP3U4gDZOfnLJEKxq2j0zBPCwkwZ9Fdw0ytsvUSW1RlnWAVKN1n4iP-2FzCVR9tPQ2KGpfKycKFnOcUSk3HFOnXCkxkLNqKtpBGGO2ZvpoGQWJz486IwryNpa67uY1nf0Hjb8r2Mv6eOXQ83P7K13xGMYWqJ74xO0KjA-2B-2FA7heoQfY-2B9kHGpmkZAOJ-2BlHoZMiyUqxgjgSs0crPQHHW1zs3iW-2B-2FMr-2FYMbTnYlmAJl0qJJ3tOggFjUrCtioY8zJoOCY4z5eAotbVhLdNfUH6544Zd22IJwkJDYxG5m5DqeOnQN8JoUaUh1VRm-2Bq5pY6ihxlb-2BYwnEx4pBfOMjsEq0W1pB-2F7vWMWqvGNvsxXQ9-2BCI0QuHecLFg5wI3u7no7ua5sk3J-2BYJLd" TargetMode="External"/><Relationship Id="rId9" Type="http://schemas.openxmlformats.org/officeDocument/2006/relationships/hyperlink" Target="https://u7990385.ct.sendgrid.net/ls/click?upn=u001.oZ6GXC16Ztdw1ob-2F3C5yo7QVW75-2FTKePwKfaxxJh5mDNQ-2BgiZys1jP-2Fb-2B-2FvnHwftAcP3Uwdv3cKdg78pao1tlpcDW6zHE0O1-2B4bDfhf5jo-2BbhrM610I04DjegFU-2BFt2JZ8R98iU4yKjk3lSaFLrDCxVpJdsUUH0RNlP6roOvRRIsKfTsUwbjH7xEdpwoc4mMDsB3_lluTCRCe9HEJnWCLUZSREWtyRXvYSPBC4wrLHjn-2BKbsAac1pcPSTwqmpjlKoAD04rPy0npYc38Qwpb3UP-2B7Gif9PHyg5bAdTBwex-2FYEvtBc3ROCFKaJss40hhdkD4S3x7y5mEGng80AXZVD1dXQ6zqzX0vJaeUW-2Bbu7piKTxYsqSrMXUy17gSSXUhUg4NLDZ0QrtTeSVDAxQAbPLUgPkBKEsC8imkcWyOkZzRZiYDjLOepMkMFms1U-2FHv9u6n0PTElSgkxkL534lIdHen1hDrtn3fMivb0oXC7RSCJiPayqjoMPymyzS11n7SpOLmO-2B-2BctMEVmiDizEO6Eq42u1v7yqP-2B9uPc9MgCAvMnw7w-2B8gUfBJlSP8EupK4wJhHVIIuxaPY-2FRRPyzGgpSIE6j-2BKvaQTSjIQS2G0-2Fc-2FkCR4rEZno8-2BnZ2wvHUVWdfOY8h0ed2ylGlH75r79EZiZn1YO5EBt9WysxfL717AT-2FmE1m6Y3OSFYb5IP4VP1uudWuDBdeom0yE5VQKN4QMelR23L7KV5My-2FMAJjC9AkmxoYlOiXBCunI84weizNNCWQ5T8mAdB2pPAOYN5LyfKe7ET7s9XAPfmaFH34pBXlp8JE5tkMPPRGE9B15GkfAzjwDeL9nio7zreqElSqSsjXuRA6Gpwedw-2FEKQaj2sLwOBwHRrXt8uLesTn4o9yYJWBRh3Tb18gcbqQGBNRfQ79114ni23rMWEyvHQIm3rPgM77Hc8aN8q7YrOo1IUWoW3rSWUcRQy-2F7FuLrYpCMbe-2BrOanGGvN2uC4TUQY78211hqa0I3Z3uptxhJNuo6yQQFfWXsZWqZcpbbUTNfI4c5LkywYtfOBBdEJP7DIRrw34-2BT6udIyI7cHrFFOoHV0WSuWxfthzHyY9U4SdmiEhjXtfADI5iCSDt3BACUOYBlasx3C3jqTPv9BFCKtwLukR-2BFVhXozOV9NHzFnRYy1uFs2oTGiwT-2BNQ-3D-3D" TargetMode="External"/><Relationship Id="rId14" Type="http://schemas.openxmlformats.org/officeDocument/2006/relationships/hyperlink" Target="https://u7990385.ct.sendgrid.net/ls/click?upn=u001.oZ6GXC16Ztdw1ob-2F3C5yo8048UBaJOCtZ-2Fwh1Ld40EYORIhEjsMfvUTQLQMq-2BzlqLejH9A-2BGNZasrAHFN27QOm0Kr-2Fg78s-2BeTIS2rClM-2BKwLFEUzBfY20xtDSM-2BfcZz7DSZGsv4eV-2FUvaeJ1cxBp3i6ivilmFYRXf8kjIZcOqLa11vPtiqt0aL-2FZaQ79opF7x_gz_7J8IcsXzaSBjIHjuW8v7PZeofEgbmU97T-2FibhxzsjTxxDygsCGiskKxDAaAvYx5T2qtJfO3MfjmzK3HjPe5VjlXJDQu368EJtf3eNR2bTFqTex8oyTHflesQo2Rbv7mWyJs2cFejchuWDEjCW8Q2tMGZ01tpfZ0yanQnC8uWBdFNb3giuHlGsl2chmHchUtxb7Q2RmcXWj3SzzBWUqW2-2B-2FCv9tFNu2vCJ-2BXSjCqnM-2FaVotzH2JywVnu2SqQSBvg2yu-2F5GorTzkWZPxUF2ngXTbtuxu-2FPG32ojyP2rAK-2FTaPdI0Hea6vxS3-2B3esSr2DhCfJLxM7r0vHXfladDmetkAlt-2BP4Fftl4T3WUGkYVIH7odbMMpcwJ5lk5AZCOLLOXNy79AOfTNTMPMP30Vd5zR6tPd2NJMVcZHu-2FUCY420d2L43Oki60roOgCpWe4x-2FVkape5Bs4ZEjBtN3AokfU3m69Eupy5CSMMlVMArEFACHVUqJvWpSJUTt66WVEtDftQ3c9XzJbXLvHb-2BQXJGI2TBGac9VNbHzUUmt7WSh-2BmBt42t9Nfv17GiJwIA0hMitnJn7qK1xVPwSMM66avfLZSxQrQ9PhbiDf3FuVWopJtHmzZ59wSAaiQ8pXb9W-2FfVeYwN6Y0BsH-2BYlTooNJdlXq7q3DSS1aqJJsvx9QmdGCB-2BgoY1r45rBVaQtANtrGMy3FxtFe0tVfcSrSzw0LomcLlZ0TaEM-2F8psE2bfhGy8gy8EzZqi1qBEe3f2NlvHmcKUndtJ9t4IdKuMSiY8q9ksmKlou4OyAC2LIWex-2Bw3KzT14FLYrRBIdlLFk-2Bf9JCjg0nCPFxSBDy3H4sZnkey2rGDigAvRyLwTtlaSivWu5m94QCv88ZbGa9-2FIcGD-2BDsoOUOZerVoF3mvU55It61MfkdkhU6NBuKWzY3ki23d-2Fsgwx9HP-2FuRzE-2FxfGvgQHfahfDb6pBs3UeuXogmV2QzQXTdvzeA-3D-3D" TargetMode="External"/><Relationship Id="rId22" Type="http://schemas.openxmlformats.org/officeDocument/2006/relationships/hyperlink" Target="https://oaconsulting.sharepoint.com/:f:/r/sites/LakesideProjects/Shared%20Documents/ATLANTA%20(ATL,%20CCO,%20FTY)/FTY02/Design/60%20-%20Construction/FTY02%20Building%202/Submittals/FTY02_27%2008%2020-5%20Revision%201%20Admin%20%26%20Colo%201%20-%20Test%20Reports%20-%20Package%201?csf=1&amp;web=1&amp;e=8s0dat" TargetMode="External"/></Relationships>
</file>

<file path=xl/worksheets/_rels/sheet11.xml.rels><?xml version="1.0" encoding="UTF-8" standalone="yes"?>
<Relationships xmlns="http://schemas.openxmlformats.org/package/2006/relationships"><Relationship Id="rId3" Type="http://schemas.openxmlformats.org/officeDocument/2006/relationships/hyperlink" Target="mailto:Brian.Gailfus@jacobs.com" TargetMode="External"/><Relationship Id="rId2" Type="http://schemas.openxmlformats.org/officeDocument/2006/relationships/hyperlink" Target="mailto:karen.walker@jacobs.com%20-%20Jacobs%20On-site%20CM" TargetMode="External"/><Relationship Id="rId1" Type="http://schemas.openxmlformats.org/officeDocument/2006/relationships/hyperlink" Target="mailto:karen.walker@jacobs.com%20-%20Jacobs%20On-site%20CM" TargetMode="External"/></Relationships>
</file>

<file path=xl/worksheets/_rels/sheet12.xml.rels><?xml version="1.0" encoding="UTF-8" standalone="yes"?>
<Relationships xmlns="http://schemas.openxmlformats.org/package/2006/relationships"><Relationship Id="rId3" Type="http://schemas.microsoft.com/office/2017/10/relationships/threadedComment" Target="../threadedComments/threadedComment5.xml"/><Relationship Id="rId2" Type="http://schemas.openxmlformats.org/officeDocument/2006/relationships/comments" Target="../comments5.xml"/><Relationship Id="rId1" Type="http://schemas.openxmlformats.org/officeDocument/2006/relationships/vmlDrawing" Target="../drawings/vmlDrawing5.vml"/></Relationships>
</file>

<file path=xl/worksheets/_rels/sheet14.xml.rels><?xml version="1.0" encoding="UTF-8" standalone="yes"?>
<Relationships xmlns="http://schemas.openxmlformats.org/package/2006/relationships"><Relationship Id="rId13" Type="http://schemas.openxmlformats.org/officeDocument/2006/relationships/hyperlink" Target="mailto:cmendell@esdglobal.com" TargetMode="External"/><Relationship Id="rId18" Type="http://schemas.openxmlformats.org/officeDocument/2006/relationships/hyperlink" Target="mailto:clay@syska.com" TargetMode="External"/><Relationship Id="rId26" Type="http://schemas.openxmlformats.org/officeDocument/2006/relationships/hyperlink" Target="mailto:RSims@swansonrink.com" TargetMode="External"/><Relationship Id="rId21" Type="http://schemas.openxmlformats.org/officeDocument/2006/relationships/hyperlink" Target="mailto:clay@syska.com" TargetMode="External"/><Relationship Id="rId34" Type="http://schemas.openxmlformats.org/officeDocument/2006/relationships/hyperlink" Target="mailto:kyurkovska@wzmh.com" TargetMode="External"/><Relationship Id="rId7" Type="http://schemas.openxmlformats.org/officeDocument/2006/relationships/hyperlink" Target="mailto:hhernandez@ha-ny.com" TargetMode="External"/><Relationship Id="rId12" Type="http://schemas.openxmlformats.org/officeDocument/2006/relationships/hyperlink" Target="mailto:Blake.Giles@jacobs.com" TargetMode="External"/><Relationship Id="rId17" Type="http://schemas.openxmlformats.org/officeDocument/2006/relationships/hyperlink" Target="mailto:cmussery@burnsmcd.com" TargetMode="External"/><Relationship Id="rId25" Type="http://schemas.openxmlformats.org/officeDocument/2006/relationships/hyperlink" Target="mailto:RSims@swansonrink.com" TargetMode="External"/><Relationship Id="rId33" Type="http://schemas.openxmlformats.org/officeDocument/2006/relationships/hyperlink" Target="mailto:jguzman@ha-ny.com" TargetMode="External"/><Relationship Id="rId2" Type="http://schemas.openxmlformats.org/officeDocument/2006/relationships/hyperlink" Target="mailto:MagantiSA@bv.com" TargetMode="External"/><Relationship Id="rId16" Type="http://schemas.openxmlformats.org/officeDocument/2006/relationships/hyperlink" Target="mailto:cmussery@burnsmcd.com" TargetMode="External"/><Relationship Id="rId20" Type="http://schemas.openxmlformats.org/officeDocument/2006/relationships/hyperlink" Target="mailto:clay@syska.com" TargetMode="External"/><Relationship Id="rId29" Type="http://schemas.openxmlformats.org/officeDocument/2006/relationships/hyperlink" Target="mailto:RSims@swansonrink.com" TargetMode="External"/><Relationship Id="rId1" Type="http://schemas.openxmlformats.org/officeDocument/2006/relationships/hyperlink" Target="mailto:MagantiSA@bv.com" TargetMode="External"/><Relationship Id="rId6" Type="http://schemas.openxmlformats.org/officeDocument/2006/relationships/hyperlink" Target="mailto:hhernandez@ha-ny.com" TargetMode="External"/><Relationship Id="rId11" Type="http://schemas.openxmlformats.org/officeDocument/2006/relationships/hyperlink" Target="mailto:Blake.Giles@jacobs.com" TargetMode="External"/><Relationship Id="rId24" Type="http://schemas.openxmlformats.org/officeDocument/2006/relationships/hyperlink" Target="mailto:LPercy@morrisonhershfield.com" TargetMode="External"/><Relationship Id="rId32" Type="http://schemas.openxmlformats.org/officeDocument/2006/relationships/hyperlink" Target="mailto:Blake.Giles@jacobs.com" TargetMode="External"/><Relationship Id="rId37" Type="http://schemas.openxmlformats.org/officeDocument/2006/relationships/hyperlink" Target="mailto:kyurkovska@wzmh.com" TargetMode="External"/><Relationship Id="rId5" Type="http://schemas.openxmlformats.org/officeDocument/2006/relationships/hyperlink" Target="mailto:akrebs@syska.com" TargetMode="External"/><Relationship Id="rId15" Type="http://schemas.openxmlformats.org/officeDocument/2006/relationships/hyperlink" Target="mailto:cmussery@burnsmcd.com" TargetMode="External"/><Relationship Id="rId23" Type="http://schemas.openxmlformats.org/officeDocument/2006/relationships/hyperlink" Target="mailto:lalexander@pagethink.com" TargetMode="External"/><Relationship Id="rId28" Type="http://schemas.openxmlformats.org/officeDocument/2006/relationships/hyperlink" Target="mailto:RSims@swansonrink.com" TargetMode="External"/><Relationship Id="rId36" Type="http://schemas.openxmlformats.org/officeDocument/2006/relationships/hyperlink" Target="mailto:kyurkovska@wzmh.com" TargetMode="External"/><Relationship Id="rId10" Type="http://schemas.openxmlformats.org/officeDocument/2006/relationships/hyperlink" Target="mailto:Blake.Giles@jacobs.com" TargetMode="External"/><Relationship Id="rId19" Type="http://schemas.openxmlformats.org/officeDocument/2006/relationships/hyperlink" Target="mailto:clay@syska.com" TargetMode="External"/><Relationship Id="rId31" Type="http://schemas.openxmlformats.org/officeDocument/2006/relationships/hyperlink" Target="mailto:dlamutt@pagethink.com" TargetMode="External"/><Relationship Id="rId4" Type="http://schemas.openxmlformats.org/officeDocument/2006/relationships/hyperlink" Target="mailto:akrebs@syska.com" TargetMode="External"/><Relationship Id="rId9" Type="http://schemas.openxmlformats.org/officeDocument/2006/relationships/hyperlink" Target="mailto:hhernandez@ha-ny.com" TargetMode="External"/><Relationship Id="rId14" Type="http://schemas.openxmlformats.org/officeDocument/2006/relationships/hyperlink" Target="mailto:cmendell@esdglobal.com" TargetMode="External"/><Relationship Id="rId22" Type="http://schemas.openxmlformats.org/officeDocument/2006/relationships/hyperlink" Target="mailto:Howard.Way@jacobs.com" TargetMode="External"/><Relationship Id="rId27" Type="http://schemas.openxmlformats.org/officeDocument/2006/relationships/hyperlink" Target="mailto:RSims@swansonrink.com" TargetMode="External"/><Relationship Id="rId30" Type="http://schemas.openxmlformats.org/officeDocument/2006/relationships/hyperlink" Target="mailto:Kristin.McCue@jacobs.com" TargetMode="External"/><Relationship Id="rId35" Type="http://schemas.openxmlformats.org/officeDocument/2006/relationships/hyperlink" Target="mailto:kyurkovska@wzmh.com" TargetMode="External"/><Relationship Id="rId8" Type="http://schemas.openxmlformats.org/officeDocument/2006/relationships/hyperlink" Target="mailto:hhernandez@ha-ny.com" TargetMode="External"/><Relationship Id="rId3" Type="http://schemas.openxmlformats.org/officeDocument/2006/relationships/hyperlink" Target="mailto:akrebs@syska.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27629F-A30E-4626-B5AD-88C2F8B5ABD8}">
  <sheetPr>
    <pageSetUpPr fitToPage="1"/>
  </sheetPr>
  <dimension ref="B1:N36"/>
  <sheetViews>
    <sheetView showGridLines="0" workbookViewId="0">
      <selection activeCell="C28" sqref="C28"/>
    </sheetView>
  </sheetViews>
  <sheetFormatPr defaultRowHeight="14.45"/>
  <cols>
    <col min="2" max="2" width="11.5703125" bestFit="1" customWidth="1"/>
    <col min="3" max="3" width="10.42578125" bestFit="1" customWidth="1"/>
    <col min="4" max="6" width="11.5703125" bestFit="1" customWidth="1"/>
    <col min="7" max="7" width="12.5703125" customWidth="1"/>
    <col min="8" max="14" width="11.5703125" bestFit="1" customWidth="1"/>
  </cols>
  <sheetData>
    <row r="1" spans="2:14" ht="15" thickBot="1"/>
    <row r="2" spans="2:14" ht="14.85" customHeight="1">
      <c r="B2" s="816" t="s">
        <v>0</v>
      </c>
      <c r="C2" s="817"/>
      <c r="D2" s="817"/>
      <c r="E2" s="817"/>
      <c r="F2" s="818"/>
      <c r="K2" s="828" t="s">
        <v>1</v>
      </c>
      <c r="L2" s="829"/>
      <c r="M2" s="829"/>
      <c r="N2" s="830"/>
    </row>
    <row r="3" spans="2:14" ht="14.85" customHeight="1" thickBot="1">
      <c r="B3" s="819"/>
      <c r="C3" s="820"/>
      <c r="D3" s="820"/>
      <c r="E3" s="820"/>
      <c r="F3" s="821"/>
      <c r="K3" s="831"/>
      <c r="L3" s="814"/>
      <c r="M3" s="814"/>
      <c r="N3" s="832"/>
    </row>
    <row r="4" spans="2:14">
      <c r="B4" s="40" t="s">
        <v>2</v>
      </c>
      <c r="D4" s="1">
        <f ca="1">TODAY()</f>
        <v>46275</v>
      </c>
      <c r="F4" s="41"/>
      <c r="K4" s="40" t="s">
        <v>2</v>
      </c>
      <c r="L4" s="1">
        <f ca="1">TODAY()</f>
        <v>46275</v>
      </c>
      <c r="N4" s="41"/>
    </row>
    <row r="5" spans="2:14">
      <c r="B5" s="40"/>
      <c r="F5" s="41"/>
      <c r="K5" s="40"/>
      <c r="N5" s="41"/>
    </row>
    <row r="6" spans="2:14">
      <c r="B6" s="42" t="s">
        <v>3</v>
      </c>
      <c r="C6" s="10"/>
      <c r="D6" s="10" t="s">
        <v>4</v>
      </c>
      <c r="E6" s="10" t="s">
        <v>5</v>
      </c>
      <c r="F6" s="43" t="s">
        <v>6</v>
      </c>
      <c r="K6" s="42" t="s">
        <v>3</v>
      </c>
      <c r="L6" s="10" t="s">
        <v>4</v>
      </c>
      <c r="M6" s="10" t="s">
        <v>5</v>
      </c>
      <c r="N6" s="43" t="s">
        <v>6</v>
      </c>
    </row>
    <row r="7" spans="2:14">
      <c r="B7" s="40" t="str">
        <f ca="1">_xlfn.XLOOKUP($D$4,Design!$K$2:$K$130,Design!$A$2:$A$130, "Nothing Due",0,1)</f>
        <v>Nothing Due</v>
      </c>
      <c r="D7" t="str">
        <f ca="1">C16</f>
        <v>-</v>
      </c>
      <c r="E7" t="str">
        <f ca="1">C17</f>
        <v>-</v>
      </c>
      <c r="F7" s="41" t="str">
        <f ca="1">C18</f>
        <v>-</v>
      </c>
      <c r="K7" s="40" t="str">
        <f ca="1">C28</f>
        <v xml:space="preserve"> - </v>
      </c>
      <c r="L7" t="str">
        <f ca="1">C29</f>
        <v>-</v>
      </c>
      <c r="M7" t="str">
        <f ca="1">C30</f>
        <v>-</v>
      </c>
      <c r="N7" s="41" t="str">
        <f ca="1">C31</f>
        <v>-</v>
      </c>
    </row>
    <row r="8" spans="2:14" ht="15" thickBot="1">
      <c r="B8" s="44" t="str">
        <f ca="1">_xlfn.XLOOKUP($D$4,Design!$K$2:$K$130,Design!$A$2:$A$130, "Nothing Due",0,-1)</f>
        <v>Nothing Due</v>
      </c>
      <c r="C8" s="45"/>
      <c r="D8" s="45" t="str">
        <f ca="1">_xlfn.XLOOKUP($D$4,Design!$M$2:$M$151,Design!$A$2:$A$151, "Nothing Due",0,-1)</f>
        <v>Nothing Due</v>
      </c>
      <c r="E8" s="45" t="str">
        <f ca="1">_xlfn.XLOOKUP($D$4,Design!$O$2:$O$151,Design!$A$2:$A$151, "Nothing Due",0,-1)</f>
        <v>Nothing Due</v>
      </c>
      <c r="F8" s="46" t="str">
        <f ca="1">_xlfn.XLOOKUP($D$4,Design!Q2:Q151,Design!$A$2:$A$151, "Nothing Due",0,-1)</f>
        <v>Nothing Due</v>
      </c>
      <c r="K8" s="44" t="str">
        <f ca="1">_xlfn.XLOOKUP($D$4,Design!$K$2:$K$151,Design!$A$2:$A$151, "Nothing Due",0,-1)</f>
        <v>Nothing Due</v>
      </c>
      <c r="L8" s="45" t="str">
        <f ca="1">_xlfn.XLOOKUP($D$4,Design!$M$2:$M$151,Design!$A$2:$A$151, "Nothing Due",0,-1)</f>
        <v>Nothing Due</v>
      </c>
      <c r="M8" s="45" t="str">
        <f ca="1">_xlfn.XLOOKUP($D$4,Design!$O$2:$O$151,Design!$A$2:$A$151, "Nothing Due",0,-1)</f>
        <v>Nothing Due</v>
      </c>
      <c r="N8" s="46" t="str">
        <f ca="1">_xlfn.XLOOKUP($D$4,Design!W2:W151,Design!$A$2:$A$151, "Nothing Due",0,-1)</f>
        <v>Nothing Due</v>
      </c>
    </row>
    <row r="9" spans="2:14" ht="15" thickBot="1"/>
    <row r="10" spans="2:14" ht="14.85" customHeight="1">
      <c r="B10" s="822" t="s">
        <v>7</v>
      </c>
      <c r="C10" s="823"/>
      <c r="D10" s="823"/>
      <c r="E10" s="823"/>
      <c r="F10" s="823"/>
      <c r="G10" s="823"/>
      <c r="H10" s="823"/>
      <c r="I10" s="823"/>
      <c r="J10" s="823"/>
      <c r="K10" s="823"/>
      <c r="L10" s="823"/>
      <c r="M10" s="823"/>
      <c r="N10" s="824"/>
    </row>
    <row r="11" spans="2:14" ht="14.85" customHeight="1">
      <c r="B11" s="825"/>
      <c r="C11" s="826"/>
      <c r="D11" s="826"/>
      <c r="E11" s="826"/>
      <c r="F11" s="826"/>
      <c r="G11" s="826"/>
      <c r="H11" s="826"/>
      <c r="I11" s="826"/>
      <c r="J11" s="826"/>
      <c r="K11" s="826"/>
      <c r="L11" s="826"/>
      <c r="M11" s="826"/>
      <c r="N11" s="827"/>
    </row>
    <row r="12" spans="2:14" ht="14.85" customHeight="1">
      <c r="B12" s="83"/>
      <c r="C12" s="50"/>
      <c r="D12" s="50"/>
      <c r="E12" s="50"/>
      <c r="F12" s="50"/>
      <c r="G12" s="51"/>
      <c r="H12" s="51"/>
      <c r="I12" s="51"/>
      <c r="J12" s="51"/>
      <c r="K12" s="51"/>
      <c r="L12" s="51"/>
      <c r="M12" s="51"/>
      <c r="N12" s="84"/>
    </row>
    <row r="13" spans="2:14">
      <c r="B13" s="77" t="s">
        <v>8</v>
      </c>
      <c r="C13" s="4"/>
      <c r="D13" s="1">
        <f ca="1">TODAY()</f>
        <v>46275</v>
      </c>
      <c r="E13" s="1"/>
      <c r="N13" s="76"/>
    </row>
    <row r="14" spans="2:14">
      <c r="B14" s="78"/>
      <c r="N14" s="76"/>
    </row>
    <row r="15" spans="2:14">
      <c r="B15" s="78"/>
      <c r="C15" s="24">
        <f ca="1">TODAY()</f>
        <v>46275</v>
      </c>
      <c r="D15" s="79">
        <f ca="1">WORKDAY(D13,1)</f>
        <v>46276</v>
      </c>
      <c r="E15" s="79">
        <f ca="1">WORKDAY(D15,1)</f>
        <v>46279</v>
      </c>
      <c r="F15" s="79">
        <f t="shared" ref="F15:N15" ca="1" si="0">WORKDAY(E15,1)</f>
        <v>46280</v>
      </c>
      <c r="G15" s="79">
        <f t="shared" ca="1" si="0"/>
        <v>46281</v>
      </c>
      <c r="H15" s="79">
        <f t="shared" ca="1" si="0"/>
        <v>46282</v>
      </c>
      <c r="I15" s="79">
        <f t="shared" ca="1" si="0"/>
        <v>46283</v>
      </c>
      <c r="J15" s="79">
        <f t="shared" ca="1" si="0"/>
        <v>46286</v>
      </c>
      <c r="K15" s="79">
        <f t="shared" ca="1" si="0"/>
        <v>46287</v>
      </c>
      <c r="L15" s="79">
        <f t="shared" ca="1" si="0"/>
        <v>46288</v>
      </c>
      <c r="M15" s="79">
        <f t="shared" ca="1" si="0"/>
        <v>46289</v>
      </c>
      <c r="N15" s="80">
        <f t="shared" ca="1" si="0"/>
        <v>46290</v>
      </c>
    </row>
    <row r="16" spans="2:14">
      <c r="B16" s="81" t="s">
        <v>3</v>
      </c>
      <c r="C16" s="57" t="str">
        <f ca="1">_xlfn.XLOOKUP(C15,Design!$K$2:$K$151,Design!$A$2:$A$151, "-",0,1)</f>
        <v>-</v>
      </c>
      <c r="D16" s="57" t="str">
        <f ca="1">_xlfn.XLOOKUP(D15,Design!$K$2:$K$151,Design!$A$2:$A$151, "-",0,1)</f>
        <v>-</v>
      </c>
      <c r="E16" s="57" t="str">
        <f ca="1">_xlfn.XLOOKUP(E15,Design!$K$2:$K$151,Design!$A$2:$A$151, "-",0,1)</f>
        <v>-</v>
      </c>
      <c r="F16" s="57" t="str">
        <f ca="1">_xlfn.XLOOKUP(F15,Design!$K$2:$K$151,Design!$A$2:$A$151, "-",0,1)</f>
        <v>-</v>
      </c>
      <c r="G16" s="57" t="str">
        <f ca="1">_xlfn.XLOOKUP(G15,Design!$K$2:$K$151,Design!$A$2:$A$151, "-",0,1)</f>
        <v>-</v>
      </c>
      <c r="H16" s="57" t="str">
        <f ca="1">_xlfn.XLOOKUP(H15,Design!$K$2:$K$151,Design!$A$2:$A$151, "-",0,1)</f>
        <v>-</v>
      </c>
      <c r="I16" s="57" t="str">
        <f ca="1">_xlfn.XLOOKUP(I15,Design!$K$2:$K$151,Design!$A$2:$A$151, "-",0,1)</f>
        <v>-</v>
      </c>
      <c r="J16" s="57" t="str">
        <f ca="1">_xlfn.XLOOKUP(J15,Design!$K$2:$K$151,Design!$A$2:$A$151, "-",0,1)</f>
        <v>-</v>
      </c>
      <c r="K16" s="57" t="str">
        <f ca="1">_xlfn.XLOOKUP(K15,Design!$K$2:$K$151,Design!$A$2:$A$151, "-",0,1)</f>
        <v>-</v>
      </c>
      <c r="L16" s="57" t="str">
        <f ca="1">_xlfn.XLOOKUP(L15,Design!$K$2:$K$151,Design!$A$2:$A$151, "-",0,1)</f>
        <v>-</v>
      </c>
      <c r="M16" s="57" t="str">
        <f ca="1">_xlfn.XLOOKUP(M15,Design!$K$2:$K$151,Design!$A$2:$A$151, "-",0,1)</f>
        <v>-</v>
      </c>
      <c r="N16" s="105" t="str">
        <f ca="1">_xlfn.XLOOKUP(N15,Design!$K$2:$K$151,Design!$A$2:$A$151, "-",0,1)</f>
        <v>-</v>
      </c>
    </row>
    <row r="17" spans="2:14">
      <c r="B17" s="81" t="s">
        <v>4</v>
      </c>
      <c r="C17" s="57" t="str">
        <f ca="1">_xlfn.XLOOKUP(C15,Design!$M$2:$M$151,Design!$A$2:$A$151, "-",0,1)</f>
        <v>-</v>
      </c>
      <c r="D17" s="57" t="str">
        <f ca="1">_xlfn.XLOOKUP(D15,Design!$M$2:$M$151,Design!$A$2:$A$151, "-",0,1)</f>
        <v>-</v>
      </c>
      <c r="E17" s="57" t="str">
        <f ca="1">_xlfn.XLOOKUP(E15,Design!$M$2:$M$151,Design!$A$2:$A$151, "-",0,1)</f>
        <v>-</v>
      </c>
      <c r="F17" s="57" t="str">
        <f ca="1">_xlfn.XLOOKUP(F15,Design!$M$2:$M$151,Design!$A$2:$A$151, "-",0,1)</f>
        <v>-</v>
      </c>
      <c r="G17" s="57" t="str">
        <f ca="1">_xlfn.XLOOKUP(G15,Design!$M$2:$M$151,Design!$A$2:$A$151, "-",0,1)</f>
        <v>-</v>
      </c>
      <c r="H17" s="57" t="str">
        <f ca="1">_xlfn.XLOOKUP(H15,Design!$M$2:$M$151,Design!$A$2:$A$151, "-",0,1)</f>
        <v>-</v>
      </c>
      <c r="I17" s="57" t="str">
        <f ca="1">_xlfn.XLOOKUP(I15,Design!$M$2:$M$151,Design!$A$2:$A$151, "-",0,1)</f>
        <v>-</v>
      </c>
      <c r="J17" s="57" t="str">
        <f ca="1">_xlfn.XLOOKUP(J15,Design!$M$2:$M$151,Design!$A$2:$A$151, "-",0,1)</f>
        <v>-</v>
      </c>
      <c r="K17" s="57" t="str">
        <f ca="1">_xlfn.XLOOKUP(K15,Design!$M$2:$M$151,Design!$A$2:$A$151, "-",0,1)</f>
        <v>-</v>
      </c>
      <c r="L17" s="57" t="str">
        <f ca="1">_xlfn.XLOOKUP(L15,Design!$M$2:$M$151,Design!$A$2:$A$151, "-",0,1)</f>
        <v>-</v>
      </c>
      <c r="M17" s="57" t="str">
        <f ca="1">_xlfn.XLOOKUP(M15,Design!$M$2:$M$151,Design!$A$2:$A$151, "-",0,1)</f>
        <v>-</v>
      </c>
      <c r="N17" s="105" t="str">
        <f ca="1">_xlfn.XLOOKUP(N15,Design!$M$2:$M$151,Design!$A$2:$A$151, "-",0,1)</f>
        <v>-</v>
      </c>
    </row>
    <row r="18" spans="2:14">
      <c r="B18" s="81" t="s">
        <v>5</v>
      </c>
      <c r="C18" s="57" t="str">
        <f ca="1">_xlfn.XLOOKUP(C15,Design!$O$2:$O$151,Design!$A$2:$A$151, "-",0,1)</f>
        <v>-</v>
      </c>
      <c r="D18" s="57" t="str">
        <f ca="1">_xlfn.XLOOKUP(D15,Design!$O$2:$O$151,Design!$A$2:$A$151, "-",0,1)</f>
        <v>-</v>
      </c>
      <c r="E18" s="57" t="str">
        <f ca="1">_xlfn.XLOOKUP(E15,Design!$O$2:$O$151,Design!$A$2:$A$151, "-",0,1)</f>
        <v>-</v>
      </c>
      <c r="F18" s="57" t="str">
        <f ca="1">_xlfn.XLOOKUP(F15,Design!$O$2:$O$151,Design!$A$2:$A$151, " - ",0,1)</f>
        <v xml:space="preserve"> - </v>
      </c>
      <c r="G18" s="57" t="str">
        <f ca="1">_xlfn.XLOOKUP(G15,Design!$O$2:$O$151,Design!$A$2:$A$151, "-",0,1)</f>
        <v>-</v>
      </c>
      <c r="H18" s="57" t="str">
        <f ca="1">_xlfn.XLOOKUP(H15,Design!$O$2:$O$151,Design!$A$2:$A$151, "-",0,1)</f>
        <v>-</v>
      </c>
      <c r="I18" s="57" t="str">
        <f ca="1">_xlfn.XLOOKUP(I15,Design!$O$2:$O$151,Design!$A$2:$A$151, "-",0,1)</f>
        <v>-</v>
      </c>
      <c r="J18" s="57" t="str">
        <f ca="1">_xlfn.XLOOKUP(J15,Design!$O$2:$O$151,Design!$A$2:$A$151, "-",0,1)</f>
        <v>-</v>
      </c>
      <c r="K18" s="57" t="str">
        <f ca="1">_xlfn.XLOOKUP(K15,Design!$O$2:$O$151,Design!$A$2:$A$151, "-",0,1)</f>
        <v>-</v>
      </c>
      <c r="L18" s="57" t="str">
        <f ca="1">_xlfn.XLOOKUP(L15,Design!$O$2:$O$151,Design!$A$2:$A$151, "-",0,1)</f>
        <v>-</v>
      </c>
      <c r="M18" s="57" t="str">
        <f ca="1">_xlfn.XLOOKUP(M15,Design!$O$2:$O$151,Design!$A$2:$A$151, "-",0,1)</f>
        <v>-</v>
      </c>
      <c r="N18" s="105" t="str">
        <f ca="1">_xlfn.XLOOKUP(N15,Design!$O$2:$O$151,Design!$A$2:$A$151, "-",0,1)</f>
        <v>-</v>
      </c>
    </row>
    <row r="19" spans="2:14" ht="15" thickBot="1">
      <c r="B19" s="82" t="s">
        <v>6</v>
      </c>
      <c r="C19" s="106" t="str">
        <f ca="1">_xlfn.XLOOKUP(C15,Design!$Q$2:$Q$151,Design!$A$2:$A$151, "-",0,1)</f>
        <v>-</v>
      </c>
      <c r="D19" s="106" t="str">
        <f ca="1">_xlfn.XLOOKUP(D15,Design!$Q$2:$Q$151,Design!$A$2:$A$151, "-",0,1)</f>
        <v>-</v>
      </c>
      <c r="E19" s="106" t="str">
        <f ca="1">_xlfn.XLOOKUP(E15,Design!$Q$2:$Q$151,Design!$A$2:$A$151, "-",0,1)</f>
        <v>-</v>
      </c>
      <c r="F19" s="106" t="str">
        <f ca="1">_xlfn.XLOOKUP(F15,Design!$Q$2:$Q$151,Design!$A$2:$A$151, "-",0,1)</f>
        <v>-</v>
      </c>
      <c r="G19" s="106" t="str">
        <f ca="1">_xlfn.XLOOKUP(G15,Design!$Q$2:$Q$151,Design!$A$2:$A$151, "-",0,1)</f>
        <v>-</v>
      </c>
      <c r="H19" s="106" t="str">
        <f ca="1">_xlfn.XLOOKUP(H15,Design!$Q$2:$Q$151,Design!$A$2:$A$151, "-",0,1)</f>
        <v>-</v>
      </c>
      <c r="I19" s="106" t="str">
        <f ca="1">_xlfn.XLOOKUP(I15,Design!$Q$2:$Q$151,Design!$A$2:$A$151, "-",0,1)</f>
        <v>-</v>
      </c>
      <c r="J19" s="106" t="str">
        <f ca="1">_xlfn.XLOOKUP(J15,Design!$Q$2:$Q$151,Design!$A$2:$A$151, "-",0,1)</f>
        <v>-</v>
      </c>
      <c r="K19" s="106" t="str">
        <f ca="1">_xlfn.XLOOKUP(K15,Design!$Q$2:$Q$151,Design!$A$2:$A$151, "-",0,1)</f>
        <v>-</v>
      </c>
      <c r="L19" s="106" t="str">
        <f ca="1">_xlfn.XLOOKUP(L15,Design!$Q$2:$Q$151,Design!$A$2:$A$151, "-",0,1)</f>
        <v>-</v>
      </c>
      <c r="M19" s="106" t="str">
        <f ca="1">_xlfn.XLOOKUP(M15,Design!$Q$2:$Q$151,Design!$A$2:$A$151, "-",0,1)</f>
        <v>-</v>
      </c>
      <c r="N19" s="106" t="str">
        <f ca="1">_xlfn.XLOOKUP(N15,Design!$Q$2:$Q$151,Design!$A$2:$A$151, "-",0,1)</f>
        <v>-</v>
      </c>
    </row>
    <row r="20" spans="2:14" ht="15" thickBot="1"/>
    <row r="21" spans="2:14">
      <c r="B21" s="810" t="s">
        <v>9</v>
      </c>
      <c r="C21" s="811"/>
      <c r="D21" s="811"/>
      <c r="E21" s="811"/>
      <c r="F21" s="811"/>
      <c r="G21" s="811"/>
      <c r="H21" s="811"/>
      <c r="I21" s="811"/>
      <c r="J21" s="811"/>
      <c r="K21" s="811"/>
      <c r="L21" s="811"/>
      <c r="M21" s="811"/>
      <c r="N21" s="812"/>
    </row>
    <row r="22" spans="2:14" ht="15" thickBot="1">
      <c r="B22" s="813"/>
      <c r="C22" s="814"/>
      <c r="D22" s="814"/>
      <c r="E22" s="814"/>
      <c r="F22" s="814"/>
      <c r="G22" s="814"/>
      <c r="H22" s="814"/>
      <c r="I22" s="814"/>
      <c r="J22" s="814"/>
      <c r="K22" s="814"/>
      <c r="L22" s="814"/>
      <c r="M22" s="814"/>
      <c r="N22" s="815"/>
    </row>
    <row r="23" spans="2:14" ht="18">
      <c r="B23" s="74"/>
      <c r="C23" s="75"/>
      <c r="D23" s="75"/>
      <c r="E23" s="75"/>
      <c r="F23" s="75"/>
      <c r="N23" s="76"/>
    </row>
    <row r="24" spans="2:14">
      <c r="B24" s="77" t="s">
        <v>8</v>
      </c>
      <c r="C24" s="4"/>
      <c r="D24" s="1">
        <f ca="1">TODAY()</f>
        <v>46275</v>
      </c>
      <c r="E24" s="1"/>
      <c r="N24" s="76"/>
    </row>
    <row r="25" spans="2:14">
      <c r="B25" s="78"/>
      <c r="N25" s="76"/>
    </row>
    <row r="26" spans="2:14">
      <c r="B26" s="78"/>
      <c r="C26" s="24">
        <f ca="1">TODAY()</f>
        <v>46275</v>
      </c>
      <c r="D26" s="79">
        <f ca="1">WORKDAY(D24,1)</f>
        <v>46276</v>
      </c>
      <c r="E26" s="79">
        <f ca="1">WORKDAY(D26,1)</f>
        <v>46279</v>
      </c>
      <c r="F26" s="79">
        <f t="shared" ref="F26:N26" ca="1" si="1">WORKDAY(E26,1)</f>
        <v>46280</v>
      </c>
      <c r="G26" s="79">
        <f t="shared" ca="1" si="1"/>
        <v>46281</v>
      </c>
      <c r="H26" s="79">
        <f t="shared" ca="1" si="1"/>
        <v>46282</v>
      </c>
      <c r="I26" s="79">
        <f t="shared" ca="1" si="1"/>
        <v>46283</v>
      </c>
      <c r="J26" s="79">
        <f t="shared" ca="1" si="1"/>
        <v>46286</v>
      </c>
      <c r="K26" s="79">
        <f t="shared" ca="1" si="1"/>
        <v>46287</v>
      </c>
      <c r="L26" s="79">
        <f t="shared" ca="1" si="1"/>
        <v>46288</v>
      </c>
      <c r="M26" s="79">
        <f t="shared" ca="1" si="1"/>
        <v>46289</v>
      </c>
      <c r="N26" s="80">
        <f t="shared" ca="1" si="1"/>
        <v>46290</v>
      </c>
    </row>
    <row r="27" spans="2:14">
      <c r="B27" s="92" t="s">
        <v>10</v>
      </c>
      <c r="C27" s="57" t="str">
        <f ca="1">_xlfn.XLOOKUP(C26,Design!$J$2:$J$151,Design!$A$2:$A$151, " - ",0,1)</f>
        <v xml:space="preserve"> - </v>
      </c>
      <c r="D27" s="57" t="str">
        <f ca="1">_xlfn.XLOOKUP(D26,Design!$J$2:$J$151,Design!$A$2:$A$151, " - ",0,1)</f>
        <v xml:space="preserve"> - </v>
      </c>
      <c r="E27" s="57" t="str">
        <f ca="1">_xlfn.XLOOKUP(E26,Design!$J$2:$J$151,Design!$A$2:$A$151, " - ",0,1)</f>
        <v xml:space="preserve"> - </v>
      </c>
      <c r="F27" s="57" t="str">
        <f ca="1">_xlfn.XLOOKUP(F26,Design!$J$2:$J$151,Design!$A$2:$A$151, " - ",0,1)</f>
        <v xml:space="preserve"> - </v>
      </c>
      <c r="G27" s="57" t="str">
        <f ca="1">_xlfn.XLOOKUP(G26,Design!$J$2:$J$151,Design!$A$2:$A$151, " - ",0,1)</f>
        <v xml:space="preserve"> - </v>
      </c>
      <c r="H27" s="57" t="str">
        <f ca="1">_xlfn.XLOOKUP(H26,Design!$J$2:$J$151,Design!$A$2:$A$151, " - ",0,1)</f>
        <v xml:space="preserve"> - </v>
      </c>
      <c r="I27" s="57" t="str">
        <f ca="1">_xlfn.XLOOKUP(I26,Design!$J$2:$J$151,Design!$A$2:$A$151, " - ",0,1)</f>
        <v xml:space="preserve"> - </v>
      </c>
      <c r="J27" s="57" t="str">
        <f ca="1">_xlfn.XLOOKUP(J26,Design!$J$2:$J$151,Design!$A$2:$A$151, " - ",0,1)</f>
        <v xml:space="preserve"> - </v>
      </c>
      <c r="K27" s="57" t="str">
        <f ca="1">_xlfn.XLOOKUP(K26,Design!$J$2:$J$151,Design!$A$2:$A$151, " - ",0,1)</f>
        <v xml:space="preserve"> - </v>
      </c>
      <c r="L27" s="57" t="str">
        <f ca="1">_xlfn.XLOOKUP(L26,Design!$J$2:$J$151,Design!$A$2:$A$151, " - ",0,1)</f>
        <v xml:space="preserve"> - </v>
      </c>
      <c r="M27" s="57" t="str">
        <f ca="1">_xlfn.XLOOKUP(M26,Design!$J$2:$J$151,Design!$A$2:$A$151, " - ",0,1)</f>
        <v xml:space="preserve"> - </v>
      </c>
      <c r="N27" s="105" t="str">
        <f ca="1">_xlfn.XLOOKUP(N26,Design!$J$2:$J$151,Design!$A$2:$A$151, " - ",0,1)</f>
        <v xml:space="preserve"> - </v>
      </c>
    </row>
    <row r="28" spans="2:14">
      <c r="B28" s="81" t="s">
        <v>3</v>
      </c>
      <c r="C28" s="57" t="str">
        <f ca="1">_xlfn.XLOOKUP(C26,Design!$L$2:$L$151,Design!$A$2:$A$151, " - ",0,1)</f>
        <v xml:space="preserve"> - </v>
      </c>
      <c r="D28" s="57" t="str">
        <f ca="1">_xlfn.XLOOKUP(D26,Design!$L$2:$L$151,Design!$A$2:$A$151, " - ",0,1)</f>
        <v xml:space="preserve"> - </v>
      </c>
      <c r="E28" s="57" t="str">
        <f ca="1">_xlfn.XLOOKUP(E26,Design!$L$2:$L$151,Design!$A$2:$A$151, " - ",0,1)</f>
        <v xml:space="preserve"> - </v>
      </c>
      <c r="F28" s="57" t="str">
        <f ca="1">_xlfn.XLOOKUP(F26,Design!$L$2:$L$151,Design!$A$2:$A$151, " - ",0,1)</f>
        <v xml:space="preserve"> - </v>
      </c>
      <c r="G28" s="57" t="str">
        <f ca="1">_xlfn.XLOOKUP(G26,Design!$L$2:$L$151,Design!$A$2:$A$151, " - ",0,1)</f>
        <v xml:space="preserve"> - </v>
      </c>
      <c r="H28" s="57" t="str">
        <f ca="1">_xlfn.XLOOKUP(H26,Design!$L$2:$L$151,Design!$A$2:$A$151, " - ",0,1)</f>
        <v xml:space="preserve"> - </v>
      </c>
      <c r="I28" s="57" t="str">
        <f ca="1">_xlfn.XLOOKUP(I26,Design!$L$2:$L$151,Design!$A$2:$A$151, " - ",0,1)</f>
        <v xml:space="preserve"> - </v>
      </c>
      <c r="J28" s="57" t="str">
        <f ca="1">_xlfn.XLOOKUP(J26,Design!$L$2:$L$151,Design!$A$2:$A$151, " - ",0,1)</f>
        <v xml:space="preserve"> - </v>
      </c>
      <c r="K28" s="57" t="str">
        <f ca="1">_xlfn.XLOOKUP(K26,Design!$L$2:$L$151,Design!$A$2:$A$151, " - ",0,1)</f>
        <v xml:space="preserve"> - </v>
      </c>
      <c r="L28" s="57" t="str">
        <f ca="1">_xlfn.XLOOKUP(L26,Design!$L$2:$L$151,Design!$A$2:$A$151, " - ",0,1)</f>
        <v xml:space="preserve"> - </v>
      </c>
      <c r="M28" s="57" t="str">
        <f ca="1">_xlfn.XLOOKUP(M26,Design!$L$2:$L$151,Design!$A$2:$A$151, " - ",0,1)</f>
        <v xml:space="preserve"> - </v>
      </c>
      <c r="N28" s="105" t="str">
        <f ca="1">_xlfn.XLOOKUP(N26,Design!$L$2:$L$151,Design!$A$2:$A$151, " - ",0,1)</f>
        <v xml:space="preserve"> - </v>
      </c>
    </row>
    <row r="29" spans="2:14">
      <c r="B29" s="81" t="s">
        <v>4</v>
      </c>
      <c r="C29" s="57" t="str">
        <f ca="1">_xlfn.XLOOKUP(C26,Design!$N$2:$N$151,Design!$A$2:$A$151, "-",0,1)</f>
        <v>-</v>
      </c>
      <c r="D29" s="57" t="str">
        <f ca="1">_xlfn.XLOOKUP(D26,Design!$N$2:$N$151,Design!$A$2:$A$151, "-",0,1)</f>
        <v>-</v>
      </c>
      <c r="E29" s="57" t="str">
        <f ca="1">_xlfn.XLOOKUP(E26,Design!$N$2:$N$151,Design!$A$2:$A$151, "-",0,1)</f>
        <v>-</v>
      </c>
      <c r="F29" s="57" t="str">
        <f ca="1">_xlfn.XLOOKUP(F26,Design!$N$2:$N$151,Design!$A$2:$A$151, "-",0,1)</f>
        <v>-</v>
      </c>
      <c r="G29" s="57" t="str">
        <f ca="1">_xlfn.XLOOKUP(G26,Design!$N$2:$N$151,Design!$A$2:$A$151, "-",0,1)</f>
        <v>-</v>
      </c>
      <c r="H29" s="57" t="str">
        <f ca="1">_xlfn.XLOOKUP(H26,Design!$N$2:$N$151,Design!$A$2:$A$151, "-",0,1)</f>
        <v>-</v>
      </c>
      <c r="I29" s="57" t="str">
        <f ca="1">_xlfn.XLOOKUP(I26,Design!$N$2:$N$151,Design!$A$2:$A$151, "-",0,1)</f>
        <v>-</v>
      </c>
      <c r="J29" s="57" t="str">
        <f ca="1">_xlfn.XLOOKUP(J26,Design!$N$2:$N$151,Design!$A$2:$A$151, "-",0,1)</f>
        <v>-</v>
      </c>
      <c r="K29" s="57" t="str">
        <f ca="1">_xlfn.XLOOKUP(K26,Design!$N$2:$N$151,Design!$A$2:$A$151, "-",0,1)</f>
        <v>-</v>
      </c>
      <c r="L29" s="57" t="str">
        <f ca="1">_xlfn.XLOOKUP(L26,Design!$N$2:$N$151,Design!$A$2:$A$151, "-",0,1)</f>
        <v>-</v>
      </c>
      <c r="M29" s="57" t="str">
        <f ca="1">_xlfn.XLOOKUP(M26,Design!$N$2:$N$151,Design!$A$2:$A$151, "-",0,1)</f>
        <v>-</v>
      </c>
      <c r="N29" s="105" t="str">
        <f ca="1">_xlfn.XLOOKUP(N26,Design!$N$2:$N$151,Design!$A$2:$A$151, "-",0,1)</f>
        <v>-</v>
      </c>
    </row>
    <row r="30" spans="2:14">
      <c r="B30" s="81" t="s">
        <v>5</v>
      </c>
      <c r="C30" s="57" t="str">
        <f ca="1">_xlfn.XLOOKUP(C26,Design!$P$2:$P$151,Design!$A$2:$A$151, "-",0,1)</f>
        <v>-</v>
      </c>
      <c r="D30" s="57" t="str">
        <f ca="1">_xlfn.XLOOKUP(D26,Design!$P$2:$P$151,Design!$A$2:$A$151, "-",0,1)</f>
        <v>-</v>
      </c>
      <c r="E30" s="57" t="str">
        <f ca="1">_xlfn.XLOOKUP(E26,Design!$P$2:$P$151,Design!$A$2:$A$151, "-",0,1)</f>
        <v>-</v>
      </c>
      <c r="F30" s="57" t="str">
        <f ca="1">_xlfn.XLOOKUP(F26,Design!$P$2:$P$151,Design!$A$2:$A$151, "-",0,1)</f>
        <v>-</v>
      </c>
      <c r="G30" s="57" t="str">
        <f ca="1">_xlfn.XLOOKUP(G26,Design!$P$2:$P$151,Design!$A$2:$A$151, "-",0,1)</f>
        <v>-</v>
      </c>
      <c r="H30" s="57" t="str">
        <f ca="1">_xlfn.XLOOKUP(H26,Design!$P$2:$P$151,Design!$A$2:$A$151, "-",0,1)</f>
        <v>-</v>
      </c>
      <c r="I30" s="57" t="str">
        <f ca="1">_xlfn.XLOOKUP(I26,Design!$P$2:$P$151,Design!$A$2:$A$151, "-",0,1)</f>
        <v>-</v>
      </c>
      <c r="J30" s="57" t="str">
        <f ca="1">_xlfn.XLOOKUP(J26,Design!$P$2:$P$151,Design!$A$2:$A$151, "-",0,1)</f>
        <v>-</v>
      </c>
      <c r="K30" s="57" t="str">
        <f ca="1">_xlfn.XLOOKUP(K26,Design!$P$2:$P$151,Design!$A$2:$A$151, "-",0,1)</f>
        <v>-</v>
      </c>
      <c r="L30" s="57" t="str">
        <f ca="1">_xlfn.XLOOKUP(L26,Design!$P$2:$P$151,Design!$A$2:$A$151, "-",0,1)</f>
        <v>-</v>
      </c>
      <c r="M30" s="57" t="str">
        <f ca="1">_xlfn.XLOOKUP(M26,Design!$P$2:$P$151,Design!$A$2:$A$151, "-",0,1)</f>
        <v>-</v>
      </c>
      <c r="N30" s="105" t="str">
        <f ca="1">_xlfn.XLOOKUP(N26,Design!$P$2:$P$151,Design!$A$2:$A$151, "-",0,1)</f>
        <v>-</v>
      </c>
    </row>
    <row r="31" spans="2:14">
      <c r="B31" s="81" t="s">
        <v>6</v>
      </c>
      <c r="C31" s="57" t="str">
        <f ca="1">_xlfn.XLOOKUP(C26,Design!$Q$2:$Q$151,Design!$A$2:$A$151, "-")</f>
        <v>-</v>
      </c>
      <c r="D31" s="57" t="str">
        <f ca="1">_xlfn.XLOOKUP(D26,Design!$Q$2:$Q$151,Design!$A$2:$A$151, "-")</f>
        <v>-</v>
      </c>
      <c r="E31" s="57" t="str">
        <f ca="1">_xlfn.XLOOKUP(E26,Design!$Q$2:$Q$151,Design!$A$2:$A$151, "-")</f>
        <v>-</v>
      </c>
      <c r="F31" s="57" t="str">
        <f ca="1">_xlfn.XLOOKUP(F26,Design!$Q$2:$Q$151,Design!$A$2:$A$151, "-")</f>
        <v>-</v>
      </c>
      <c r="G31" s="57" t="str">
        <f ca="1">_xlfn.XLOOKUP(G26,Design!$Q$2:$Q$151,Design!$A$2:$A$151, "-")</f>
        <v>-</v>
      </c>
      <c r="H31" s="57" t="str">
        <f ca="1">_xlfn.XLOOKUP(H26,Design!$Q$2:$Q$151,Design!$A$2:$A$151, "-")</f>
        <v>-</v>
      </c>
      <c r="I31" s="57" t="str">
        <f ca="1">_xlfn.XLOOKUP(I26,Design!$Q$2:$Q$151,Design!$A$2:$A$151, "-")</f>
        <v>-</v>
      </c>
      <c r="J31" s="57" t="str">
        <f ca="1">_xlfn.XLOOKUP(J26,Design!$Q$2:$Q$151,Design!$A$2:$A$151, "-")</f>
        <v>-</v>
      </c>
      <c r="K31" s="57" t="str">
        <f ca="1">_xlfn.XLOOKUP(K26,Design!$Q$2:$Q$151,Design!$A$2:$A$151, "-")</f>
        <v>-</v>
      </c>
      <c r="L31" s="57" t="str">
        <f ca="1">_xlfn.XLOOKUP(L26,Design!$Q$2:$Q$151,Design!$A$2:$A$151, "-")</f>
        <v>-</v>
      </c>
      <c r="M31" s="57" t="str">
        <f ca="1">_xlfn.XLOOKUP(M26,Design!$Q$2:$Q$151,Design!$A$2:$A$151, "-")</f>
        <v>-</v>
      </c>
      <c r="N31" s="105" t="str">
        <f ca="1">_xlfn.XLOOKUP(N26,Design!$Q$2:$Q$151,Design!$A$2:$A$151, "-")</f>
        <v>-</v>
      </c>
    </row>
    <row r="32" spans="2:14" ht="15" thickBot="1">
      <c r="B32" s="82" t="s">
        <v>11</v>
      </c>
      <c r="C32" s="106" t="str">
        <f ca="1">_xlfn.XLOOKUP(C26,Design!$U$2:$U$151,Design!$A$2:$A$151, "-")</f>
        <v>-</v>
      </c>
      <c r="D32" s="106" t="str">
        <f ca="1">_xlfn.XLOOKUP(D26,Design!$U$2:$U$151,Design!$A$2:$A$151, "-")</f>
        <v>-</v>
      </c>
      <c r="E32" s="106" t="str">
        <f ca="1">_xlfn.XLOOKUP(E26,Design!$U$2:$U$151,Design!$A$2:$A$151, "-")</f>
        <v>-</v>
      </c>
      <c r="F32" s="106" t="s">
        <v>12</v>
      </c>
      <c r="G32" s="106" t="str">
        <f ca="1">_xlfn.XLOOKUP(G26,Design!$U$2:$U$151,Design!$A$2:$A$151, "-")</f>
        <v>-</v>
      </c>
      <c r="H32" s="106" t="str">
        <f ca="1">_xlfn.XLOOKUP(H26,Design!$U$2:$U$151,Design!$A$2:$A$151, "-")</f>
        <v>-</v>
      </c>
      <c r="I32" s="106" t="str">
        <f ca="1">_xlfn.XLOOKUP(I26,Design!$U$2:$U$151,Design!$A$2:$A$151, "-")</f>
        <v>-</v>
      </c>
      <c r="J32" s="106" t="str">
        <f ca="1">_xlfn.XLOOKUP(J26,Design!$U$2:$U$151,Design!$A$2:$A$151, "-")</f>
        <v>-</v>
      </c>
      <c r="K32" s="106" t="str">
        <f ca="1">_xlfn.XLOOKUP(K26,Design!$U$2:$U$151,Design!$A$2:$A$151, "-")</f>
        <v>-</v>
      </c>
      <c r="L32" s="106" t="str">
        <f ca="1">_xlfn.XLOOKUP(L26,Design!$U$2:$U$151,Design!$A$2:$A$151, "-")</f>
        <v>-</v>
      </c>
      <c r="M32" s="106" t="str">
        <f ca="1">_xlfn.XLOOKUP(M26,Design!$U$2:$U$151,Design!$A$2:$A$151, "-")</f>
        <v>-</v>
      </c>
      <c r="N32" s="107" t="str">
        <f ca="1">_xlfn.XLOOKUP(N26,Design!$U$2:$U$151,Design!$A$2:$A$151, "-")</f>
        <v>-</v>
      </c>
    </row>
    <row r="34" spans="2:14" ht="15" thickBot="1"/>
    <row r="35" spans="2:14" ht="15" thickBot="1">
      <c r="B35" t="s">
        <v>13</v>
      </c>
      <c r="C35" s="85" t="s">
        <v>14</v>
      </c>
      <c r="D35" s="85" t="s">
        <v>15</v>
      </c>
      <c r="E35" s="85" t="s">
        <v>16</v>
      </c>
      <c r="F35" s="85" t="s">
        <v>17</v>
      </c>
      <c r="G35" s="85" t="s">
        <v>18</v>
      </c>
      <c r="H35" s="85" t="s">
        <v>19</v>
      </c>
      <c r="I35" s="85" t="s">
        <v>20</v>
      </c>
      <c r="J35" s="85" t="s">
        <v>21</v>
      </c>
      <c r="K35" s="85" t="s">
        <v>22</v>
      </c>
      <c r="L35" s="85" t="s">
        <v>23</v>
      </c>
      <c r="M35" s="85" t="s">
        <v>24</v>
      </c>
      <c r="N35" s="85" t="s">
        <v>25</v>
      </c>
    </row>
    <row r="36" spans="2:14" ht="15" thickBot="1">
      <c r="C36" s="85" t="str">
        <f ca="1">_xlfn.XLOOKUP($C$15-1,Design!$Q$2:$Q$151,Design!$A$2:$A$151, "-",0,1)</f>
        <v>-</v>
      </c>
      <c r="D36" s="85" t="str">
        <f ca="1">_xlfn.XLOOKUP($C$15-2,Design!$Q$2:$Q$151,Design!$A$2:$A$151, "-",0,1)</f>
        <v>-</v>
      </c>
      <c r="E36" s="85" t="str">
        <f ca="1">_xlfn.XLOOKUP($C$15-3,Design!$Q$2:$Q$151,Design!$A$2:$A$151, "-",0,1)</f>
        <v>-</v>
      </c>
      <c r="F36" s="85" t="str">
        <f ca="1">_xlfn.XLOOKUP($C$15-4,Design!$Q$2:$Q$151,Design!$A$2:$A$151, "-",0,1)</f>
        <v>-</v>
      </c>
      <c r="G36" s="85" t="str">
        <f ca="1">_xlfn.XLOOKUP($C$15-5,Design!$Q$2:$Q$151,Design!$A$2:$A$151, "-",0,1)</f>
        <v>-</v>
      </c>
      <c r="H36" s="85" t="str">
        <f ca="1">_xlfn.XLOOKUP($C$15-6,Design!$Q$2:$Q$151,Design!$A$2:$A$151, "-",0,1)</f>
        <v>-</v>
      </c>
      <c r="I36" s="85" t="str">
        <f ca="1">_xlfn.XLOOKUP($C$15-7,Design!$Q$2:$Q$151,Design!$A$2:$A$151, "-",0,1)</f>
        <v>-</v>
      </c>
      <c r="J36" s="85" t="str">
        <f ca="1">_xlfn.XLOOKUP($C$15-8,Design!$Q$2:$Q$151,Design!$A$2:$A$151, "-",0,1)</f>
        <v>-</v>
      </c>
      <c r="K36" s="85" t="str">
        <f ca="1">_xlfn.XLOOKUP($C$15-9,Design!$Q$2:$Q$151,Design!$A$2:$A$151, "-",0,1)</f>
        <v>-</v>
      </c>
      <c r="L36" s="85" t="str">
        <f ca="1">_xlfn.XLOOKUP($C$15-10,Design!$Q$2:$Q$151,Design!$A$2:$A$151, "-",0,1)</f>
        <v>-</v>
      </c>
      <c r="M36" s="85" t="str">
        <f ca="1">_xlfn.XLOOKUP($C$15-11,Design!$Q$2:$Q$151,Design!$A$2:$A$151, "-",0,1)</f>
        <v>-</v>
      </c>
      <c r="N36" s="85" t="str">
        <f ca="1">_xlfn.XLOOKUP($C$15-12,Design!$Q$2:$Q$151,Design!$A$2:$A$151, "-",0,1)</f>
        <v>-</v>
      </c>
    </row>
  </sheetData>
  <mergeCells count="4">
    <mergeCell ref="B21:N22"/>
    <mergeCell ref="B2:F3"/>
    <mergeCell ref="B10:N11"/>
    <mergeCell ref="K2:N3"/>
  </mergeCells>
  <pageMargins left="0.7" right="0.7" top="0.75" bottom="0.75" header="0.3" footer="0.3"/>
  <pageSetup scale="58" orientation="portrait" horizontalDpi="1200" verticalDpi="12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6F2931-2502-4EF8-B86F-846D736011F8}">
  <dimension ref="A1:U29"/>
  <sheetViews>
    <sheetView workbookViewId="0">
      <selection activeCell="A11" sqref="A11"/>
    </sheetView>
  </sheetViews>
  <sheetFormatPr defaultRowHeight="14.45"/>
  <cols>
    <col min="1" max="1" width="63.5703125" bestFit="1" customWidth="1"/>
  </cols>
  <sheetData>
    <row r="1" spans="1:21">
      <c r="A1" s="10"/>
      <c r="B1" s="11"/>
      <c r="C1" s="11"/>
      <c r="D1" s="11"/>
      <c r="E1" s="11"/>
      <c r="F1" s="11"/>
      <c r="G1" s="11"/>
      <c r="H1" s="11"/>
      <c r="I1" s="11"/>
      <c r="J1" s="11"/>
      <c r="K1" s="11"/>
      <c r="L1" s="11"/>
      <c r="M1" s="11"/>
      <c r="N1" s="11"/>
      <c r="O1" s="11"/>
      <c r="P1" s="11"/>
      <c r="Q1" s="11"/>
      <c r="R1" s="11"/>
      <c r="S1" s="11"/>
      <c r="T1" s="11"/>
      <c r="U1" s="11"/>
    </row>
    <row r="2" spans="1:21">
      <c r="A2" s="12" t="s">
        <v>26</v>
      </c>
    </row>
    <row r="3" spans="1:21">
      <c r="A3" t="s">
        <v>27</v>
      </c>
    </row>
    <row r="4" spans="1:21">
      <c r="A4" t="s">
        <v>28</v>
      </c>
    </row>
    <row r="5" spans="1:21">
      <c r="A5" t="s">
        <v>29</v>
      </c>
    </row>
    <row r="6" spans="1:21">
      <c r="A6" t="s">
        <v>30</v>
      </c>
    </row>
    <row r="7" spans="1:21">
      <c r="A7" t="s">
        <v>31</v>
      </c>
    </row>
    <row r="8" spans="1:21">
      <c r="A8" t="s">
        <v>32</v>
      </c>
    </row>
    <row r="10" spans="1:21">
      <c r="A10" s="9" t="s">
        <v>33</v>
      </c>
    </row>
    <row r="11" spans="1:21">
      <c r="A11" s="13" t="s">
        <v>34</v>
      </c>
    </row>
    <row r="12" spans="1:21">
      <c r="A12" s="13" t="s">
        <v>35</v>
      </c>
    </row>
    <row r="13" spans="1:21">
      <c r="A13" s="13" t="s">
        <v>36</v>
      </c>
    </row>
    <row r="14" spans="1:21">
      <c r="A14" s="13" t="s">
        <v>37</v>
      </c>
    </row>
    <row r="15" spans="1:21">
      <c r="A15" s="13" t="s">
        <v>38</v>
      </c>
    </row>
    <row r="16" spans="1:21">
      <c r="A16" s="15" t="s">
        <v>39</v>
      </c>
    </row>
    <row r="17" spans="1:1">
      <c r="A17" s="15" t="s">
        <v>40</v>
      </c>
    </row>
    <row r="18" spans="1:1">
      <c r="A18" s="15" t="s">
        <v>41</v>
      </c>
    </row>
    <row r="19" spans="1:1">
      <c r="A19" s="15" t="s">
        <v>42</v>
      </c>
    </row>
    <row r="20" spans="1:1">
      <c r="A20" s="15" t="s">
        <v>43</v>
      </c>
    </row>
    <row r="21" spans="1:1">
      <c r="A21" s="15" t="s">
        <v>44</v>
      </c>
    </row>
    <row r="22" spans="1:1">
      <c r="A22" s="9"/>
    </row>
    <row r="23" spans="1:1">
      <c r="A23" s="14" t="s">
        <v>45</v>
      </c>
    </row>
    <row r="24" spans="1:1">
      <c r="A24" s="13" t="s">
        <v>46</v>
      </c>
    </row>
    <row r="25" spans="1:1">
      <c r="A25" s="13" t="s">
        <v>47</v>
      </c>
    </row>
    <row r="26" spans="1:1">
      <c r="A26" s="13" t="s">
        <v>48</v>
      </c>
    </row>
    <row r="27" spans="1:1">
      <c r="A27" s="14" t="s">
        <v>49</v>
      </c>
    </row>
    <row r="28" spans="1:1">
      <c r="A28" s="13" t="s">
        <v>46</v>
      </c>
    </row>
    <row r="29" spans="1:1">
      <c r="A29" s="13" t="s">
        <v>47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452CE7-E32D-4988-943C-B6184F0F9FFC}">
  <dimension ref="A1:Z134"/>
  <sheetViews>
    <sheetView topLeftCell="A69" zoomScale="80" zoomScaleNormal="80" workbookViewId="0">
      <pane xSplit="1" topLeftCell="I1" activePane="topRight" state="frozen"/>
      <selection pane="topRight" activeCell="I7" sqref="I7"/>
    </sheetView>
  </sheetViews>
  <sheetFormatPr defaultRowHeight="26.1" customHeight="1" outlineLevelCol="1"/>
  <cols>
    <col min="1" max="1" width="9" bestFit="1" customWidth="1"/>
    <col min="2" max="2" width="15.5703125" style="57" customWidth="1"/>
    <col min="3" max="3" width="25.42578125" hidden="1" customWidth="1" outlineLevel="1"/>
    <col min="4" max="4" width="16" hidden="1" customWidth="1" outlineLevel="1"/>
    <col min="5" max="5" width="19" hidden="1" customWidth="1" outlineLevel="1"/>
    <col min="6" max="6" width="28.5703125" hidden="1" customWidth="1" outlineLevel="1"/>
    <col min="7" max="7" width="2.42578125" hidden="1" customWidth="1" outlineLevel="1"/>
    <col min="8" max="8" width="15" bestFit="1" customWidth="1" collapsed="1"/>
    <col min="9" max="9" width="24.5703125" bestFit="1" customWidth="1"/>
    <col min="10" max="10" width="20.42578125" customWidth="1"/>
    <col min="11" max="11" width="21" style="1" bestFit="1" customWidth="1"/>
    <col min="12" max="12" width="20.42578125" style="1" bestFit="1" customWidth="1"/>
    <col min="13" max="13" width="22.5703125" style="1" customWidth="1"/>
    <col min="14" max="14" width="20.5703125" style="1" bestFit="1" customWidth="1"/>
    <col min="15" max="16" width="22.42578125" style="1" bestFit="1" customWidth="1"/>
    <col min="17" max="17" width="21.42578125" style="1" customWidth="1"/>
    <col min="18" max="20" width="11" style="1" hidden="1" customWidth="1"/>
    <col min="21" max="21" width="18" style="67" bestFit="1" customWidth="1"/>
    <col min="22" max="22" width="32.42578125" style="67" customWidth="1"/>
    <col min="23" max="23" width="17" style="1" customWidth="1"/>
    <col min="24" max="24" width="50.5703125" style="67" customWidth="1"/>
    <col min="25" max="25" width="255.5703125" style="57" bestFit="1" customWidth="1"/>
  </cols>
  <sheetData>
    <row r="1" spans="1:25" ht="26.1" customHeight="1">
      <c r="A1" s="9" t="s">
        <v>50</v>
      </c>
      <c r="B1" s="12" t="s">
        <v>51</v>
      </c>
      <c r="C1" s="9" t="s">
        <v>52</v>
      </c>
      <c r="D1" s="21" t="s">
        <v>53</v>
      </c>
      <c r="E1" s="9" t="s">
        <v>54</v>
      </c>
      <c r="F1" s="9" t="s">
        <v>55</v>
      </c>
      <c r="G1" s="9" t="s">
        <v>56</v>
      </c>
      <c r="H1" s="9" t="s">
        <v>57</v>
      </c>
      <c r="I1" s="22" t="s">
        <v>58</v>
      </c>
      <c r="J1" s="22" t="s">
        <v>59</v>
      </c>
      <c r="K1" s="23" t="s">
        <v>60</v>
      </c>
      <c r="L1" s="23" t="s">
        <v>61</v>
      </c>
      <c r="M1" s="23" t="s">
        <v>62</v>
      </c>
      <c r="N1" s="23" t="s">
        <v>63</v>
      </c>
      <c r="O1" s="23" t="s">
        <v>64</v>
      </c>
      <c r="P1" s="23" t="s">
        <v>65</v>
      </c>
      <c r="Q1" s="24" t="s">
        <v>6</v>
      </c>
      <c r="R1" s="24" t="s">
        <v>66</v>
      </c>
      <c r="S1" s="24" t="s">
        <v>67</v>
      </c>
      <c r="T1" s="24" t="s">
        <v>68</v>
      </c>
      <c r="U1" s="63" t="s">
        <v>69</v>
      </c>
      <c r="V1" s="63" t="s">
        <v>70</v>
      </c>
      <c r="W1" s="24" t="s">
        <v>71</v>
      </c>
      <c r="X1" s="12" t="s">
        <v>72</v>
      </c>
      <c r="Y1" s="12" t="s">
        <v>73</v>
      </c>
    </row>
    <row r="2" spans="1:25" ht="26.1" customHeight="1">
      <c r="A2" s="29" t="s">
        <v>74</v>
      </c>
      <c r="B2" s="47" t="s">
        <v>75</v>
      </c>
      <c r="C2" s="29" t="s">
        <v>76</v>
      </c>
      <c r="D2" s="29" t="s">
        <v>77</v>
      </c>
      <c r="E2" s="29" t="s">
        <v>78</v>
      </c>
      <c r="F2" s="39" t="s">
        <v>79</v>
      </c>
      <c r="G2" s="29"/>
      <c r="H2" s="29" t="s">
        <v>80</v>
      </c>
      <c r="I2" s="69" t="s">
        <v>81</v>
      </c>
      <c r="J2" s="36" t="str">
        <f>IFERROR(WORKDAY(Table145[[#This Row],[50% IFR - 
AE]],-15), " ")</f>
        <v xml:space="preserve"> </v>
      </c>
      <c r="K2" s="35" t="s">
        <v>82</v>
      </c>
      <c r="L2" s="35"/>
      <c r="M2" s="35" t="s">
        <v>83</v>
      </c>
      <c r="N2" s="35" t="s">
        <v>84</v>
      </c>
      <c r="O2" s="35" t="s">
        <v>83</v>
      </c>
      <c r="P2" s="35" t="s">
        <v>85</v>
      </c>
      <c r="Q2" s="35" t="s">
        <v>86</v>
      </c>
      <c r="R2" s="35"/>
      <c r="S2" s="35"/>
      <c r="T2" s="35"/>
      <c r="U2" s="71"/>
      <c r="V2" s="71"/>
      <c r="W2" s="35"/>
      <c r="X2" s="72" t="s">
        <v>87</v>
      </c>
      <c r="Y2" s="73" t="s">
        <v>88</v>
      </c>
    </row>
    <row r="3" spans="1:25" ht="26.1" customHeight="1">
      <c r="A3" s="29" t="s">
        <v>89</v>
      </c>
      <c r="B3" s="47"/>
      <c r="C3" s="29"/>
      <c r="D3" s="29"/>
      <c r="E3" s="29"/>
      <c r="F3" s="39"/>
      <c r="G3" s="29"/>
      <c r="H3" s="29" t="s">
        <v>80</v>
      </c>
      <c r="I3" s="69"/>
      <c r="J3" s="36" t="s">
        <v>90</v>
      </c>
      <c r="K3" s="35">
        <v>45435</v>
      </c>
      <c r="L3" s="35">
        <v>45436</v>
      </c>
      <c r="M3" s="35"/>
      <c r="N3" s="35">
        <v>45468</v>
      </c>
      <c r="O3" s="35"/>
      <c r="P3" s="35"/>
      <c r="Q3" s="35"/>
      <c r="R3" s="35"/>
      <c r="S3" s="35"/>
      <c r="T3" s="35"/>
      <c r="U3" s="71"/>
      <c r="V3" s="71"/>
      <c r="W3" s="35"/>
      <c r="X3" s="72"/>
      <c r="Y3" s="73"/>
    </row>
    <row r="4" spans="1:25" ht="26.1" customHeight="1">
      <c r="A4" s="29" t="s">
        <v>91</v>
      </c>
      <c r="B4" s="47"/>
      <c r="C4" s="29"/>
      <c r="D4" s="29"/>
      <c r="E4" s="29"/>
      <c r="F4" s="39"/>
      <c r="G4" s="29"/>
      <c r="H4" s="29" t="s">
        <v>80</v>
      </c>
      <c r="I4" s="69"/>
      <c r="J4" s="36" t="str">
        <f>IFERROR(WORKDAY(Table145[[#This Row],[50% IFR - 
AE]],-15), " ")</f>
        <v xml:space="preserve"> </v>
      </c>
      <c r="K4" s="35"/>
      <c r="L4" s="35" t="s">
        <v>92</v>
      </c>
      <c r="M4" s="35"/>
      <c r="N4" s="35" t="s">
        <v>93</v>
      </c>
      <c r="O4" s="35"/>
      <c r="P4" s="35">
        <v>45427</v>
      </c>
      <c r="Q4" s="35"/>
      <c r="R4" s="35"/>
      <c r="S4" s="35"/>
      <c r="T4" s="35"/>
      <c r="U4" s="71"/>
      <c r="V4" s="71" t="s">
        <v>94</v>
      </c>
      <c r="W4" s="35"/>
      <c r="X4" s="72" t="s">
        <v>95</v>
      </c>
      <c r="Y4" s="73"/>
    </row>
    <row r="5" spans="1:25" ht="26.1" customHeight="1">
      <c r="A5" s="29" t="s">
        <v>96</v>
      </c>
      <c r="B5" s="47" t="s">
        <v>97</v>
      </c>
      <c r="C5" s="29" t="s">
        <v>76</v>
      </c>
      <c r="D5" s="29" t="s">
        <v>77</v>
      </c>
      <c r="E5" s="29" t="s">
        <v>98</v>
      </c>
      <c r="F5" s="39" t="s">
        <v>99</v>
      </c>
      <c r="G5" s="29" t="s">
        <v>100</v>
      </c>
      <c r="H5" s="29" t="s">
        <v>80</v>
      </c>
      <c r="I5" s="35">
        <v>44981</v>
      </c>
      <c r="J5" s="35" t="str">
        <f>IFERROR(WORKDAY(Table145[[#This Row],[50% IFR - 
AE]],-15), " ")</f>
        <v xml:space="preserve"> </v>
      </c>
      <c r="K5" s="36" t="s">
        <v>101</v>
      </c>
      <c r="L5" s="36" t="s">
        <v>102</v>
      </c>
      <c r="M5" s="36" t="s">
        <v>103</v>
      </c>
      <c r="N5" s="36" t="s">
        <v>104</v>
      </c>
      <c r="O5" s="35" t="s">
        <v>105</v>
      </c>
      <c r="P5" s="35" t="s">
        <v>106</v>
      </c>
      <c r="Q5" s="35" t="s">
        <v>107</v>
      </c>
      <c r="R5" s="35"/>
      <c r="S5" s="35"/>
      <c r="T5" s="35"/>
      <c r="U5" s="71"/>
      <c r="V5" s="71"/>
      <c r="W5" s="35"/>
      <c r="X5" s="71" t="s">
        <v>108</v>
      </c>
      <c r="Y5" s="47" t="s">
        <v>109</v>
      </c>
    </row>
    <row r="6" spans="1:25" ht="26.1" customHeight="1">
      <c r="A6" s="29" t="s">
        <v>110</v>
      </c>
      <c r="B6" s="47" t="s">
        <v>97</v>
      </c>
      <c r="C6" s="29" t="s">
        <v>76</v>
      </c>
      <c r="D6" s="29" t="s">
        <v>77</v>
      </c>
      <c r="E6" s="29" t="s">
        <v>98</v>
      </c>
      <c r="F6" s="39" t="s">
        <v>99</v>
      </c>
      <c r="G6" s="29" t="s">
        <v>100</v>
      </c>
      <c r="H6" s="29" t="s">
        <v>80</v>
      </c>
      <c r="I6" s="35">
        <v>44988</v>
      </c>
      <c r="J6" s="35" t="str">
        <f>IFERROR(WORKDAY(Table145[[#This Row],[50% IFR - 
AE]],-15), " ")</f>
        <v xml:space="preserve"> </v>
      </c>
      <c r="K6" s="36" t="s">
        <v>111</v>
      </c>
      <c r="L6" s="36" t="s">
        <v>112</v>
      </c>
      <c r="M6" s="36" t="s">
        <v>103</v>
      </c>
      <c r="N6" s="36" t="s">
        <v>104</v>
      </c>
      <c r="O6" s="35" t="s">
        <v>105</v>
      </c>
      <c r="P6" s="35" t="s">
        <v>106</v>
      </c>
      <c r="Q6" s="35" t="s">
        <v>107</v>
      </c>
      <c r="R6" s="35"/>
      <c r="S6" s="35"/>
      <c r="T6" s="35"/>
      <c r="U6" s="71"/>
      <c r="V6" s="71"/>
      <c r="W6" s="35"/>
      <c r="X6" s="71" t="s">
        <v>108</v>
      </c>
      <c r="Y6" s="47" t="s">
        <v>113</v>
      </c>
    </row>
    <row r="7" spans="1:25" ht="26.1" customHeight="1">
      <c r="A7" s="29" t="s">
        <v>114</v>
      </c>
      <c r="B7" s="47" t="s">
        <v>97</v>
      </c>
      <c r="C7" s="29" t="s">
        <v>115</v>
      </c>
      <c r="D7" s="29" t="s">
        <v>77</v>
      </c>
      <c r="E7" s="29" t="s">
        <v>116</v>
      </c>
      <c r="F7" s="39" t="s">
        <v>117</v>
      </c>
      <c r="G7" s="29"/>
      <c r="H7" s="29" t="s">
        <v>118</v>
      </c>
      <c r="I7" s="35">
        <v>44874</v>
      </c>
      <c r="J7" s="35" t="str">
        <f>IFERROR(WORKDAY(Table145[[#This Row],[50% IFR - 
AE]],-15), " ")</f>
        <v xml:space="preserve"> </v>
      </c>
      <c r="K7" s="36" t="s">
        <v>82</v>
      </c>
      <c r="L7" s="36" t="s">
        <v>119</v>
      </c>
      <c r="M7" s="36" t="s">
        <v>82</v>
      </c>
      <c r="N7" s="36"/>
      <c r="O7" s="35"/>
      <c r="P7" s="35" t="s">
        <v>82</v>
      </c>
      <c r="Q7" s="35"/>
      <c r="R7" s="35"/>
      <c r="S7" s="35"/>
      <c r="T7" s="35"/>
      <c r="U7" s="71"/>
      <c r="V7" s="71"/>
      <c r="W7" s="35"/>
      <c r="X7" s="71" t="s">
        <v>120</v>
      </c>
      <c r="Y7" s="47"/>
    </row>
    <row r="8" spans="1:25" ht="26.1" customHeight="1">
      <c r="A8" s="29" t="s">
        <v>121</v>
      </c>
      <c r="B8" s="47"/>
      <c r="C8" s="29"/>
      <c r="D8" s="29"/>
      <c r="E8" s="29"/>
      <c r="F8" s="29"/>
      <c r="G8" s="29"/>
      <c r="H8" s="29" t="s">
        <v>80</v>
      </c>
      <c r="I8" s="29"/>
      <c r="J8" s="35" t="str">
        <f>IFERROR(WORKDAY(Table145[[#This Row],[50% IFR - 
AE]],-15), " ")</f>
        <v xml:space="preserve"> </v>
      </c>
      <c r="K8" s="35" t="s">
        <v>122</v>
      </c>
      <c r="L8" s="35" t="s">
        <v>123</v>
      </c>
      <c r="M8" s="35" t="s">
        <v>83</v>
      </c>
      <c r="N8" s="35" t="s">
        <v>124</v>
      </c>
      <c r="O8" s="35" t="s">
        <v>83</v>
      </c>
      <c r="P8" s="35" t="s">
        <v>125</v>
      </c>
      <c r="Q8" s="35"/>
      <c r="R8" s="35"/>
      <c r="S8" s="35"/>
      <c r="T8" s="35"/>
      <c r="U8" s="71"/>
      <c r="V8" s="71"/>
      <c r="W8" s="35"/>
      <c r="X8" s="71"/>
      <c r="Y8" s="47"/>
    </row>
    <row r="9" spans="1:25" ht="26.1" customHeight="1">
      <c r="A9" s="29" t="s">
        <v>126</v>
      </c>
      <c r="B9" s="47" t="s">
        <v>127</v>
      </c>
      <c r="C9" s="29"/>
      <c r="D9" s="29"/>
      <c r="E9" s="29"/>
      <c r="F9" s="39"/>
      <c r="G9" s="29"/>
      <c r="H9" s="29"/>
      <c r="I9" s="35">
        <v>45065</v>
      </c>
      <c r="J9" s="35" t="str">
        <f>IFERROR(WORKDAY(Table145[[#This Row],[50% IFR - 
AE]],-15), " ")</f>
        <v xml:space="preserve"> </v>
      </c>
      <c r="K9" s="36" t="s">
        <v>128</v>
      </c>
      <c r="L9" s="36"/>
      <c r="M9" s="35"/>
      <c r="N9" s="36"/>
      <c r="O9" s="35"/>
      <c r="P9" s="35"/>
      <c r="Q9" s="35">
        <v>45384</v>
      </c>
      <c r="R9" s="35"/>
      <c r="S9" s="35"/>
      <c r="T9" s="35"/>
      <c r="U9" s="71" t="s">
        <v>83</v>
      </c>
      <c r="V9" s="71"/>
      <c r="W9" s="35"/>
      <c r="X9" s="71"/>
      <c r="Y9" s="47" t="s">
        <v>129</v>
      </c>
    </row>
    <row r="10" spans="1:25" ht="26.1" customHeight="1">
      <c r="A10" s="39" t="s">
        <v>130</v>
      </c>
      <c r="B10" s="47" t="s">
        <v>127</v>
      </c>
      <c r="C10" s="29"/>
      <c r="D10" s="29"/>
      <c r="E10" s="29"/>
      <c r="F10" s="39"/>
      <c r="G10" s="29"/>
      <c r="H10" s="29"/>
      <c r="I10" s="35" t="s">
        <v>131</v>
      </c>
      <c r="J10" s="35" t="str">
        <f>IFERROR(WORKDAY(Table145[[#This Row],[50% IFR - 
AE]],-15), " ")</f>
        <v xml:space="preserve"> </v>
      </c>
      <c r="K10" s="36" t="s">
        <v>128</v>
      </c>
      <c r="L10" s="36"/>
      <c r="M10" s="35"/>
      <c r="N10" s="36"/>
      <c r="O10" s="35"/>
      <c r="P10" s="35" t="s">
        <v>132</v>
      </c>
      <c r="Q10" s="35"/>
      <c r="R10" s="35"/>
      <c r="S10" s="35"/>
      <c r="T10" s="35"/>
      <c r="U10" s="71"/>
      <c r="V10" s="71"/>
      <c r="W10" s="35"/>
      <c r="X10" s="71"/>
      <c r="Y10" s="47" t="s">
        <v>129</v>
      </c>
    </row>
    <row r="11" spans="1:25" ht="26.1" customHeight="1">
      <c r="A11" s="29" t="s">
        <v>133</v>
      </c>
      <c r="B11" s="47" t="s">
        <v>127</v>
      </c>
      <c r="C11" s="29"/>
      <c r="D11" s="29"/>
      <c r="E11" s="29"/>
      <c r="F11" s="39"/>
      <c r="G11" s="29"/>
      <c r="H11" s="29" t="s">
        <v>80</v>
      </c>
      <c r="I11" s="35"/>
      <c r="J11" s="35" t="str">
        <f>IFERROR(WORKDAY(Table145[[#This Row],[50% IFR - 
AE]],-15), " ")</f>
        <v xml:space="preserve"> </v>
      </c>
      <c r="K11" s="35"/>
      <c r="L11" s="36"/>
      <c r="M11" s="35"/>
      <c r="N11" s="36"/>
      <c r="O11" s="35"/>
      <c r="P11" s="35" t="s">
        <v>134</v>
      </c>
      <c r="Q11" s="35" t="s">
        <v>135</v>
      </c>
      <c r="R11" s="35"/>
      <c r="S11" s="35"/>
      <c r="T11" s="35"/>
      <c r="U11" s="71"/>
      <c r="V11" s="71"/>
      <c r="W11" s="35"/>
      <c r="X11" s="71"/>
      <c r="Y11" s="47" t="s">
        <v>136</v>
      </c>
    </row>
    <row r="12" spans="1:25" ht="26.1" customHeight="1">
      <c r="A12" s="29" t="s">
        <v>137</v>
      </c>
      <c r="B12" s="47" t="s">
        <v>138</v>
      </c>
      <c r="C12" s="29" t="s">
        <v>139</v>
      </c>
      <c r="D12" s="29" t="s">
        <v>77</v>
      </c>
      <c r="E12" s="29" t="s">
        <v>140</v>
      </c>
      <c r="F12" s="39" t="s">
        <v>141</v>
      </c>
      <c r="G12" s="29" t="s">
        <v>100</v>
      </c>
      <c r="H12" s="29" t="s">
        <v>80</v>
      </c>
      <c r="I12" s="35">
        <v>44957</v>
      </c>
      <c r="J12" s="35" t="str">
        <f>IFERROR(WORKDAY(Table145[[#This Row],[50% IFR - 
AE]],-15), " ")</f>
        <v xml:space="preserve"> </v>
      </c>
      <c r="K12" s="36" t="s">
        <v>142</v>
      </c>
      <c r="L12" s="36" t="s">
        <v>142</v>
      </c>
      <c r="M12" s="36" t="s">
        <v>143</v>
      </c>
      <c r="N12" s="36" t="s">
        <v>144</v>
      </c>
      <c r="O12" s="35" t="s">
        <v>145</v>
      </c>
      <c r="P12" s="35" t="s">
        <v>146</v>
      </c>
      <c r="Q12" s="35"/>
      <c r="R12" s="35"/>
      <c r="S12" s="35"/>
      <c r="T12" s="35"/>
      <c r="U12" s="71"/>
      <c r="V12" s="71"/>
      <c r="W12" s="35"/>
      <c r="X12" s="71" t="s">
        <v>147</v>
      </c>
      <c r="Y12" s="47" t="s">
        <v>148</v>
      </c>
    </row>
    <row r="13" spans="1:25" ht="26.1" customHeight="1">
      <c r="A13" s="39" t="s">
        <v>149</v>
      </c>
      <c r="B13" s="47" t="s">
        <v>138</v>
      </c>
      <c r="C13" s="29" t="s">
        <v>150</v>
      </c>
      <c r="D13" s="29" t="s">
        <v>77</v>
      </c>
      <c r="E13" s="29" t="s">
        <v>151</v>
      </c>
      <c r="F13" s="39" t="s">
        <v>152</v>
      </c>
      <c r="G13" s="29"/>
      <c r="H13" s="29" t="s">
        <v>80</v>
      </c>
      <c r="I13" s="35" t="s">
        <v>131</v>
      </c>
      <c r="J13" s="35" t="str">
        <f>IFERROR(WORKDAY(Table145[[#This Row],[50% IFR - 
AE]],-15), " ")</f>
        <v xml:space="preserve"> </v>
      </c>
      <c r="K13" s="35" t="s">
        <v>153</v>
      </c>
      <c r="L13" s="36" t="s">
        <v>154</v>
      </c>
      <c r="M13" s="35" t="s">
        <v>155</v>
      </c>
      <c r="N13" s="36" t="s">
        <v>156</v>
      </c>
      <c r="O13" s="35" t="s">
        <v>145</v>
      </c>
      <c r="P13" s="35" t="s">
        <v>146</v>
      </c>
      <c r="Q13" s="35"/>
      <c r="R13" s="35"/>
      <c r="S13" s="35"/>
      <c r="T13" s="35"/>
      <c r="U13" s="71"/>
      <c r="V13" s="71"/>
      <c r="W13" s="35"/>
      <c r="X13" s="71" t="s">
        <v>157</v>
      </c>
      <c r="Y13" s="47" t="s">
        <v>158</v>
      </c>
    </row>
    <row r="14" spans="1:25" ht="26.1" customHeight="1">
      <c r="A14" s="29" t="s">
        <v>159</v>
      </c>
      <c r="B14" s="47"/>
      <c r="C14" s="29" t="s">
        <v>139</v>
      </c>
      <c r="D14" s="29" t="s">
        <v>77</v>
      </c>
      <c r="E14" s="29" t="s">
        <v>140</v>
      </c>
      <c r="F14" s="39" t="s">
        <v>141</v>
      </c>
      <c r="G14" s="29" t="s">
        <v>100</v>
      </c>
      <c r="H14" s="29" t="s">
        <v>160</v>
      </c>
      <c r="I14" s="35"/>
      <c r="J14" s="35" t="str">
        <f>IFERROR(WORKDAY(Table145[[#This Row],[50% IFR - 
AE]],-15), " ")</f>
        <v xml:space="preserve"> </v>
      </c>
      <c r="K14" s="35"/>
      <c r="L14" s="35"/>
      <c r="M14" s="35"/>
      <c r="N14" s="35"/>
      <c r="O14" s="35"/>
      <c r="P14" s="35"/>
      <c r="Q14" s="35"/>
      <c r="R14" s="35"/>
      <c r="S14" s="35"/>
      <c r="T14" s="35"/>
      <c r="U14" s="71"/>
      <c r="V14" s="71"/>
      <c r="W14" s="35"/>
      <c r="X14" s="71"/>
      <c r="Y14" s="47"/>
    </row>
    <row r="15" spans="1:25" ht="26.1" customHeight="1">
      <c r="A15" s="39" t="s">
        <v>161</v>
      </c>
      <c r="B15" s="47"/>
      <c r="C15" s="29" t="s">
        <v>139</v>
      </c>
      <c r="D15" s="29" t="s">
        <v>77</v>
      </c>
      <c r="E15" s="29" t="s">
        <v>140</v>
      </c>
      <c r="F15" s="39" t="s">
        <v>141</v>
      </c>
      <c r="G15" s="29" t="s">
        <v>100</v>
      </c>
      <c r="H15" s="29" t="s">
        <v>160</v>
      </c>
      <c r="I15" s="35" t="s">
        <v>131</v>
      </c>
      <c r="J15" s="35" t="str">
        <f>IFERROR(WORKDAY(Table145[[#This Row],[50% IFR - 
AE]],-15), " ")</f>
        <v xml:space="preserve"> </v>
      </c>
      <c r="K15" s="35">
        <v>45240</v>
      </c>
      <c r="L15" s="35" t="s">
        <v>162</v>
      </c>
      <c r="M15" s="35">
        <v>45280</v>
      </c>
      <c r="N15" s="35" t="s">
        <v>163</v>
      </c>
      <c r="O15" s="35"/>
      <c r="P15" s="35" t="s">
        <v>164</v>
      </c>
      <c r="Q15" s="35"/>
      <c r="R15" s="35"/>
      <c r="S15" s="35"/>
      <c r="T15" s="35"/>
      <c r="U15" s="71"/>
      <c r="V15" s="71"/>
      <c r="W15" s="35"/>
      <c r="X15" s="71"/>
      <c r="Y15" s="47" t="s">
        <v>165</v>
      </c>
    </row>
    <row r="16" spans="1:25" ht="26.1" customHeight="1">
      <c r="A16" s="29" t="s">
        <v>166</v>
      </c>
      <c r="B16" s="47" t="s">
        <v>167</v>
      </c>
      <c r="C16" s="29" t="s">
        <v>168</v>
      </c>
      <c r="D16" s="29" t="s">
        <v>77</v>
      </c>
      <c r="E16" s="29" t="s">
        <v>169</v>
      </c>
      <c r="F16" s="39" t="s">
        <v>170</v>
      </c>
      <c r="G16" s="29"/>
      <c r="H16" s="29" t="s">
        <v>118</v>
      </c>
      <c r="I16" s="35"/>
      <c r="J16" s="35" t="str">
        <f>IFERROR(WORKDAY(Table145[[#This Row],[50% IFR - 
AE]],-15), " ")</f>
        <v xml:space="preserve"> </v>
      </c>
      <c r="K16" s="35"/>
      <c r="L16" s="36"/>
      <c r="M16" s="35"/>
      <c r="N16" s="36"/>
      <c r="O16" s="35"/>
      <c r="P16" s="35"/>
      <c r="Q16" s="35">
        <v>45215</v>
      </c>
      <c r="R16" s="35"/>
      <c r="S16" s="35"/>
      <c r="T16" s="35"/>
      <c r="U16" s="71"/>
      <c r="V16" s="71"/>
      <c r="W16" s="35"/>
      <c r="X16" s="71"/>
      <c r="Y16" s="47"/>
    </row>
    <row r="17" spans="1:26" ht="26.1" customHeight="1">
      <c r="A17" s="39" t="s">
        <v>171</v>
      </c>
      <c r="B17" s="47" t="s">
        <v>167</v>
      </c>
      <c r="C17" s="29" t="s">
        <v>168</v>
      </c>
      <c r="D17" s="29" t="s">
        <v>77</v>
      </c>
      <c r="E17" s="29" t="s">
        <v>169</v>
      </c>
      <c r="F17" s="39" t="s">
        <v>170</v>
      </c>
      <c r="G17" s="29"/>
      <c r="H17" s="29" t="s">
        <v>118</v>
      </c>
      <c r="I17" s="35" t="s">
        <v>131</v>
      </c>
      <c r="J17" s="35" t="str">
        <f>IFERROR(WORKDAY(Table145[[#This Row],[50% IFR - 
AE]],-15), " ")</f>
        <v xml:space="preserve"> </v>
      </c>
      <c r="K17" s="36" t="s">
        <v>172</v>
      </c>
      <c r="L17" s="36" t="s">
        <v>173</v>
      </c>
      <c r="M17" s="35"/>
      <c r="N17" s="36"/>
      <c r="O17" s="35"/>
      <c r="P17" s="35"/>
      <c r="Q17" s="35"/>
      <c r="R17" s="35"/>
      <c r="S17" s="35"/>
      <c r="T17" s="35"/>
      <c r="U17" s="71"/>
      <c r="V17" s="71"/>
      <c r="W17" s="35"/>
      <c r="X17" s="71" t="s">
        <v>174</v>
      </c>
      <c r="Y17" s="47" t="s">
        <v>175</v>
      </c>
    </row>
    <row r="18" spans="1:26" ht="26.1" customHeight="1">
      <c r="A18" s="29" t="s">
        <v>176</v>
      </c>
      <c r="B18" s="47"/>
      <c r="C18" s="29"/>
      <c r="D18" s="29"/>
      <c r="E18" s="29"/>
      <c r="F18" s="39"/>
      <c r="G18" s="29"/>
      <c r="H18" s="29"/>
      <c r="I18" s="35"/>
      <c r="J18" s="35" t="str">
        <f>IFERROR(WORKDAY(Table145[[#This Row],[50% IFR - 
AE]],-15), " ")</f>
        <v xml:space="preserve"> </v>
      </c>
      <c r="K18" s="36"/>
      <c r="L18" s="36" t="s">
        <v>177</v>
      </c>
      <c r="M18" s="35"/>
      <c r="N18" s="36"/>
      <c r="O18" s="35"/>
      <c r="P18" s="35"/>
      <c r="Q18" s="35"/>
      <c r="R18" s="35"/>
      <c r="S18" s="35"/>
      <c r="T18" s="35"/>
      <c r="U18" s="71"/>
      <c r="V18" s="71"/>
      <c r="W18" s="35"/>
      <c r="X18" s="71"/>
      <c r="Y18" s="47"/>
    </row>
    <row r="19" spans="1:26" ht="26.1" customHeight="1">
      <c r="A19" s="39" t="s">
        <v>178</v>
      </c>
      <c r="B19" s="47" t="s">
        <v>167</v>
      </c>
      <c r="C19" s="29" t="s">
        <v>168</v>
      </c>
      <c r="D19" s="29" t="s">
        <v>77</v>
      </c>
      <c r="E19" s="29" t="s">
        <v>169</v>
      </c>
      <c r="F19" s="39" t="s">
        <v>170</v>
      </c>
      <c r="G19" s="29"/>
      <c r="H19" s="29" t="s">
        <v>118</v>
      </c>
      <c r="I19" s="35" t="s">
        <v>131</v>
      </c>
      <c r="J19" s="35" t="str">
        <f>IFERROR(WORKDAY(Table145[[#This Row],[50% IFR - 
AE]],-15), " ")</f>
        <v xml:space="preserve"> </v>
      </c>
      <c r="K19" s="35" t="s">
        <v>82</v>
      </c>
      <c r="L19" s="36"/>
      <c r="M19" s="35"/>
      <c r="N19" s="36"/>
      <c r="O19" s="35"/>
      <c r="P19" s="35"/>
      <c r="Q19" s="35"/>
      <c r="R19" s="35"/>
      <c r="S19" s="35"/>
      <c r="T19" s="35"/>
      <c r="U19" s="71"/>
      <c r="V19" s="71"/>
      <c r="W19" s="35"/>
      <c r="X19" s="71"/>
      <c r="Y19" s="47"/>
    </row>
    <row r="20" spans="1:26" ht="26.1" customHeight="1">
      <c r="A20" s="29" t="s">
        <v>179</v>
      </c>
      <c r="B20" s="47" t="s">
        <v>180</v>
      </c>
      <c r="C20" s="29" t="s">
        <v>181</v>
      </c>
      <c r="D20" s="29" t="s">
        <v>77</v>
      </c>
      <c r="E20" s="29" t="s">
        <v>182</v>
      </c>
      <c r="F20" s="39" t="s">
        <v>183</v>
      </c>
      <c r="G20" s="29"/>
      <c r="H20" s="29" t="s">
        <v>118</v>
      </c>
      <c r="I20" s="35"/>
      <c r="J20" s="35" t="str">
        <f>IFERROR(WORKDAY(Table145[[#This Row],[50% IFR - 
AE]],-15), " ")</f>
        <v xml:space="preserve"> </v>
      </c>
      <c r="K20" s="35"/>
      <c r="L20" s="36"/>
      <c r="M20" s="35" t="s">
        <v>82</v>
      </c>
      <c r="N20" s="36" t="s">
        <v>184</v>
      </c>
      <c r="O20" s="35" t="s">
        <v>185</v>
      </c>
      <c r="P20" s="35" t="s">
        <v>185</v>
      </c>
      <c r="Q20" s="35"/>
      <c r="R20" s="35"/>
      <c r="S20" s="35"/>
      <c r="T20" s="35"/>
      <c r="U20" s="71"/>
      <c r="V20" s="71"/>
      <c r="W20" s="35"/>
      <c r="X20" s="71" t="s">
        <v>186</v>
      </c>
      <c r="Y20" s="47" t="s">
        <v>187</v>
      </c>
      <c r="Z20" s="8"/>
    </row>
    <row r="21" spans="1:26" ht="26.1" customHeight="1">
      <c r="A21" s="29" t="s">
        <v>188</v>
      </c>
      <c r="B21" s="47"/>
      <c r="C21" s="29"/>
      <c r="D21" s="29"/>
      <c r="E21" s="29"/>
      <c r="F21" s="39"/>
      <c r="G21" s="29"/>
      <c r="H21" s="29"/>
      <c r="I21" s="35"/>
      <c r="J21" s="35" t="str">
        <f>IFERROR(WORKDAY(Table145[[#This Row],[50% IFR - 
AE]],-15), " ")</f>
        <v xml:space="preserve"> </v>
      </c>
      <c r="K21" s="35"/>
      <c r="L21" s="36"/>
      <c r="M21" s="35"/>
      <c r="N21" s="36"/>
      <c r="O21" s="35"/>
      <c r="P21" s="35"/>
      <c r="Q21" s="35" t="s">
        <v>189</v>
      </c>
      <c r="R21" s="35"/>
      <c r="S21" s="35"/>
      <c r="T21" s="35"/>
      <c r="U21" s="71"/>
      <c r="V21" s="71"/>
      <c r="W21" s="35"/>
      <c r="X21" s="71"/>
      <c r="Y21" s="47"/>
      <c r="Z21" s="8"/>
    </row>
    <row r="22" spans="1:26" ht="26.1" customHeight="1">
      <c r="A22" s="29" t="s">
        <v>190</v>
      </c>
      <c r="B22" s="47" t="s">
        <v>191</v>
      </c>
      <c r="C22" s="29" t="s">
        <v>192</v>
      </c>
      <c r="D22" s="29" t="s">
        <v>77</v>
      </c>
      <c r="E22" s="29" t="s">
        <v>193</v>
      </c>
      <c r="F22" s="39" t="s">
        <v>194</v>
      </c>
      <c r="G22" s="29"/>
      <c r="H22" s="29" t="s">
        <v>118</v>
      </c>
      <c r="I22" s="35"/>
      <c r="J22" s="35" t="str">
        <f>IFERROR(WORKDAY(Table145[[#This Row],[50% IFR - 
AE]],-15), " ")</f>
        <v xml:space="preserve"> </v>
      </c>
      <c r="K22" s="35"/>
      <c r="L22" s="35"/>
      <c r="M22" s="35"/>
      <c r="N22" s="36"/>
      <c r="O22" s="35"/>
      <c r="P22" s="35"/>
      <c r="Q22" s="35"/>
      <c r="R22" s="35"/>
      <c r="S22" s="35"/>
      <c r="T22" s="35"/>
      <c r="U22" s="71"/>
      <c r="V22" s="71"/>
      <c r="W22" s="35"/>
      <c r="X22" s="71" t="s">
        <v>195</v>
      </c>
      <c r="Y22" s="47"/>
      <c r="Z22" s="8"/>
    </row>
    <row r="23" spans="1:26" ht="26.1" customHeight="1">
      <c r="A23" s="29" t="s">
        <v>196</v>
      </c>
      <c r="B23" s="47" t="s">
        <v>191</v>
      </c>
      <c r="C23" s="29" t="s">
        <v>192</v>
      </c>
      <c r="D23" s="29" t="s">
        <v>77</v>
      </c>
      <c r="E23" s="29" t="s">
        <v>193</v>
      </c>
      <c r="F23" s="39" t="s">
        <v>194</v>
      </c>
      <c r="G23" s="29"/>
      <c r="H23" s="29" t="s">
        <v>118</v>
      </c>
      <c r="I23" s="35"/>
      <c r="J23" s="35" t="str">
        <f>IFERROR(WORKDAY(Table145[[#This Row],[50% IFR - 
AE]],-15), " ")</f>
        <v xml:space="preserve"> </v>
      </c>
      <c r="K23" s="35"/>
      <c r="L23" s="35"/>
      <c r="M23" s="35"/>
      <c r="N23" s="36"/>
      <c r="O23" s="35"/>
      <c r="P23" s="35"/>
      <c r="Q23" s="35"/>
      <c r="R23" s="35"/>
      <c r="S23" s="35"/>
      <c r="T23" s="35"/>
      <c r="U23" s="71"/>
      <c r="V23" s="71"/>
      <c r="W23" s="35"/>
      <c r="X23" s="71" t="s">
        <v>195</v>
      </c>
      <c r="Y23" s="47"/>
      <c r="Z23" s="8"/>
    </row>
    <row r="24" spans="1:26" ht="26.1" customHeight="1">
      <c r="A24" s="29" t="s">
        <v>197</v>
      </c>
      <c r="B24" s="47" t="s">
        <v>191</v>
      </c>
      <c r="C24" s="29" t="s">
        <v>192</v>
      </c>
      <c r="D24" s="29" t="s">
        <v>77</v>
      </c>
      <c r="E24" s="29" t="s">
        <v>193</v>
      </c>
      <c r="F24" s="39" t="s">
        <v>194</v>
      </c>
      <c r="G24" s="29"/>
      <c r="H24" s="29" t="s">
        <v>118</v>
      </c>
      <c r="I24" s="35"/>
      <c r="J24" s="35" t="str">
        <f>IFERROR(WORKDAY(Table145[[#This Row],[50% IFR - 
AE]],-15), " ")</f>
        <v xml:space="preserve"> </v>
      </c>
      <c r="K24" s="35"/>
      <c r="L24" s="35"/>
      <c r="M24" s="35"/>
      <c r="N24" s="36"/>
      <c r="O24" s="35"/>
      <c r="P24" s="35"/>
      <c r="Q24" s="35"/>
      <c r="R24" s="35"/>
      <c r="S24" s="35"/>
      <c r="T24" s="35"/>
      <c r="U24" s="71"/>
      <c r="V24" s="71"/>
      <c r="W24" s="35"/>
      <c r="X24" s="71" t="s">
        <v>198</v>
      </c>
      <c r="Y24" s="47"/>
      <c r="Z24" s="8"/>
    </row>
    <row r="25" spans="1:26" ht="26.1" customHeight="1">
      <c r="A25" s="29" t="s">
        <v>199</v>
      </c>
      <c r="B25" s="47" t="s">
        <v>191</v>
      </c>
      <c r="C25" s="29" t="s">
        <v>192</v>
      </c>
      <c r="D25" s="29" t="s">
        <v>77</v>
      </c>
      <c r="E25" s="29" t="s">
        <v>193</v>
      </c>
      <c r="F25" s="39" t="s">
        <v>194</v>
      </c>
      <c r="G25" s="29"/>
      <c r="H25" s="29" t="s">
        <v>118</v>
      </c>
      <c r="I25" s="35"/>
      <c r="J25" s="35" t="str">
        <f>IFERROR(WORKDAY(Table145[[#This Row],[50% IFR - 
AE]],-15), " ")</f>
        <v xml:space="preserve"> </v>
      </c>
      <c r="K25" s="35"/>
      <c r="L25" s="35"/>
      <c r="M25" s="35"/>
      <c r="N25" s="36"/>
      <c r="O25" s="35"/>
      <c r="P25" s="35"/>
      <c r="Q25" s="35" t="s">
        <v>200</v>
      </c>
      <c r="R25" s="35"/>
      <c r="S25" s="35"/>
      <c r="T25" s="35"/>
      <c r="U25" s="71"/>
      <c r="V25" s="71"/>
      <c r="W25" s="35"/>
      <c r="X25" s="71" t="s">
        <v>195</v>
      </c>
      <c r="Y25" s="47"/>
      <c r="Z25" s="8"/>
    </row>
    <row r="26" spans="1:26" ht="26.1" customHeight="1">
      <c r="A26" s="29" t="s">
        <v>201</v>
      </c>
      <c r="B26" s="47" t="s">
        <v>191</v>
      </c>
      <c r="C26" s="29" t="s">
        <v>192</v>
      </c>
      <c r="D26" s="29" t="s">
        <v>77</v>
      </c>
      <c r="E26" s="29" t="s">
        <v>193</v>
      </c>
      <c r="F26" s="39" t="s">
        <v>194</v>
      </c>
      <c r="G26" s="29"/>
      <c r="H26" s="29" t="s">
        <v>118</v>
      </c>
      <c r="I26" s="35"/>
      <c r="J26" s="35" t="str">
        <f>IFERROR(WORKDAY(Table145[[#This Row],[50% IFR - 
AE]],-15), " ")</f>
        <v xml:space="preserve"> </v>
      </c>
      <c r="K26" s="35"/>
      <c r="L26" s="35"/>
      <c r="M26" s="35"/>
      <c r="N26" s="36"/>
      <c r="O26" s="35"/>
      <c r="P26" s="35"/>
      <c r="Q26" s="35"/>
      <c r="R26" s="35"/>
      <c r="S26" s="35"/>
      <c r="T26" s="35"/>
      <c r="U26" s="71"/>
      <c r="V26" s="71"/>
      <c r="W26" s="35"/>
      <c r="X26" s="71" t="s">
        <v>195</v>
      </c>
      <c r="Y26" s="47"/>
      <c r="Z26" s="8"/>
    </row>
    <row r="27" spans="1:26" ht="26.1" customHeight="1">
      <c r="A27" s="29" t="s">
        <v>202</v>
      </c>
      <c r="B27" s="47" t="s">
        <v>203</v>
      </c>
      <c r="C27" s="29" t="s">
        <v>204</v>
      </c>
      <c r="D27" s="29" t="s">
        <v>77</v>
      </c>
      <c r="E27" s="29" t="s">
        <v>205</v>
      </c>
      <c r="F27" s="39" t="s">
        <v>206</v>
      </c>
      <c r="G27" s="29"/>
      <c r="H27" s="29" t="s">
        <v>118</v>
      </c>
      <c r="I27" s="35"/>
      <c r="J27" s="35" t="str">
        <f>IFERROR(WORKDAY(Table145[[#This Row],[50% IFR - 
AE]],-15), " ")</f>
        <v xml:space="preserve"> </v>
      </c>
      <c r="K27" s="36" t="s">
        <v>82</v>
      </c>
      <c r="L27" s="36" t="s">
        <v>207</v>
      </c>
      <c r="M27" s="36" t="s">
        <v>82</v>
      </c>
      <c r="N27" s="36" t="s">
        <v>208</v>
      </c>
      <c r="O27" s="36" t="s">
        <v>209</v>
      </c>
      <c r="P27" s="35" t="s">
        <v>210</v>
      </c>
      <c r="Q27" s="35" t="s">
        <v>211</v>
      </c>
      <c r="R27" s="35"/>
      <c r="S27" s="35"/>
      <c r="T27" s="35"/>
      <c r="U27" s="71"/>
      <c r="V27" s="71"/>
      <c r="W27" s="35"/>
      <c r="X27" s="71"/>
      <c r="Y27" s="47" t="s">
        <v>212</v>
      </c>
    </row>
    <row r="28" spans="1:26" ht="26.1" customHeight="1">
      <c r="A28" s="29" t="s">
        <v>213</v>
      </c>
      <c r="B28" s="47" t="s">
        <v>203</v>
      </c>
      <c r="C28" s="29" t="s">
        <v>204</v>
      </c>
      <c r="D28" s="29" t="s">
        <v>214</v>
      </c>
      <c r="E28" s="29" t="s">
        <v>205</v>
      </c>
      <c r="F28" s="39" t="s">
        <v>206</v>
      </c>
      <c r="G28" s="29"/>
      <c r="H28" s="29" t="s">
        <v>80</v>
      </c>
      <c r="I28" s="35">
        <v>45033</v>
      </c>
      <c r="J28" s="35" t="str">
        <f>IFERROR(WORKDAY(Table145[[#This Row],[50% IFR - 
AE]],-15), " ")</f>
        <v xml:space="preserve"> </v>
      </c>
      <c r="K28" s="36" t="s">
        <v>215</v>
      </c>
      <c r="L28" s="36" t="s">
        <v>216</v>
      </c>
      <c r="M28" s="36" t="s">
        <v>217</v>
      </c>
      <c r="N28" s="36" t="s">
        <v>218</v>
      </c>
      <c r="O28" s="36" t="s">
        <v>185</v>
      </c>
      <c r="P28" s="35" t="s">
        <v>219</v>
      </c>
      <c r="Q28" s="35" t="s">
        <v>220</v>
      </c>
      <c r="R28" s="35"/>
      <c r="S28" s="35"/>
      <c r="T28" s="35"/>
      <c r="U28" s="71"/>
      <c r="V28" s="71"/>
      <c r="W28" s="35"/>
      <c r="X28" s="71" t="s">
        <v>221</v>
      </c>
      <c r="Y28" s="47" t="s">
        <v>222</v>
      </c>
    </row>
    <row r="29" spans="1:26" ht="26.1" customHeight="1">
      <c r="A29" s="29" t="s">
        <v>223</v>
      </c>
      <c r="B29" s="47"/>
      <c r="C29" s="29"/>
      <c r="D29" s="29"/>
      <c r="E29" s="29"/>
      <c r="F29" s="39"/>
      <c r="G29" s="29"/>
      <c r="H29" s="29" t="s">
        <v>80</v>
      </c>
      <c r="I29" s="35"/>
      <c r="J29" s="35" t="str">
        <f>IFERROR(WORKDAY(Table145[[#This Row],[50% IFR - 
AE]],-15), " ")</f>
        <v xml:space="preserve"> </v>
      </c>
      <c r="K29" s="35" t="s">
        <v>224</v>
      </c>
      <c r="L29" s="35" t="s">
        <v>225</v>
      </c>
      <c r="M29" s="35"/>
      <c r="N29" s="35" t="s">
        <v>123</v>
      </c>
      <c r="O29" s="35"/>
      <c r="P29" s="35" t="s">
        <v>226</v>
      </c>
      <c r="Q29" s="35"/>
      <c r="R29" s="35"/>
      <c r="S29" s="35"/>
      <c r="T29" s="35"/>
      <c r="U29" s="71"/>
      <c r="V29" s="71"/>
      <c r="W29" s="35"/>
      <c r="X29" s="71"/>
      <c r="Y29" s="47"/>
      <c r="Z29" s="8"/>
    </row>
    <row r="30" spans="1:26" ht="26.1" customHeight="1">
      <c r="A30" s="29" t="s">
        <v>227</v>
      </c>
      <c r="B30" s="47"/>
      <c r="C30" s="29"/>
      <c r="D30" s="29"/>
      <c r="E30" s="29"/>
      <c r="F30" s="39"/>
      <c r="G30" s="29"/>
      <c r="H30" s="29" t="s">
        <v>80</v>
      </c>
      <c r="I30" s="35" t="s">
        <v>228</v>
      </c>
      <c r="J30" s="35" t="str">
        <f>IFERROR(WORKDAY(Table145[[#This Row],[50% IFR - 
AE]],-15), " ")</f>
        <v xml:space="preserve"> </v>
      </c>
      <c r="K30" s="35"/>
      <c r="L30" s="35"/>
      <c r="M30" s="35"/>
      <c r="N30" s="35" t="s">
        <v>123</v>
      </c>
      <c r="O30" s="35"/>
      <c r="P30" s="35" t="s">
        <v>226</v>
      </c>
      <c r="Q30" s="35"/>
      <c r="R30" s="35"/>
      <c r="S30" s="35"/>
      <c r="T30" s="35"/>
      <c r="U30" s="71"/>
      <c r="V30" s="71"/>
      <c r="W30" s="35"/>
      <c r="X30" s="71"/>
      <c r="Y30" s="47"/>
      <c r="Z30" s="8"/>
    </row>
    <row r="31" spans="1:26" ht="51.75" customHeight="1">
      <c r="A31" s="29" t="s">
        <v>229</v>
      </c>
      <c r="B31" s="47" t="s">
        <v>203</v>
      </c>
      <c r="C31" s="29" t="s">
        <v>204</v>
      </c>
      <c r="D31" s="29" t="s">
        <v>77</v>
      </c>
      <c r="E31" s="29" t="s">
        <v>205</v>
      </c>
      <c r="F31" s="39" t="s">
        <v>206</v>
      </c>
      <c r="G31" s="29"/>
      <c r="H31" s="29" t="s">
        <v>80</v>
      </c>
      <c r="I31" s="35"/>
      <c r="J31" s="35" t="str">
        <f>IFERROR(WORKDAY(Table145[[#This Row],[50% IFR - 
AE]],-15), " ")</f>
        <v xml:space="preserve"> </v>
      </c>
      <c r="K31" s="36" t="s">
        <v>230</v>
      </c>
      <c r="L31" s="36" t="s">
        <v>231</v>
      </c>
      <c r="M31" s="52" t="s">
        <v>112</v>
      </c>
      <c r="N31" s="36" t="s">
        <v>232</v>
      </c>
      <c r="O31" s="36" t="s">
        <v>185</v>
      </c>
      <c r="P31" s="35" t="s">
        <v>233</v>
      </c>
      <c r="Q31" s="35" t="s">
        <v>234</v>
      </c>
      <c r="R31" s="35"/>
      <c r="S31" s="35"/>
      <c r="T31" s="35"/>
      <c r="U31" s="71"/>
      <c r="V31" s="71"/>
      <c r="W31" s="35"/>
      <c r="X31" s="72" t="s">
        <v>235</v>
      </c>
      <c r="Y31" s="47" t="s">
        <v>236</v>
      </c>
    </row>
    <row r="32" spans="1:26" ht="26.1" customHeight="1">
      <c r="A32" s="39" t="s">
        <v>237</v>
      </c>
      <c r="B32" s="47" t="s">
        <v>203</v>
      </c>
      <c r="C32" s="29" t="s">
        <v>204</v>
      </c>
      <c r="D32" s="29" t="s">
        <v>77</v>
      </c>
      <c r="E32" s="29" t="s">
        <v>205</v>
      </c>
      <c r="F32" s="39" t="s">
        <v>206</v>
      </c>
      <c r="G32" s="29"/>
      <c r="H32" s="29" t="s">
        <v>80</v>
      </c>
      <c r="I32" s="35" t="s">
        <v>131</v>
      </c>
      <c r="J32" s="35" t="str">
        <f>IFERROR(WORKDAY(Table145[[#This Row],[50% IFR - 
AE]],-15), " ")</f>
        <v xml:space="preserve"> </v>
      </c>
      <c r="K32" s="35" t="s">
        <v>238</v>
      </c>
      <c r="L32" s="35" t="s">
        <v>239</v>
      </c>
      <c r="M32" s="35" t="s">
        <v>240</v>
      </c>
      <c r="N32" s="36" t="s">
        <v>241</v>
      </c>
      <c r="O32" s="35" t="s">
        <v>225</v>
      </c>
      <c r="P32" s="35" t="s">
        <v>242</v>
      </c>
      <c r="Q32" s="35" t="s">
        <v>243</v>
      </c>
      <c r="R32" s="35"/>
      <c r="S32" s="35"/>
      <c r="T32" s="35"/>
      <c r="U32" s="71"/>
      <c r="V32" s="71"/>
      <c r="W32" s="35"/>
      <c r="X32" s="71"/>
      <c r="Y32" s="47" t="s">
        <v>244</v>
      </c>
    </row>
    <row r="33" spans="1:25" ht="26.1" customHeight="1">
      <c r="A33" s="39" t="s">
        <v>245</v>
      </c>
      <c r="B33" s="47" t="s">
        <v>203</v>
      </c>
      <c r="C33" s="29"/>
      <c r="D33" s="29"/>
      <c r="E33" s="29"/>
      <c r="F33" s="39"/>
      <c r="G33" s="29"/>
      <c r="H33" s="29" t="s">
        <v>80</v>
      </c>
      <c r="I33" s="35" t="s">
        <v>131</v>
      </c>
      <c r="J33" s="35" t="str">
        <f>IFERROR(WORKDAY(Table145[[#This Row],[50% IFR - 
AE]],-15), " ")</f>
        <v xml:space="preserve"> </v>
      </c>
      <c r="K33" s="35" t="s">
        <v>246</v>
      </c>
      <c r="L33" s="35" t="s">
        <v>247</v>
      </c>
      <c r="M33" s="35" t="s">
        <v>248</v>
      </c>
      <c r="N33" s="35" t="s">
        <v>249</v>
      </c>
      <c r="O33" s="35"/>
      <c r="P33" s="35" t="s">
        <v>250</v>
      </c>
      <c r="Q33" s="35">
        <v>45427</v>
      </c>
      <c r="R33" s="35"/>
      <c r="S33" s="35"/>
      <c r="T33" s="35"/>
      <c r="U33" s="71"/>
      <c r="V33" s="71"/>
      <c r="W33" s="35"/>
      <c r="X33" s="71" t="s">
        <v>251</v>
      </c>
      <c r="Y33" s="47"/>
    </row>
    <row r="34" spans="1:25" ht="26.1" customHeight="1">
      <c r="A34" s="39" t="s">
        <v>252</v>
      </c>
      <c r="B34" s="47"/>
      <c r="C34" s="29"/>
      <c r="D34" s="29"/>
      <c r="E34" s="29"/>
      <c r="F34" s="39"/>
      <c r="G34" s="29"/>
      <c r="H34" s="29"/>
      <c r="I34" s="35"/>
      <c r="J34" s="35" t="str">
        <f>IFERROR(WORKDAY(Table145[[#This Row],[50% IFR - 
AE]],-15), " ")</f>
        <v xml:space="preserve"> </v>
      </c>
      <c r="K34" s="35"/>
      <c r="L34" s="35"/>
      <c r="M34" s="35"/>
      <c r="N34" s="35"/>
      <c r="O34" s="35"/>
      <c r="P34" s="35"/>
      <c r="Q34" s="35" t="s">
        <v>253</v>
      </c>
      <c r="R34" s="35"/>
      <c r="S34" s="35"/>
      <c r="T34" s="35"/>
      <c r="U34" s="71"/>
      <c r="V34" s="71"/>
      <c r="W34" s="35"/>
      <c r="X34" s="71"/>
      <c r="Y34" s="47"/>
    </row>
    <row r="35" spans="1:25" ht="46.5" customHeight="1">
      <c r="A35" s="29" t="s">
        <v>254</v>
      </c>
      <c r="B35" s="47" t="s">
        <v>255</v>
      </c>
      <c r="C35" s="29" t="s">
        <v>256</v>
      </c>
      <c r="D35" s="29" t="s">
        <v>214</v>
      </c>
      <c r="E35" s="29" t="s">
        <v>257</v>
      </c>
      <c r="F35" s="39" t="s">
        <v>258</v>
      </c>
      <c r="G35" s="29"/>
      <c r="H35" s="29"/>
      <c r="I35" s="35"/>
      <c r="J35" s="35">
        <f>IFERROR(WORKDAY(Table145[[#This Row],[50% IFR - 
AE]],-15), " ")</f>
        <v>45139</v>
      </c>
      <c r="K35" s="35" t="s">
        <v>259</v>
      </c>
      <c r="L35" s="35">
        <v>45160</v>
      </c>
      <c r="M35" s="35" t="s">
        <v>260</v>
      </c>
      <c r="N35" s="35" t="s">
        <v>261</v>
      </c>
      <c r="O35" s="35" t="s">
        <v>262</v>
      </c>
      <c r="P35" s="35" t="s">
        <v>263</v>
      </c>
      <c r="Q35" s="35"/>
      <c r="R35" s="35"/>
      <c r="S35" s="35"/>
      <c r="T35" s="35"/>
      <c r="U35" s="71"/>
      <c r="V35" s="71"/>
      <c r="W35" s="35"/>
      <c r="X35" s="71" t="s">
        <v>264</v>
      </c>
      <c r="Y35" s="47"/>
    </row>
    <row r="36" spans="1:25" ht="46.5" customHeight="1">
      <c r="A36" s="29" t="s">
        <v>265</v>
      </c>
      <c r="B36" s="47"/>
      <c r="C36" s="29"/>
      <c r="D36" s="29"/>
      <c r="E36" s="29"/>
      <c r="F36" s="39"/>
      <c r="G36" s="29"/>
      <c r="H36" s="29"/>
      <c r="I36" s="35"/>
      <c r="J36" s="35" t="str">
        <f>IFERROR(WORKDAY(Table145[[#This Row],[50% IFR - 
AE]],-15), " ")</f>
        <v xml:space="preserve"> </v>
      </c>
      <c r="K36" s="35"/>
      <c r="L36" s="35" t="s">
        <v>266</v>
      </c>
      <c r="M36" s="35"/>
      <c r="N36" s="35">
        <v>45446</v>
      </c>
      <c r="O36" s="35"/>
      <c r="P36" s="35">
        <v>45474</v>
      </c>
      <c r="Q36" s="35"/>
      <c r="R36" s="35"/>
      <c r="S36" s="35"/>
      <c r="T36" s="35"/>
      <c r="U36" s="71"/>
      <c r="V36" s="71"/>
      <c r="W36" s="35"/>
      <c r="X36" s="71"/>
      <c r="Y36" s="47"/>
    </row>
    <row r="37" spans="1:25" ht="26.1" customHeight="1">
      <c r="A37" s="29" t="s">
        <v>267</v>
      </c>
      <c r="B37" s="47"/>
      <c r="C37" s="29"/>
      <c r="D37" s="29"/>
      <c r="E37" s="29"/>
      <c r="F37" s="39"/>
      <c r="G37" s="29"/>
      <c r="H37" s="29"/>
      <c r="I37" s="35"/>
      <c r="J37" s="35" t="str">
        <f>IFERROR(WORKDAY(Table145[[#This Row],[50% IFR - 
AE]],-15), " ")</f>
        <v xml:space="preserve"> </v>
      </c>
      <c r="K37" s="35"/>
      <c r="L37" s="35"/>
      <c r="M37" s="35"/>
      <c r="N37" s="35"/>
      <c r="O37" s="35"/>
      <c r="P37" s="35"/>
      <c r="Q37" s="35" t="s">
        <v>268</v>
      </c>
      <c r="R37" s="35"/>
      <c r="S37" s="35"/>
      <c r="T37" s="35"/>
      <c r="U37" s="71"/>
      <c r="V37" s="71"/>
      <c r="W37" s="35"/>
      <c r="X37" s="71"/>
      <c r="Y37" s="47"/>
    </row>
    <row r="38" spans="1:25" ht="26.1" customHeight="1">
      <c r="A38" s="29" t="s">
        <v>269</v>
      </c>
      <c r="B38" s="47" t="s">
        <v>270</v>
      </c>
      <c r="C38" s="29" t="s">
        <v>271</v>
      </c>
      <c r="D38" s="29" t="s">
        <v>77</v>
      </c>
      <c r="E38" s="29" t="s">
        <v>272</v>
      </c>
      <c r="F38" s="39" t="s">
        <v>273</v>
      </c>
      <c r="G38" s="29"/>
      <c r="H38" s="29" t="s">
        <v>80</v>
      </c>
      <c r="I38" s="35"/>
      <c r="J38" s="35" t="str">
        <f>IFERROR(WORKDAY(Table145[[#This Row],[50% IFR - 
AE]],-15), " ")</f>
        <v xml:space="preserve"> </v>
      </c>
      <c r="K38" s="36" t="s">
        <v>82</v>
      </c>
      <c r="L38" s="36" t="s">
        <v>274</v>
      </c>
      <c r="M38" s="36"/>
      <c r="N38" s="36" t="s">
        <v>275</v>
      </c>
      <c r="O38" s="36"/>
      <c r="P38" s="35">
        <v>45042</v>
      </c>
      <c r="Q38" s="35">
        <v>45076</v>
      </c>
      <c r="R38" s="35"/>
      <c r="S38" s="35"/>
      <c r="T38" s="35"/>
      <c r="U38" s="71"/>
      <c r="V38" s="71"/>
      <c r="W38" s="35"/>
      <c r="X38" s="71"/>
      <c r="Y38" s="47"/>
    </row>
    <row r="39" spans="1:25" ht="26.1" customHeight="1">
      <c r="A39" s="29" t="s">
        <v>276</v>
      </c>
      <c r="B39" s="47" t="s">
        <v>270</v>
      </c>
      <c r="C39" s="29" t="s">
        <v>271</v>
      </c>
      <c r="D39" s="29" t="s">
        <v>77</v>
      </c>
      <c r="E39" s="29" t="s">
        <v>272</v>
      </c>
      <c r="F39" s="39" t="s">
        <v>273</v>
      </c>
      <c r="G39" s="29"/>
      <c r="H39" s="29" t="s">
        <v>80</v>
      </c>
      <c r="I39" s="35"/>
      <c r="J39" s="35" t="str">
        <f>IFERROR(WORKDAY(Table145[[#This Row],[50% IFR - 
AE]],-15), " ")</f>
        <v xml:space="preserve"> </v>
      </c>
      <c r="K39" s="36" t="s">
        <v>82</v>
      </c>
      <c r="L39" s="36" t="s">
        <v>82</v>
      </c>
      <c r="M39" s="36" t="s">
        <v>82</v>
      </c>
      <c r="N39" s="36" t="s">
        <v>277</v>
      </c>
      <c r="O39" s="36" t="s">
        <v>82</v>
      </c>
      <c r="P39" s="35" t="s">
        <v>278</v>
      </c>
      <c r="Q39" s="35">
        <v>45050</v>
      </c>
      <c r="R39" s="35"/>
      <c r="S39" s="35"/>
      <c r="T39" s="35"/>
      <c r="U39" s="71"/>
      <c r="V39" s="71"/>
      <c r="W39" s="35"/>
      <c r="X39" s="71" t="s">
        <v>279</v>
      </c>
      <c r="Y39" s="47"/>
    </row>
    <row r="40" spans="1:25" ht="26.1" customHeight="1">
      <c r="A40" s="29" t="s">
        <v>280</v>
      </c>
      <c r="B40" s="47" t="s">
        <v>270</v>
      </c>
      <c r="C40" s="29"/>
      <c r="D40" s="29" t="s">
        <v>214</v>
      </c>
      <c r="E40" s="29" t="s">
        <v>268</v>
      </c>
      <c r="F40" s="29"/>
      <c r="G40" s="29"/>
      <c r="H40" s="29" t="s">
        <v>80</v>
      </c>
      <c r="I40" s="35"/>
      <c r="J40" s="35" t="str">
        <f>IFERROR(WORKDAY(Table145[[#This Row],[50% IFR - 
AE]],-15), " ")</f>
        <v xml:space="preserve"> </v>
      </c>
      <c r="K40" s="36"/>
      <c r="L40" s="36"/>
      <c r="M40" s="36"/>
      <c r="N40" s="36"/>
      <c r="O40" s="36"/>
      <c r="P40" s="35"/>
      <c r="Q40" s="35"/>
      <c r="R40" s="35"/>
      <c r="S40" s="35"/>
      <c r="T40" s="35"/>
      <c r="U40" s="71"/>
      <c r="V40" s="71"/>
      <c r="W40" s="35"/>
      <c r="X40" s="71"/>
      <c r="Y40" s="47"/>
    </row>
    <row r="41" spans="1:25" ht="26.1" customHeight="1">
      <c r="A41" s="29" t="s">
        <v>281</v>
      </c>
      <c r="B41" s="47" t="s">
        <v>282</v>
      </c>
      <c r="C41" s="29"/>
      <c r="D41" s="29" t="s">
        <v>77</v>
      </c>
      <c r="E41" s="29" t="s">
        <v>283</v>
      </c>
      <c r="F41" s="39" t="s">
        <v>284</v>
      </c>
      <c r="G41" s="29"/>
      <c r="H41" s="29" t="s">
        <v>80</v>
      </c>
      <c r="I41" s="35">
        <v>44987</v>
      </c>
      <c r="J41" s="35" t="str">
        <f>IFERROR(WORKDAY(Table145[[#This Row],[50% IFR - 
AE]],-15), " ")</f>
        <v xml:space="preserve"> </v>
      </c>
      <c r="K41" s="36" t="s">
        <v>285</v>
      </c>
      <c r="L41" s="36" t="s">
        <v>286</v>
      </c>
      <c r="M41" s="36"/>
      <c r="N41" s="36">
        <v>45041</v>
      </c>
      <c r="O41" s="36">
        <v>44931</v>
      </c>
      <c r="P41" s="35">
        <v>44931</v>
      </c>
      <c r="Q41" s="35"/>
      <c r="R41" s="35"/>
      <c r="S41" s="35"/>
      <c r="T41" s="35"/>
      <c r="U41" s="71"/>
      <c r="V41" s="71"/>
      <c r="W41" s="35"/>
      <c r="X41" s="47" t="s">
        <v>287</v>
      </c>
      <c r="Y41" s="47" t="s">
        <v>288</v>
      </c>
    </row>
    <row r="42" spans="1:25" ht="26.1" customHeight="1">
      <c r="A42" s="29" t="s">
        <v>289</v>
      </c>
      <c r="B42" s="47"/>
      <c r="C42" s="29"/>
      <c r="D42" s="29"/>
      <c r="E42" s="29"/>
      <c r="F42" s="29"/>
      <c r="G42" s="29"/>
      <c r="H42" s="29" t="s">
        <v>80</v>
      </c>
      <c r="I42" s="35"/>
      <c r="J42" s="35" t="str">
        <f>IFERROR(WORKDAY(Table145[[#This Row],[50% IFR - 
AE]],-15), " ")</f>
        <v xml:space="preserve"> </v>
      </c>
      <c r="K42" s="36" t="s">
        <v>82</v>
      </c>
      <c r="L42" s="36" t="s">
        <v>290</v>
      </c>
      <c r="M42" s="36" t="s">
        <v>83</v>
      </c>
      <c r="N42" s="36" t="s">
        <v>291</v>
      </c>
      <c r="O42" s="36" t="s">
        <v>83</v>
      </c>
      <c r="P42" s="35" t="s">
        <v>124</v>
      </c>
      <c r="Q42" s="35" t="s">
        <v>292</v>
      </c>
      <c r="R42" s="35"/>
      <c r="S42" s="35"/>
      <c r="T42" s="35"/>
      <c r="U42" s="71"/>
      <c r="V42" s="71"/>
      <c r="W42" s="35"/>
      <c r="X42" s="71"/>
      <c r="Y42" s="47"/>
    </row>
    <row r="43" spans="1:25" ht="26.1" customHeight="1">
      <c r="A43" s="29" t="s">
        <v>293</v>
      </c>
      <c r="B43" s="47" t="s">
        <v>294</v>
      </c>
      <c r="C43" s="29" t="s">
        <v>115</v>
      </c>
      <c r="D43" s="29" t="s">
        <v>77</v>
      </c>
      <c r="E43" s="29" t="s">
        <v>116</v>
      </c>
      <c r="F43" s="39" t="s">
        <v>117</v>
      </c>
      <c r="G43" s="29"/>
      <c r="H43" s="29" t="s">
        <v>118</v>
      </c>
      <c r="I43" s="35"/>
      <c r="J43" s="35" t="str">
        <f>IFERROR(WORKDAY(Table145[[#This Row],[50% IFR - 
AE]],-15), " ")</f>
        <v xml:space="preserve"> </v>
      </c>
      <c r="K43" s="36" t="s">
        <v>82</v>
      </c>
      <c r="L43" s="36" t="s">
        <v>295</v>
      </c>
      <c r="M43" s="36" t="s">
        <v>296</v>
      </c>
      <c r="N43" s="36" t="s">
        <v>297</v>
      </c>
      <c r="O43" s="36"/>
      <c r="P43" s="35">
        <v>45007</v>
      </c>
      <c r="Q43" s="35">
        <v>45061</v>
      </c>
      <c r="R43" s="35"/>
      <c r="S43" s="35"/>
      <c r="T43" s="35"/>
      <c r="U43" s="71"/>
      <c r="V43" s="71"/>
      <c r="W43" s="35"/>
      <c r="X43" s="71"/>
      <c r="Y43" s="47" t="s">
        <v>298</v>
      </c>
    </row>
    <row r="44" spans="1:25" ht="26.1" customHeight="1">
      <c r="A44" s="39" t="s">
        <v>299</v>
      </c>
      <c r="B44" s="47"/>
      <c r="C44" s="29"/>
      <c r="D44" s="29"/>
      <c r="E44" s="29"/>
      <c r="F44" s="39"/>
      <c r="G44" s="29"/>
      <c r="H44" s="29"/>
      <c r="I44" s="35" t="s">
        <v>131</v>
      </c>
      <c r="J44" s="35" t="str">
        <f>IFERROR(WORKDAY(Table145[[#This Row],[50% IFR - 
AE]],-15), " ")</f>
        <v xml:space="preserve"> </v>
      </c>
      <c r="K44" s="36"/>
      <c r="L44" s="36" t="s">
        <v>300</v>
      </c>
      <c r="M44" s="35" t="str">
        <f>IFERROR(WORKDAY(Table145[[#This Row],[100% IFR - AE]],-5), " ")</f>
        <v xml:space="preserve"> </v>
      </c>
      <c r="N44" s="36" t="s">
        <v>301</v>
      </c>
      <c r="O44" s="36"/>
      <c r="P44" s="35">
        <v>45345</v>
      </c>
      <c r="Q44" s="35"/>
      <c r="R44" s="35"/>
      <c r="S44" s="35"/>
      <c r="T44" s="35"/>
      <c r="U44" s="71"/>
      <c r="V44" s="71"/>
      <c r="W44" s="35"/>
      <c r="X44" s="72" t="s">
        <v>302</v>
      </c>
      <c r="Y44" s="47"/>
    </row>
    <row r="45" spans="1:25" ht="26.1" customHeight="1">
      <c r="A45" s="29" t="s">
        <v>303</v>
      </c>
      <c r="B45" s="47"/>
      <c r="C45" s="29"/>
      <c r="D45" s="29"/>
      <c r="E45" s="29"/>
      <c r="F45" s="39"/>
      <c r="G45" s="29"/>
      <c r="H45" s="29"/>
      <c r="I45" s="35"/>
      <c r="J45" s="35">
        <f>IFERROR(WORKDAY(Table145[[#This Row],[50% IFR - 
AE]],-15), " ")</f>
        <v>45376</v>
      </c>
      <c r="K45" s="36" t="s">
        <v>304</v>
      </c>
      <c r="L45" s="35">
        <v>45397</v>
      </c>
      <c r="M45" s="35">
        <v>45425</v>
      </c>
      <c r="N45" s="35">
        <v>45426</v>
      </c>
      <c r="O45" s="35"/>
      <c r="P45" s="35">
        <v>45453</v>
      </c>
      <c r="Q45" s="35"/>
      <c r="R45" s="35"/>
      <c r="S45" s="35"/>
      <c r="T45" s="35"/>
      <c r="U45" s="71"/>
      <c r="V45" s="71" t="s">
        <v>305</v>
      </c>
      <c r="W45" s="35"/>
      <c r="X45" s="71"/>
      <c r="Y45" s="47"/>
    </row>
    <row r="46" spans="1:25" ht="26.1" customHeight="1">
      <c r="A46" s="29" t="s">
        <v>306</v>
      </c>
      <c r="B46" s="47" t="s">
        <v>294</v>
      </c>
      <c r="C46" s="29" t="s">
        <v>76</v>
      </c>
      <c r="D46" s="29" t="s">
        <v>307</v>
      </c>
      <c r="E46" s="29" t="s">
        <v>98</v>
      </c>
      <c r="F46" s="39" t="s">
        <v>99</v>
      </c>
      <c r="G46" s="29"/>
      <c r="H46" s="29" t="s">
        <v>118</v>
      </c>
      <c r="I46" s="35"/>
      <c r="J46" s="35" t="str">
        <f>IFERROR(WORKDAY(Table145[[#This Row],[50% IFR - 
AE]],-15), " ")</f>
        <v xml:space="preserve"> </v>
      </c>
      <c r="K46" s="35"/>
      <c r="L46" s="35"/>
      <c r="M46" s="35"/>
      <c r="N46" s="35"/>
      <c r="O46" s="35"/>
      <c r="P46" s="35"/>
      <c r="Q46" s="35"/>
      <c r="R46" s="35"/>
      <c r="S46" s="35"/>
      <c r="T46" s="35"/>
      <c r="U46" s="71"/>
      <c r="V46" s="71"/>
      <c r="W46" s="35"/>
      <c r="X46" s="71" t="s">
        <v>308</v>
      </c>
      <c r="Y46" s="47"/>
    </row>
    <row r="47" spans="1:25" ht="26.1" customHeight="1">
      <c r="A47" s="29" t="s">
        <v>309</v>
      </c>
      <c r="B47" s="47" t="s">
        <v>294</v>
      </c>
      <c r="C47" s="29" t="s">
        <v>76</v>
      </c>
      <c r="D47" s="29" t="s">
        <v>77</v>
      </c>
      <c r="E47" s="29" t="s">
        <v>98</v>
      </c>
      <c r="F47" s="39" t="s">
        <v>99</v>
      </c>
      <c r="G47" s="70" t="s">
        <v>100</v>
      </c>
      <c r="H47" s="70" t="s">
        <v>160</v>
      </c>
      <c r="I47" s="35"/>
      <c r="J47" s="35" t="str">
        <f>IFERROR(WORKDAY(Table145[[#This Row],[50% IFR - 
AE]],-15), " ")</f>
        <v xml:space="preserve"> </v>
      </c>
      <c r="K47" s="35" t="s">
        <v>82</v>
      </c>
      <c r="L47" s="36" t="s">
        <v>310</v>
      </c>
      <c r="M47" s="35" t="s">
        <v>82</v>
      </c>
      <c r="N47" s="35" t="s">
        <v>185</v>
      </c>
      <c r="O47" s="35" t="s">
        <v>82</v>
      </c>
      <c r="P47" s="35">
        <v>45001</v>
      </c>
      <c r="Q47" s="36" t="s">
        <v>311</v>
      </c>
      <c r="R47" s="35"/>
      <c r="S47" s="35"/>
      <c r="T47" s="35"/>
      <c r="U47" s="71"/>
      <c r="V47" s="71"/>
      <c r="W47" s="35"/>
      <c r="X47" s="71" t="s">
        <v>312</v>
      </c>
      <c r="Y47" s="73" t="s">
        <v>313</v>
      </c>
    </row>
    <row r="48" spans="1:25" ht="26.1" customHeight="1">
      <c r="A48" s="39" t="s">
        <v>314</v>
      </c>
      <c r="B48" s="47" t="s">
        <v>315</v>
      </c>
      <c r="C48" s="29" t="s">
        <v>316</v>
      </c>
      <c r="D48" s="29" t="s">
        <v>77</v>
      </c>
      <c r="E48" s="29" t="s">
        <v>317</v>
      </c>
      <c r="F48" s="39" t="s">
        <v>318</v>
      </c>
      <c r="G48" s="29"/>
      <c r="H48" s="29" t="s">
        <v>80</v>
      </c>
      <c r="I48" s="35" t="s">
        <v>131</v>
      </c>
      <c r="J48" s="35" t="str">
        <f>IFERROR(WORKDAY(Table145[[#This Row],[50% IFR - 
AE]],-15), " ")</f>
        <v xml:space="preserve"> </v>
      </c>
      <c r="K48" s="35"/>
      <c r="L48" s="35"/>
      <c r="M48" s="35"/>
      <c r="N48" s="35"/>
      <c r="O48" s="35"/>
      <c r="P48" s="35"/>
      <c r="Q48" s="35"/>
      <c r="R48" s="35"/>
      <c r="S48" s="35"/>
      <c r="T48" s="35"/>
      <c r="U48" s="71"/>
      <c r="V48" s="71"/>
      <c r="W48" s="35"/>
      <c r="X48" s="71"/>
      <c r="Y48" s="47" t="s">
        <v>319</v>
      </c>
    </row>
    <row r="49" spans="1:25" ht="26.1" customHeight="1">
      <c r="A49" s="29" t="s">
        <v>320</v>
      </c>
      <c r="B49" s="47" t="s">
        <v>315</v>
      </c>
      <c r="C49" s="29" t="s">
        <v>316</v>
      </c>
      <c r="D49" s="29" t="s">
        <v>77</v>
      </c>
      <c r="E49" s="29" t="s">
        <v>317</v>
      </c>
      <c r="F49" s="39" t="s">
        <v>318</v>
      </c>
      <c r="G49" s="29"/>
      <c r="H49" s="29" t="s">
        <v>80</v>
      </c>
      <c r="I49" s="35"/>
      <c r="J49" s="35" t="str">
        <f>IFERROR(WORKDAY(Table145[[#This Row],[50% IFR - 
AE]],-15), " ")</f>
        <v xml:space="preserve"> </v>
      </c>
      <c r="K49" s="35"/>
      <c r="L49" s="35"/>
      <c r="M49" s="35"/>
      <c r="N49" s="35"/>
      <c r="O49" s="35"/>
      <c r="P49" s="35" t="s">
        <v>321</v>
      </c>
      <c r="Q49" s="35" t="s">
        <v>322</v>
      </c>
      <c r="R49" s="35"/>
      <c r="S49" s="35"/>
      <c r="T49" s="35"/>
      <c r="U49" s="71"/>
      <c r="V49" s="71"/>
      <c r="W49" s="35"/>
      <c r="X49" s="71"/>
      <c r="Y49" s="47"/>
    </row>
    <row r="50" spans="1:25" ht="26.1" customHeight="1">
      <c r="A50" s="29" t="s">
        <v>323</v>
      </c>
      <c r="B50" s="47"/>
      <c r="C50" s="29"/>
      <c r="D50" s="29"/>
      <c r="E50" s="29"/>
      <c r="F50" s="39"/>
      <c r="G50" s="29"/>
      <c r="H50" s="29"/>
      <c r="I50" s="35"/>
      <c r="J50" s="35" t="str">
        <f>IFERROR(WORKDAY(Table145[[#This Row],[50% IFR - 
AE]],-15), " ")</f>
        <v xml:space="preserve"> </v>
      </c>
      <c r="K50" s="35"/>
      <c r="L50" s="35" t="s">
        <v>324</v>
      </c>
      <c r="M50" s="35"/>
      <c r="N50" s="35">
        <v>45456</v>
      </c>
      <c r="O50" s="35"/>
      <c r="P50" s="35">
        <v>45476</v>
      </c>
      <c r="Q50" s="35"/>
      <c r="R50" s="35"/>
      <c r="S50" s="35"/>
      <c r="T50" s="35"/>
      <c r="U50" s="71"/>
      <c r="V50" s="71"/>
      <c r="W50" s="35"/>
      <c r="X50" s="71"/>
      <c r="Y50" s="47"/>
    </row>
    <row r="51" spans="1:25" ht="26.1" customHeight="1">
      <c r="A51" s="29" t="s">
        <v>325</v>
      </c>
      <c r="B51" s="47"/>
      <c r="C51" s="29"/>
      <c r="D51" s="29"/>
      <c r="E51" s="29"/>
      <c r="F51" s="39"/>
      <c r="G51" s="29"/>
      <c r="H51" s="29"/>
      <c r="I51" s="35"/>
      <c r="J51" s="35">
        <f>IFERROR(WORKDAY(Table145[[#This Row],[50% IFR - 
AE]],-15), " ")</f>
        <v>45414</v>
      </c>
      <c r="K51" s="35"/>
      <c r="L51" s="35">
        <v>45435</v>
      </c>
      <c r="M51" s="35"/>
      <c r="N51" s="35">
        <v>45484</v>
      </c>
      <c r="O51" s="35"/>
      <c r="P51" s="35"/>
      <c r="Q51" s="35"/>
      <c r="R51" s="35"/>
      <c r="S51" s="35"/>
      <c r="T51" s="35"/>
      <c r="U51" s="71"/>
      <c r="V51" s="71"/>
      <c r="W51" s="35"/>
      <c r="X51" s="71"/>
      <c r="Y51" s="47"/>
    </row>
    <row r="52" spans="1:25" ht="26.1" customHeight="1">
      <c r="A52" s="39" t="s">
        <v>326</v>
      </c>
      <c r="B52" s="47" t="s">
        <v>327</v>
      </c>
      <c r="C52" s="29"/>
      <c r="D52" s="29"/>
      <c r="E52" s="29"/>
      <c r="F52" s="39"/>
      <c r="G52" s="29"/>
      <c r="H52" s="29" t="s">
        <v>80</v>
      </c>
      <c r="I52" s="35" t="s">
        <v>131</v>
      </c>
      <c r="J52" s="35" t="str">
        <f>IFERROR(WORKDAY(Table145[[#This Row],[50% IFR - 
AE]],-15), " ")</f>
        <v xml:space="preserve"> </v>
      </c>
      <c r="K52" s="35"/>
      <c r="L52" s="35" t="s">
        <v>328</v>
      </c>
      <c r="M52" s="35" t="str">
        <f>IFERROR(WORKDAY(Table145[[#This Row],[100% IFR - AE]],-5), " ")</f>
        <v xml:space="preserve"> </v>
      </c>
      <c r="N52" s="35" t="s">
        <v>329</v>
      </c>
      <c r="O52" s="35"/>
      <c r="P52" s="35"/>
      <c r="Q52" s="35"/>
      <c r="R52" s="35"/>
      <c r="S52" s="35"/>
      <c r="T52" s="35"/>
      <c r="U52" s="71"/>
      <c r="V52" s="71"/>
      <c r="W52" s="35"/>
      <c r="X52" s="71"/>
      <c r="Y52" s="47"/>
    </row>
    <row r="53" spans="1:25" ht="26.1" customHeight="1">
      <c r="A53" s="39" t="s">
        <v>330</v>
      </c>
      <c r="B53" s="47"/>
      <c r="C53" s="29"/>
      <c r="D53" s="29"/>
      <c r="E53" s="29"/>
      <c r="F53" s="39"/>
      <c r="G53" s="29"/>
      <c r="H53" s="29"/>
      <c r="I53" s="35"/>
      <c r="J53" s="35" t="str">
        <f>IFERROR(WORKDAY(Table145[[#This Row],[50% IFR - 
AE]],-15), " ")</f>
        <v xml:space="preserve"> </v>
      </c>
      <c r="K53" s="35"/>
      <c r="L53" s="35"/>
      <c r="M53" s="35"/>
      <c r="N53" s="35"/>
      <c r="O53" s="35"/>
      <c r="P53" s="35"/>
      <c r="Q53" s="35"/>
      <c r="R53" s="35"/>
      <c r="S53" s="35"/>
      <c r="T53" s="35"/>
      <c r="U53" s="71"/>
      <c r="V53" s="71"/>
      <c r="W53" s="35"/>
      <c r="X53" s="71"/>
      <c r="Y53" s="47"/>
    </row>
    <row r="54" spans="1:25" ht="26.1" customHeight="1">
      <c r="A54" s="39" t="s">
        <v>331</v>
      </c>
      <c r="B54" s="47" t="s">
        <v>332</v>
      </c>
      <c r="C54" s="29"/>
      <c r="D54" s="29"/>
      <c r="E54" s="29"/>
      <c r="F54" s="39"/>
      <c r="G54" s="29"/>
      <c r="H54" s="29"/>
      <c r="I54" s="35" t="s">
        <v>131</v>
      </c>
      <c r="J54" s="35" t="str">
        <f>IFERROR(WORKDAY(Table145[[#This Row],[50% IFR - 
AE]],-15), " ")</f>
        <v xml:space="preserve"> </v>
      </c>
      <c r="K54" s="35"/>
      <c r="L54" s="35"/>
      <c r="M54" s="35"/>
      <c r="N54" s="35"/>
      <c r="O54" s="35"/>
      <c r="P54" s="35"/>
      <c r="Q54" s="35"/>
      <c r="R54" s="35"/>
      <c r="S54" s="35"/>
      <c r="T54" s="35"/>
      <c r="U54" s="71"/>
      <c r="V54" s="71"/>
      <c r="W54" s="35"/>
      <c r="X54" s="71"/>
      <c r="Y54" s="47"/>
    </row>
    <row r="55" spans="1:25" ht="26.1" customHeight="1">
      <c r="A55" s="39" t="s">
        <v>333</v>
      </c>
      <c r="B55" s="47" t="s">
        <v>332</v>
      </c>
      <c r="C55" s="29"/>
      <c r="D55" s="29"/>
      <c r="E55" s="29"/>
      <c r="F55" s="39"/>
      <c r="G55" s="29"/>
      <c r="H55" s="29"/>
      <c r="I55" s="35" t="s">
        <v>131</v>
      </c>
      <c r="J55" s="35" t="str">
        <f>IFERROR(WORKDAY(Table145[[#This Row],[50% IFR - 
AE]],-15), " ")</f>
        <v xml:space="preserve"> </v>
      </c>
      <c r="K55" s="35"/>
      <c r="L55" s="35"/>
      <c r="M55" s="35"/>
      <c r="N55" s="35"/>
      <c r="O55" s="35"/>
      <c r="P55" s="35"/>
      <c r="Q55" s="35"/>
      <c r="R55" s="35"/>
      <c r="S55" s="35"/>
      <c r="T55" s="35"/>
      <c r="U55" s="71"/>
      <c r="V55" s="71"/>
      <c r="W55" s="35"/>
      <c r="X55" s="71"/>
      <c r="Y55" s="47"/>
    </row>
    <row r="56" spans="1:25" ht="26.1" customHeight="1">
      <c r="A56" s="39" t="s">
        <v>334</v>
      </c>
      <c r="B56" s="47" t="s">
        <v>332</v>
      </c>
      <c r="C56" s="29"/>
      <c r="D56" s="29"/>
      <c r="E56" s="29"/>
      <c r="F56" s="39"/>
      <c r="G56" s="29"/>
      <c r="H56" s="29"/>
      <c r="I56" s="35" t="s">
        <v>131</v>
      </c>
      <c r="J56" s="35">
        <f>IFERROR(WORKDAY(Table145[[#This Row],[50% IFR - 
AE]],-15), " ")</f>
        <v>45440</v>
      </c>
      <c r="K56" s="35" t="s">
        <v>335</v>
      </c>
      <c r="L56" s="35">
        <v>45461</v>
      </c>
      <c r="M56" s="35"/>
      <c r="N56" s="35"/>
      <c r="O56" s="35"/>
      <c r="P56" s="35"/>
      <c r="Q56" s="35"/>
      <c r="R56" s="35"/>
      <c r="S56" s="35"/>
      <c r="T56" s="35"/>
      <c r="U56" s="71"/>
      <c r="V56" s="71"/>
      <c r="W56" s="35"/>
      <c r="X56" s="71"/>
      <c r="Y56" s="47"/>
    </row>
    <row r="57" spans="1:25" ht="26.1" customHeight="1">
      <c r="A57" s="29" t="s">
        <v>336</v>
      </c>
      <c r="B57" s="47"/>
      <c r="C57" s="29"/>
      <c r="D57" s="29"/>
      <c r="E57" s="29"/>
      <c r="F57" s="39"/>
      <c r="G57" s="29"/>
      <c r="H57" s="29"/>
      <c r="I57" s="35"/>
      <c r="J57" s="35" t="str">
        <f>IFERROR(WORKDAY(Table145[[#This Row],[50% IFR - 
AE]],-15), " ")</f>
        <v xml:space="preserve"> </v>
      </c>
      <c r="K57" s="35" t="s">
        <v>337</v>
      </c>
      <c r="L57" s="35"/>
      <c r="M57" s="35"/>
      <c r="N57" s="35" t="s">
        <v>338</v>
      </c>
      <c r="O57" s="35"/>
      <c r="P57" s="35"/>
      <c r="Q57" s="35"/>
      <c r="R57" s="35"/>
      <c r="S57" s="35"/>
      <c r="T57" s="35"/>
      <c r="U57" s="71"/>
      <c r="V57" s="71"/>
      <c r="W57" s="35"/>
      <c r="X57" s="71"/>
      <c r="Y57" s="47"/>
    </row>
    <row r="58" spans="1:25" ht="26.1" customHeight="1">
      <c r="A58" s="39" t="s">
        <v>339</v>
      </c>
      <c r="B58" s="47" t="s">
        <v>332</v>
      </c>
      <c r="C58" s="29" t="s">
        <v>181</v>
      </c>
      <c r="D58" s="29" t="s">
        <v>77</v>
      </c>
      <c r="E58" s="29" t="s">
        <v>340</v>
      </c>
      <c r="F58" s="39" t="s">
        <v>341</v>
      </c>
      <c r="G58" s="29"/>
      <c r="H58" s="29" t="s">
        <v>118</v>
      </c>
      <c r="I58" s="35" t="s">
        <v>131</v>
      </c>
      <c r="J58" s="35" t="str">
        <f>IFERROR(WORKDAY(Table145[[#This Row],[50% IFR - 
AE]],-15), " ")</f>
        <v xml:space="preserve"> </v>
      </c>
      <c r="K58" s="35"/>
      <c r="L58" s="35"/>
      <c r="M58" s="35"/>
      <c r="N58" s="35"/>
      <c r="O58" s="35"/>
      <c r="P58" s="35"/>
      <c r="Q58" s="35"/>
      <c r="R58" s="35"/>
      <c r="S58" s="35"/>
      <c r="T58" s="35"/>
      <c r="U58" s="71"/>
      <c r="V58" s="71"/>
      <c r="W58" s="35"/>
      <c r="X58" s="71" t="s">
        <v>342</v>
      </c>
      <c r="Y58" s="47"/>
    </row>
    <row r="59" spans="1:25" ht="26.1" customHeight="1">
      <c r="A59" s="29" t="s">
        <v>343</v>
      </c>
      <c r="B59" s="47" t="s">
        <v>332</v>
      </c>
      <c r="C59" s="29" t="s">
        <v>181</v>
      </c>
      <c r="D59" s="29" t="s">
        <v>77</v>
      </c>
      <c r="E59" s="29" t="s">
        <v>340</v>
      </c>
      <c r="F59" s="39" t="s">
        <v>341</v>
      </c>
      <c r="G59" s="29"/>
      <c r="H59" s="29" t="s">
        <v>80</v>
      </c>
      <c r="I59" s="35"/>
      <c r="J59" s="35">
        <f>IFERROR(WORKDAY(Table145[[#This Row],[50% IFR - 
AE]],-15), " ")</f>
        <v>44985</v>
      </c>
      <c r="K59" s="35" t="s">
        <v>82</v>
      </c>
      <c r="L59" s="35">
        <v>45006</v>
      </c>
      <c r="M59" s="35"/>
      <c r="N59" s="35"/>
      <c r="O59" s="35"/>
      <c r="P59" s="35">
        <v>45089</v>
      </c>
      <c r="Q59" s="35"/>
      <c r="R59" s="35"/>
      <c r="S59" s="35"/>
      <c r="T59" s="35"/>
      <c r="U59" s="71"/>
      <c r="V59" s="71"/>
      <c r="W59" s="35"/>
      <c r="X59" s="71" t="s">
        <v>344</v>
      </c>
      <c r="Y59" s="47" t="s">
        <v>345</v>
      </c>
    </row>
    <row r="60" spans="1:25" ht="26.1" customHeight="1">
      <c r="A60" s="29" t="s">
        <v>346</v>
      </c>
      <c r="B60" s="47" t="s">
        <v>332</v>
      </c>
      <c r="C60" s="29"/>
      <c r="D60" s="29"/>
      <c r="E60" s="29"/>
      <c r="F60" s="39"/>
      <c r="G60" s="29"/>
      <c r="H60" s="29"/>
      <c r="I60" s="35"/>
      <c r="J60" s="35">
        <f>IFERROR(WORKDAY(Table145[[#This Row],[50% IFR - 
AE]],-15), " ")</f>
        <v>45141</v>
      </c>
      <c r="K60" s="35" t="s">
        <v>347</v>
      </c>
      <c r="L60" s="35">
        <v>45162</v>
      </c>
      <c r="M60" s="35" t="s">
        <v>83</v>
      </c>
      <c r="N60" s="35">
        <v>45190</v>
      </c>
      <c r="O60" s="35" t="s">
        <v>83</v>
      </c>
      <c r="P60" s="35" t="s">
        <v>348</v>
      </c>
      <c r="Q60" s="35"/>
      <c r="R60" s="35"/>
      <c r="S60" s="35"/>
      <c r="T60" s="35"/>
      <c r="U60" s="71"/>
      <c r="V60" s="71"/>
      <c r="W60" s="35"/>
      <c r="X60" s="71"/>
      <c r="Y60" s="47"/>
    </row>
    <row r="61" spans="1:25" ht="26.1" customHeight="1">
      <c r="A61" s="39" t="s">
        <v>349</v>
      </c>
      <c r="B61" s="47" t="s">
        <v>332</v>
      </c>
      <c r="C61" s="29"/>
      <c r="D61" s="29"/>
      <c r="E61" s="29"/>
      <c r="F61" s="39"/>
      <c r="G61" s="29"/>
      <c r="H61" s="29" t="s">
        <v>80</v>
      </c>
      <c r="I61" s="35" t="s">
        <v>131</v>
      </c>
      <c r="J61" s="35" t="str">
        <f>IFERROR(WORKDAY(Table145[[#This Row],[50% IFR - 
AE]],-15), " ")</f>
        <v xml:space="preserve"> </v>
      </c>
      <c r="K61" s="35" t="s">
        <v>350</v>
      </c>
      <c r="L61" s="35" t="s">
        <v>337</v>
      </c>
      <c r="M61" s="35" t="s">
        <v>351</v>
      </c>
      <c r="N61" s="35">
        <v>45268</v>
      </c>
      <c r="O61" s="35" t="s">
        <v>83</v>
      </c>
      <c r="P61" s="35">
        <v>45301</v>
      </c>
      <c r="Q61" s="35"/>
      <c r="R61" s="35"/>
      <c r="S61" s="35"/>
      <c r="T61" s="35"/>
      <c r="U61" s="71"/>
      <c r="V61" s="71"/>
      <c r="W61" s="35"/>
      <c r="X61" s="71"/>
      <c r="Y61" s="47"/>
    </row>
    <row r="62" spans="1:25" ht="26.1" customHeight="1">
      <c r="A62" s="29" t="s">
        <v>352</v>
      </c>
      <c r="B62" s="47" t="s">
        <v>332</v>
      </c>
      <c r="C62" s="29" t="s">
        <v>181</v>
      </c>
      <c r="D62" s="29" t="s">
        <v>77</v>
      </c>
      <c r="E62" s="29" t="s">
        <v>340</v>
      </c>
      <c r="F62" s="39" t="s">
        <v>341</v>
      </c>
      <c r="G62" s="29"/>
      <c r="H62" s="29" t="s">
        <v>118</v>
      </c>
      <c r="I62" s="35"/>
      <c r="J62" s="35" t="str">
        <f>IFERROR(WORKDAY(Table145[[#This Row],[50% IFR - 
AE]],-15), " ")</f>
        <v xml:space="preserve"> </v>
      </c>
      <c r="K62" s="36" t="s">
        <v>82</v>
      </c>
      <c r="L62" s="36" t="s">
        <v>353</v>
      </c>
      <c r="M62" s="36" t="s">
        <v>82</v>
      </c>
      <c r="N62" s="36" t="s">
        <v>354</v>
      </c>
      <c r="O62" s="36" t="s">
        <v>355</v>
      </c>
      <c r="P62" s="36" t="s">
        <v>356</v>
      </c>
      <c r="Q62" s="35" t="s">
        <v>132</v>
      </c>
      <c r="R62" s="35"/>
      <c r="S62" s="35"/>
      <c r="T62" s="35"/>
      <c r="U62" s="71"/>
      <c r="V62" s="71" t="s">
        <v>83</v>
      </c>
      <c r="W62" s="35"/>
      <c r="X62" s="71" t="s">
        <v>357</v>
      </c>
      <c r="Y62" s="47" t="s">
        <v>358</v>
      </c>
    </row>
    <row r="63" spans="1:25" ht="26.1" customHeight="1">
      <c r="A63" s="29" t="s">
        <v>359</v>
      </c>
      <c r="B63" s="47" t="s">
        <v>332</v>
      </c>
      <c r="C63" s="29"/>
      <c r="D63" s="29" t="s">
        <v>77</v>
      </c>
      <c r="E63" s="29"/>
      <c r="F63" s="39"/>
      <c r="G63" s="29" t="s">
        <v>100</v>
      </c>
      <c r="H63" s="29" t="s">
        <v>80</v>
      </c>
      <c r="I63" s="35"/>
      <c r="J63" s="35">
        <f>IFERROR(WORKDAY(Table145[[#This Row],[50% IFR - 
AE]],-15), " ")</f>
        <v>45022</v>
      </c>
      <c r="K63" s="36"/>
      <c r="L63" s="36">
        <v>45043</v>
      </c>
      <c r="M63" s="36">
        <v>45079</v>
      </c>
      <c r="N63" s="36">
        <v>45083</v>
      </c>
      <c r="O63" s="36"/>
      <c r="P63" s="36">
        <v>45106</v>
      </c>
      <c r="Q63" s="35"/>
      <c r="R63" s="35"/>
      <c r="S63" s="35"/>
      <c r="T63" s="35"/>
      <c r="U63" s="71"/>
      <c r="V63" s="71"/>
      <c r="W63" s="35"/>
      <c r="X63" s="71" t="s">
        <v>360</v>
      </c>
      <c r="Y63" s="47" t="s">
        <v>361</v>
      </c>
    </row>
    <row r="64" spans="1:25" ht="26.1" customHeight="1">
      <c r="A64" s="29" t="s">
        <v>362</v>
      </c>
      <c r="B64" s="47" t="s">
        <v>332</v>
      </c>
      <c r="C64" s="29"/>
      <c r="D64" s="29"/>
      <c r="E64" s="29"/>
      <c r="F64" s="39"/>
      <c r="G64" s="29"/>
      <c r="H64" s="29"/>
      <c r="I64" s="35"/>
      <c r="J64" s="35" t="str">
        <f>IFERROR(WORKDAY(Table145[[#This Row],[50% IFR - 
AE]],-15), " ")</f>
        <v xml:space="preserve"> </v>
      </c>
      <c r="K64" s="36"/>
      <c r="L64" s="36"/>
      <c r="M64" s="36"/>
      <c r="N64" s="36"/>
      <c r="O64" s="36"/>
      <c r="P64" s="36"/>
      <c r="Q64" s="35"/>
      <c r="R64" s="35"/>
      <c r="S64" s="35"/>
      <c r="T64" s="35"/>
      <c r="U64" s="71"/>
      <c r="V64" s="71"/>
      <c r="W64" s="35"/>
      <c r="X64" s="71"/>
      <c r="Y64" s="47"/>
    </row>
    <row r="65" spans="1:25" ht="26.1" customHeight="1">
      <c r="A65" s="29" t="s">
        <v>363</v>
      </c>
      <c r="B65" s="47"/>
      <c r="C65" s="29"/>
      <c r="D65" s="29"/>
      <c r="E65" s="29"/>
      <c r="F65" s="39"/>
      <c r="G65" s="29"/>
      <c r="H65" s="29"/>
      <c r="I65" s="35"/>
      <c r="J65" s="35" t="str">
        <f>IFERROR(WORKDAY(Table145[[#This Row],[50% IFR - 
AE]],-15), " ")</f>
        <v xml:space="preserve"> </v>
      </c>
      <c r="K65" s="36"/>
      <c r="L65" s="36"/>
      <c r="M65" s="36"/>
      <c r="N65" s="36"/>
      <c r="O65" s="36"/>
      <c r="P65" s="36"/>
      <c r="Q65" s="35">
        <v>45428</v>
      </c>
      <c r="R65" s="35"/>
      <c r="S65" s="35"/>
      <c r="T65" s="35"/>
      <c r="U65" s="71"/>
      <c r="V65" s="71"/>
      <c r="W65" s="35"/>
      <c r="X65" s="71"/>
      <c r="Y65" s="47"/>
    </row>
    <row r="66" spans="1:25" ht="26.1" customHeight="1">
      <c r="A66" s="39" t="s">
        <v>364</v>
      </c>
      <c r="B66" s="47" t="s">
        <v>365</v>
      </c>
      <c r="C66" s="29" t="s">
        <v>366</v>
      </c>
      <c r="D66" s="29" t="s">
        <v>77</v>
      </c>
      <c r="E66" s="29" t="s">
        <v>367</v>
      </c>
      <c r="F66" s="39" t="s">
        <v>368</v>
      </c>
      <c r="G66" s="29"/>
      <c r="H66" s="29" t="s">
        <v>80</v>
      </c>
      <c r="I66" s="35" t="s">
        <v>131</v>
      </c>
      <c r="J66" s="35" t="str">
        <f>IFERROR(WORKDAY(Table145[[#This Row],[50% IFR - 
AE]],-15), " ")</f>
        <v xml:space="preserve"> </v>
      </c>
      <c r="K66" s="36" t="s">
        <v>82</v>
      </c>
      <c r="L66" s="36" t="s">
        <v>82</v>
      </c>
      <c r="M66" s="36" t="s">
        <v>82</v>
      </c>
      <c r="N66" s="36" t="s">
        <v>369</v>
      </c>
      <c r="O66" s="36" t="s">
        <v>370</v>
      </c>
      <c r="P66" s="36">
        <v>45428</v>
      </c>
      <c r="Q66" s="35">
        <v>45019</v>
      </c>
      <c r="R66" s="35"/>
      <c r="S66" s="35"/>
      <c r="T66" s="35"/>
      <c r="U66" s="71"/>
      <c r="V66" s="71"/>
      <c r="W66" s="35"/>
      <c r="X66" s="71" t="s">
        <v>371</v>
      </c>
      <c r="Y66" s="47"/>
    </row>
    <row r="67" spans="1:25" ht="29.1" customHeight="1">
      <c r="A67" s="39" t="s">
        <v>372</v>
      </c>
      <c r="B67" s="47"/>
      <c r="C67" s="29"/>
      <c r="D67" s="29"/>
      <c r="E67" s="29"/>
      <c r="F67" s="39"/>
      <c r="G67" s="29"/>
      <c r="H67" s="29"/>
      <c r="I67" s="29" t="s">
        <v>131</v>
      </c>
      <c r="J67" s="35" t="str">
        <f>IFERROR(WORKDAY(Table145[[#This Row],[50% IFR - 
AE]],-15), " ")</f>
        <v xml:space="preserve"> </v>
      </c>
      <c r="K67" s="36"/>
      <c r="L67" s="36" t="s">
        <v>373</v>
      </c>
      <c r="M67" s="35" t="str">
        <f>IFERROR(WORKDAY(Table145[[#This Row],[100% IFR - AE]],-5), " ")</f>
        <v xml:space="preserve"> </v>
      </c>
      <c r="N67" s="36" t="s">
        <v>266</v>
      </c>
      <c r="O67" s="36"/>
      <c r="P67" s="36">
        <v>45449</v>
      </c>
      <c r="Q67" s="35"/>
      <c r="R67" s="35"/>
      <c r="S67" s="35"/>
      <c r="T67" s="35"/>
      <c r="U67" s="71"/>
      <c r="V67" s="71"/>
      <c r="W67" s="35"/>
      <c r="X67" s="71"/>
      <c r="Y67" s="47"/>
    </row>
    <row r="68" spans="1:25" ht="29.1" customHeight="1">
      <c r="A68" s="39" t="s">
        <v>374</v>
      </c>
      <c r="B68" s="47"/>
      <c r="C68" s="29"/>
      <c r="D68" s="29"/>
      <c r="E68" s="29"/>
      <c r="F68" s="39"/>
      <c r="G68" s="29"/>
      <c r="H68" s="29"/>
      <c r="I68" s="29" t="s">
        <v>131</v>
      </c>
      <c r="J68" s="35" t="str">
        <f>IFERROR(WORKDAY(Table145[[#This Row],[50% IFR - 
AE]],-15), " ")</f>
        <v xml:space="preserve"> </v>
      </c>
      <c r="K68" s="36" t="s">
        <v>375</v>
      </c>
      <c r="L68" s="36" t="s">
        <v>376</v>
      </c>
      <c r="M68" s="36"/>
      <c r="N68" s="36" t="s">
        <v>377</v>
      </c>
      <c r="O68" s="36"/>
      <c r="P68" s="35" t="s">
        <v>378</v>
      </c>
      <c r="Q68" s="35"/>
      <c r="R68" s="35"/>
      <c r="S68" s="35"/>
      <c r="T68" s="35"/>
      <c r="U68" s="71"/>
      <c r="V68" s="71"/>
      <c r="W68" s="35"/>
      <c r="X68" s="71"/>
      <c r="Y68" s="47"/>
    </row>
    <row r="69" spans="1:25" ht="26.1" customHeight="1">
      <c r="A69" s="29" t="s">
        <v>379</v>
      </c>
      <c r="B69" s="47" t="s">
        <v>365</v>
      </c>
      <c r="C69" s="29" t="s">
        <v>366</v>
      </c>
      <c r="D69" s="29" t="s">
        <v>77</v>
      </c>
      <c r="E69" s="29" t="s">
        <v>367</v>
      </c>
      <c r="F69" s="39" t="s">
        <v>368</v>
      </c>
      <c r="G69" s="29"/>
      <c r="H69" s="29" t="s">
        <v>80</v>
      </c>
      <c r="I69" s="29"/>
      <c r="J69" s="35" t="str">
        <f>IFERROR(WORKDAY(Table145[[#This Row],[50% IFR - 
AE]],-15), " ")</f>
        <v xml:space="preserve"> </v>
      </c>
      <c r="K69" s="36" t="s">
        <v>82</v>
      </c>
      <c r="L69" s="36" t="s">
        <v>380</v>
      </c>
      <c r="M69" s="36" t="s">
        <v>82</v>
      </c>
      <c r="N69" s="36" t="s">
        <v>381</v>
      </c>
      <c r="O69" s="36" t="s">
        <v>382</v>
      </c>
      <c r="P69" s="36">
        <v>44960</v>
      </c>
      <c r="Q69" s="35" t="s">
        <v>383</v>
      </c>
      <c r="R69" s="35"/>
      <c r="S69" s="35"/>
      <c r="T69" s="35"/>
      <c r="U69" s="71"/>
      <c r="V69" s="71"/>
      <c r="W69" s="35"/>
      <c r="X69" s="71" t="s">
        <v>384</v>
      </c>
      <c r="Y69" s="47"/>
    </row>
    <row r="70" spans="1:25" ht="29.1" customHeight="1">
      <c r="A70" s="29" t="s">
        <v>385</v>
      </c>
      <c r="B70" s="47" t="s">
        <v>365</v>
      </c>
      <c r="C70" s="29" t="s">
        <v>366</v>
      </c>
      <c r="D70" s="29" t="s">
        <v>77</v>
      </c>
      <c r="E70" s="29" t="s">
        <v>386</v>
      </c>
      <c r="F70" s="39" t="s">
        <v>387</v>
      </c>
      <c r="G70" s="29"/>
      <c r="H70" s="29" t="s">
        <v>80</v>
      </c>
      <c r="I70" s="29"/>
      <c r="J70" s="35" t="str">
        <f>IFERROR(WORKDAY(Table145[[#This Row],[50% IFR - 
AE]],-15), " ")</f>
        <v xml:space="preserve"> </v>
      </c>
      <c r="K70" s="36" t="s">
        <v>82</v>
      </c>
      <c r="L70" s="36" t="s">
        <v>82</v>
      </c>
      <c r="M70" s="36" t="s">
        <v>82</v>
      </c>
      <c r="N70" s="36" t="s">
        <v>388</v>
      </c>
      <c r="O70" s="36"/>
      <c r="P70" s="36"/>
      <c r="Q70" s="35"/>
      <c r="R70" s="35"/>
      <c r="S70" s="35"/>
      <c r="T70" s="35"/>
      <c r="U70" s="71"/>
      <c r="V70" s="71"/>
      <c r="W70" s="35"/>
      <c r="X70" s="71" t="s">
        <v>389</v>
      </c>
      <c r="Y70" s="47"/>
    </row>
    <row r="71" spans="1:25" ht="29.1" customHeight="1">
      <c r="A71" s="39" t="s">
        <v>390</v>
      </c>
      <c r="B71" s="47"/>
      <c r="C71" s="29"/>
      <c r="D71" s="29"/>
      <c r="E71" s="29"/>
      <c r="F71" s="39"/>
      <c r="G71" s="29"/>
      <c r="H71" s="29"/>
      <c r="I71" s="29" t="s">
        <v>131</v>
      </c>
      <c r="J71" s="35" t="str">
        <f>IFERROR(WORKDAY(Table145[[#This Row],[50% IFR - 
AE]],-15), " ")</f>
        <v xml:space="preserve"> </v>
      </c>
      <c r="K71" s="36" t="s">
        <v>391</v>
      </c>
      <c r="L71" s="36" t="s">
        <v>392</v>
      </c>
      <c r="M71" s="36"/>
      <c r="N71" s="36" t="s">
        <v>393</v>
      </c>
      <c r="O71" s="36"/>
      <c r="P71" s="36" t="s">
        <v>394</v>
      </c>
      <c r="Q71" s="35">
        <v>44980</v>
      </c>
      <c r="R71" s="35"/>
      <c r="S71" s="35"/>
      <c r="T71" s="35"/>
      <c r="U71" s="71"/>
      <c r="V71" s="71"/>
      <c r="W71" s="35"/>
      <c r="X71" s="71"/>
      <c r="Y71" s="47"/>
    </row>
    <row r="72" spans="1:25" ht="29.1" customHeight="1">
      <c r="A72" s="39" t="s">
        <v>395</v>
      </c>
      <c r="B72" s="47"/>
      <c r="C72" s="29"/>
      <c r="D72" s="29"/>
      <c r="E72" s="29"/>
      <c r="F72" s="39"/>
      <c r="G72" s="29"/>
      <c r="H72" s="29"/>
      <c r="I72" s="29" t="s">
        <v>131</v>
      </c>
      <c r="J72" s="35" t="str">
        <f>IFERROR(WORKDAY(Table145[[#This Row],[50% IFR - 
AE]],-15), " ")</f>
        <v xml:space="preserve"> </v>
      </c>
      <c r="K72" s="36"/>
      <c r="L72" s="36"/>
      <c r="M72" s="36"/>
      <c r="N72" s="36"/>
      <c r="O72" s="36"/>
      <c r="P72" s="36" t="s">
        <v>378</v>
      </c>
      <c r="Q72" s="35"/>
      <c r="R72" s="35"/>
      <c r="S72" s="35"/>
      <c r="T72" s="35"/>
      <c r="U72" s="71"/>
      <c r="V72" s="71"/>
      <c r="W72" s="35"/>
      <c r="X72" s="71"/>
      <c r="Y72" s="47"/>
    </row>
    <row r="73" spans="1:25" ht="27" customHeight="1">
      <c r="A73" s="39" t="s">
        <v>396</v>
      </c>
      <c r="B73" s="47" t="s">
        <v>365</v>
      </c>
      <c r="C73" s="29"/>
      <c r="D73" s="29"/>
      <c r="E73" s="29"/>
      <c r="F73" s="39"/>
      <c r="G73" s="29"/>
      <c r="H73" s="29" t="s">
        <v>80</v>
      </c>
      <c r="I73" s="29" t="s">
        <v>131</v>
      </c>
      <c r="J73" s="35" t="str">
        <f>IFERROR(WORKDAY(Table145[[#This Row],[50% IFR - 
AE]],-15), " ")</f>
        <v xml:space="preserve"> </v>
      </c>
      <c r="K73" s="36" t="s">
        <v>397</v>
      </c>
      <c r="L73" s="36" t="s">
        <v>398</v>
      </c>
      <c r="M73" s="36" t="s">
        <v>399</v>
      </c>
      <c r="N73" s="36" t="s">
        <v>400</v>
      </c>
      <c r="O73" s="36"/>
      <c r="P73" s="36" t="s">
        <v>378</v>
      </c>
      <c r="Q73" s="35"/>
      <c r="R73" s="35"/>
      <c r="S73" s="35"/>
      <c r="T73" s="35"/>
      <c r="U73" s="71"/>
      <c r="V73" s="71"/>
      <c r="W73" s="35"/>
      <c r="X73" s="71"/>
      <c r="Y73" s="47"/>
    </row>
    <row r="74" spans="1:25" ht="42.6" customHeight="1">
      <c r="A74" s="29" t="s">
        <v>401</v>
      </c>
      <c r="B74" s="47" t="s">
        <v>402</v>
      </c>
      <c r="C74" s="29" t="s">
        <v>181</v>
      </c>
      <c r="D74" s="29" t="s">
        <v>77</v>
      </c>
      <c r="E74" s="29" t="s">
        <v>182</v>
      </c>
      <c r="F74" s="39" t="s">
        <v>183</v>
      </c>
      <c r="G74" s="29"/>
      <c r="H74" s="29" t="s">
        <v>80</v>
      </c>
      <c r="I74" s="35"/>
      <c r="J74" s="35" t="str">
        <f>IFERROR(WORKDAY(Table145[[#This Row],[50% IFR - 
AE]],-15), " ")</f>
        <v xml:space="preserve"> </v>
      </c>
      <c r="K74" s="36" t="s">
        <v>82</v>
      </c>
      <c r="L74" s="36" t="s">
        <v>82</v>
      </c>
      <c r="M74" s="36" t="s">
        <v>260</v>
      </c>
      <c r="N74" s="36" t="s">
        <v>403</v>
      </c>
      <c r="O74" s="52" t="s">
        <v>350</v>
      </c>
      <c r="P74" s="35">
        <v>45458</v>
      </c>
      <c r="Q74" s="35"/>
      <c r="R74" s="35"/>
      <c r="S74" s="35"/>
      <c r="T74" s="35"/>
      <c r="U74" s="71"/>
      <c r="V74" s="71"/>
      <c r="W74" s="35"/>
      <c r="X74" s="71"/>
      <c r="Y74" s="47" t="s">
        <v>404</v>
      </c>
    </row>
    <row r="75" spans="1:25" ht="22.5" customHeight="1">
      <c r="A75" s="29" t="s">
        <v>405</v>
      </c>
      <c r="B75" s="47" t="s">
        <v>402</v>
      </c>
      <c r="C75" s="29" t="s">
        <v>181</v>
      </c>
      <c r="D75" s="29" t="s">
        <v>214</v>
      </c>
      <c r="E75" s="29" t="s">
        <v>182</v>
      </c>
      <c r="F75" s="39" t="s">
        <v>183</v>
      </c>
      <c r="G75" s="29"/>
      <c r="H75" s="29" t="s">
        <v>160</v>
      </c>
      <c r="I75" s="35"/>
      <c r="J75" s="35">
        <f>IFERROR(WORKDAY(Table145[[#This Row],[50% IFR - 
AE]],-15), " ")</f>
        <v>45470</v>
      </c>
      <c r="K75" s="36"/>
      <c r="L75" s="36">
        <v>45491</v>
      </c>
      <c r="M75" s="36"/>
      <c r="N75" s="36">
        <v>45547</v>
      </c>
      <c r="O75" s="36"/>
      <c r="P75" s="36"/>
      <c r="Q75" s="35"/>
      <c r="R75" s="35"/>
      <c r="S75" s="35"/>
      <c r="T75" s="35"/>
      <c r="U75" s="71"/>
      <c r="V75" s="71"/>
      <c r="W75" s="35"/>
      <c r="X75" s="71"/>
      <c r="Y75" s="47"/>
    </row>
    <row r="76" spans="1:25" ht="27.6" customHeight="1">
      <c r="A76" s="29" t="s">
        <v>406</v>
      </c>
      <c r="B76" s="47" t="s">
        <v>407</v>
      </c>
      <c r="C76" s="29"/>
      <c r="D76" s="29"/>
      <c r="E76" s="29"/>
      <c r="F76" s="39"/>
      <c r="G76" s="29" t="s">
        <v>100</v>
      </c>
      <c r="H76" s="29" t="s">
        <v>80</v>
      </c>
      <c r="I76" s="35" t="s">
        <v>131</v>
      </c>
      <c r="J76" s="35" t="str">
        <f>IFERROR(WORKDAY(Table145[[#This Row],[50% IFR - 
AE]],-15), " ")</f>
        <v xml:space="preserve"> </v>
      </c>
      <c r="K76" s="36"/>
      <c r="L76" s="36"/>
      <c r="M76" s="36"/>
      <c r="N76" s="36" t="s">
        <v>408</v>
      </c>
      <c r="O76" s="36" t="s">
        <v>409</v>
      </c>
      <c r="P76" s="36" t="s">
        <v>410</v>
      </c>
      <c r="Q76" s="35" t="s">
        <v>411</v>
      </c>
      <c r="R76" s="35"/>
      <c r="S76" s="35"/>
      <c r="T76" s="35"/>
      <c r="U76" s="71"/>
      <c r="V76" s="71"/>
      <c r="W76" s="35"/>
      <c r="X76" s="71"/>
      <c r="Y76" s="47"/>
    </row>
    <row r="77" spans="1:25" ht="27" customHeight="1">
      <c r="A77" s="39" t="s">
        <v>412</v>
      </c>
      <c r="B77" s="47" t="s">
        <v>407</v>
      </c>
      <c r="C77" s="29"/>
      <c r="D77" s="29"/>
      <c r="E77" s="29"/>
      <c r="F77" s="39"/>
      <c r="G77" s="29" t="s">
        <v>100</v>
      </c>
      <c r="H77" s="29" t="s">
        <v>80</v>
      </c>
      <c r="I77" s="35" t="s">
        <v>131</v>
      </c>
      <c r="J77" s="35" t="str">
        <f>IFERROR(WORKDAY(Table145[[#This Row],[50% IFR - 
AE]],-15), " ")</f>
        <v xml:space="preserve"> </v>
      </c>
      <c r="K77" s="36" t="s">
        <v>413</v>
      </c>
      <c r="L77" s="36" t="s">
        <v>413</v>
      </c>
      <c r="M77" s="36" t="s">
        <v>414</v>
      </c>
      <c r="N77" s="36" t="s">
        <v>112</v>
      </c>
      <c r="O77" s="36" t="s">
        <v>415</v>
      </c>
      <c r="P77" s="36" t="s">
        <v>239</v>
      </c>
      <c r="Q77" s="36" t="s">
        <v>416</v>
      </c>
      <c r="R77" s="35"/>
      <c r="S77" s="35"/>
      <c r="T77" s="35"/>
      <c r="U77" s="71"/>
      <c r="V77" s="71"/>
      <c r="W77" s="35"/>
      <c r="X77" s="71"/>
      <c r="Y77" s="47"/>
    </row>
    <row r="78" spans="1:25" ht="27" customHeight="1">
      <c r="A78" s="39" t="s">
        <v>417</v>
      </c>
      <c r="B78" s="47" t="s">
        <v>407</v>
      </c>
      <c r="C78" s="29"/>
      <c r="D78" s="29"/>
      <c r="E78" s="29"/>
      <c r="F78" s="39"/>
      <c r="G78" s="29"/>
      <c r="H78" s="29" t="s">
        <v>80</v>
      </c>
      <c r="I78" s="35" t="s">
        <v>131</v>
      </c>
      <c r="J78" s="35" t="str">
        <f>IFERROR(WORKDAY(Table145[[#This Row],[50% IFR - 
AE]],-15), " ")</f>
        <v xml:space="preserve"> </v>
      </c>
      <c r="K78" s="36" t="s">
        <v>418</v>
      </c>
      <c r="L78" s="36" t="s">
        <v>104</v>
      </c>
      <c r="M78" s="36" t="s">
        <v>419</v>
      </c>
      <c r="N78" s="36" t="s">
        <v>420</v>
      </c>
      <c r="O78" s="36" t="s">
        <v>83</v>
      </c>
      <c r="P78" s="36" t="s">
        <v>421</v>
      </c>
      <c r="Q78" s="35" t="s">
        <v>422</v>
      </c>
      <c r="R78" s="35"/>
      <c r="S78" s="35"/>
      <c r="T78" s="35"/>
      <c r="U78" s="71"/>
      <c r="V78" s="71"/>
      <c r="W78" s="35"/>
      <c r="X78" s="71" t="s">
        <v>423</v>
      </c>
      <c r="Y78" s="47"/>
    </row>
    <row r="79" spans="1:25" ht="24.6" customHeight="1">
      <c r="A79" s="39" t="s">
        <v>424</v>
      </c>
      <c r="B79" s="47" t="s">
        <v>407</v>
      </c>
      <c r="C79" s="29"/>
      <c r="D79" s="29"/>
      <c r="E79" s="29"/>
      <c r="F79" s="39"/>
      <c r="G79" s="29"/>
      <c r="H79" s="29" t="s">
        <v>80</v>
      </c>
      <c r="I79" s="35" t="s">
        <v>131</v>
      </c>
      <c r="J79" s="35" t="str">
        <f>IFERROR(WORKDAY(Table145[[#This Row],[50% IFR - 
AE]],-15), " ")</f>
        <v xml:space="preserve"> </v>
      </c>
      <c r="K79" s="36" t="s">
        <v>425</v>
      </c>
      <c r="L79" s="36" t="s">
        <v>426</v>
      </c>
      <c r="M79" s="36" t="s">
        <v>427</v>
      </c>
      <c r="N79" s="36" t="s">
        <v>428</v>
      </c>
      <c r="O79" s="36">
        <v>45198</v>
      </c>
      <c r="P79" s="36" t="s">
        <v>429</v>
      </c>
      <c r="Q79" s="35" t="s">
        <v>430</v>
      </c>
      <c r="R79" s="35"/>
      <c r="S79" s="35"/>
      <c r="T79" s="35"/>
      <c r="U79" s="71"/>
      <c r="V79" s="71"/>
      <c r="W79" s="35"/>
      <c r="X79" s="71"/>
      <c r="Y79" s="47"/>
    </row>
    <row r="80" spans="1:25" ht="23.1" customHeight="1">
      <c r="A80" s="29" t="s">
        <v>431</v>
      </c>
      <c r="B80" s="47" t="s">
        <v>432</v>
      </c>
      <c r="C80" s="29"/>
      <c r="D80" s="29" t="s">
        <v>214</v>
      </c>
      <c r="E80" s="29" t="s">
        <v>433</v>
      </c>
      <c r="F80" s="39" t="s">
        <v>434</v>
      </c>
      <c r="G80" s="29"/>
      <c r="H80" s="29" t="s">
        <v>80</v>
      </c>
      <c r="I80" s="35"/>
      <c r="J80" s="35" t="str">
        <f>IFERROR(WORKDAY(Table145[[#This Row],[50% IFR - 
AE]],-15), " ")</f>
        <v xml:space="preserve"> </v>
      </c>
      <c r="K80" s="36"/>
      <c r="L80" s="36"/>
      <c r="M80" s="36"/>
      <c r="N80" s="36"/>
      <c r="O80" s="36"/>
      <c r="P80" s="36"/>
      <c r="Q80" s="35"/>
      <c r="R80" s="35"/>
      <c r="S80" s="35"/>
      <c r="T80" s="35"/>
      <c r="U80" s="71"/>
      <c r="V80" s="71"/>
      <c r="W80" s="35"/>
      <c r="X80" s="71"/>
      <c r="Y80" s="47"/>
    </row>
    <row r="81" spans="1:25" ht="19.350000000000001" customHeight="1">
      <c r="A81" s="39" t="s">
        <v>435</v>
      </c>
      <c r="B81" s="47" t="s">
        <v>432</v>
      </c>
      <c r="C81" s="29" t="s">
        <v>256</v>
      </c>
      <c r="D81" s="29" t="s">
        <v>77</v>
      </c>
      <c r="E81" s="29" t="s">
        <v>433</v>
      </c>
      <c r="F81" s="39" t="s">
        <v>434</v>
      </c>
      <c r="G81" s="29"/>
      <c r="H81" s="29" t="s">
        <v>80</v>
      </c>
      <c r="I81" s="29" t="s">
        <v>131</v>
      </c>
      <c r="J81" s="35" t="str">
        <f>IFERROR(WORKDAY(Table145[[#This Row],[50% IFR - 
AE]],-15), " ")</f>
        <v xml:space="preserve"> </v>
      </c>
      <c r="K81" s="36" t="s">
        <v>82</v>
      </c>
      <c r="L81" s="36" t="s">
        <v>436</v>
      </c>
      <c r="M81" s="36" t="s">
        <v>82</v>
      </c>
      <c r="N81" s="36" t="s">
        <v>437</v>
      </c>
      <c r="O81" s="36" t="s">
        <v>82</v>
      </c>
      <c r="P81" s="36" t="s">
        <v>438</v>
      </c>
      <c r="Q81" s="35">
        <v>45338</v>
      </c>
      <c r="R81" s="35"/>
      <c r="S81" s="35"/>
      <c r="T81" s="35"/>
      <c r="U81" s="71"/>
      <c r="V81" s="71" t="s">
        <v>439</v>
      </c>
      <c r="W81" s="35"/>
      <c r="X81" s="71" t="s">
        <v>440</v>
      </c>
      <c r="Y81" s="47" t="s">
        <v>441</v>
      </c>
    </row>
    <row r="82" spans="1:25" ht="19.350000000000001" customHeight="1">
      <c r="A82" s="39" t="s">
        <v>442</v>
      </c>
      <c r="B82" s="47" t="s">
        <v>432</v>
      </c>
      <c r="C82" s="29" t="s">
        <v>256</v>
      </c>
      <c r="D82" s="29" t="s">
        <v>77</v>
      </c>
      <c r="E82" s="29" t="s">
        <v>433</v>
      </c>
      <c r="F82" s="39" t="s">
        <v>434</v>
      </c>
      <c r="G82" s="29" t="s">
        <v>100</v>
      </c>
      <c r="H82" s="29" t="s">
        <v>80</v>
      </c>
      <c r="I82" s="35" t="s">
        <v>131</v>
      </c>
      <c r="J82" s="35" t="str">
        <f>IFERROR(WORKDAY(Table145[[#This Row],[50% IFR - 
AE]],-15), " ")</f>
        <v xml:space="preserve"> </v>
      </c>
      <c r="K82" s="36" t="s">
        <v>215</v>
      </c>
      <c r="L82" s="36" t="s">
        <v>443</v>
      </c>
      <c r="M82" s="36" t="s">
        <v>219</v>
      </c>
      <c r="N82" s="36" t="s">
        <v>444</v>
      </c>
      <c r="O82" s="36"/>
      <c r="P82" s="36"/>
      <c r="Q82" s="35" t="s">
        <v>268</v>
      </c>
      <c r="R82" s="35"/>
      <c r="S82" s="35"/>
      <c r="T82" s="35"/>
      <c r="U82" s="71"/>
      <c r="V82" s="71" t="s">
        <v>439</v>
      </c>
      <c r="W82" s="35"/>
      <c r="X82" s="71" t="s">
        <v>445</v>
      </c>
      <c r="Y82" s="47" t="s">
        <v>446</v>
      </c>
    </row>
    <row r="83" spans="1:25" ht="26.1" customHeight="1">
      <c r="A83" s="39" t="s">
        <v>447</v>
      </c>
      <c r="B83" s="47" t="s">
        <v>432</v>
      </c>
      <c r="C83" s="29" t="s">
        <v>256</v>
      </c>
      <c r="D83" s="29" t="s">
        <v>77</v>
      </c>
      <c r="E83" s="29" t="s">
        <v>433</v>
      </c>
      <c r="F83" s="39" t="s">
        <v>434</v>
      </c>
      <c r="G83" s="29"/>
      <c r="H83" s="29" t="s">
        <v>80</v>
      </c>
      <c r="I83" s="29" t="s">
        <v>131</v>
      </c>
      <c r="J83" s="35" t="str">
        <f>IFERROR(WORKDAY(Table145[[#This Row],[50% IFR - 
AE]],-15), " ")</f>
        <v xml:space="preserve"> </v>
      </c>
      <c r="K83" s="36" t="s">
        <v>82</v>
      </c>
      <c r="L83" s="36" t="s">
        <v>82</v>
      </c>
      <c r="M83" s="36" t="s">
        <v>82</v>
      </c>
      <c r="N83" s="36" t="s">
        <v>448</v>
      </c>
      <c r="O83" s="36" t="s">
        <v>449</v>
      </c>
      <c r="P83" s="36">
        <v>45435</v>
      </c>
      <c r="Q83" s="35" t="s">
        <v>268</v>
      </c>
      <c r="R83" s="35"/>
      <c r="S83" s="35"/>
      <c r="T83" s="35"/>
      <c r="U83" s="71"/>
      <c r="V83" s="71" t="s">
        <v>450</v>
      </c>
      <c r="W83" s="35"/>
      <c r="X83" s="71" t="s">
        <v>451</v>
      </c>
      <c r="Y83" s="47" t="s">
        <v>452</v>
      </c>
    </row>
    <row r="84" spans="1:25" ht="26.1" customHeight="1">
      <c r="A84" s="25"/>
      <c r="B84" s="49"/>
      <c r="C84" s="25"/>
      <c r="D84" s="25"/>
      <c r="E84" s="25"/>
      <c r="F84" s="25"/>
      <c r="G84" s="25"/>
      <c r="H84" s="25"/>
      <c r="I84" s="25"/>
      <c r="J84" s="26" t="str">
        <f>IFERROR(WORKDAY(Table145[[#This Row],[50% IFR - 
AE]],-15), " ")</f>
        <v xml:space="preserve"> </v>
      </c>
      <c r="K84" s="26"/>
      <c r="L84" s="26"/>
      <c r="M84" s="26"/>
      <c r="N84" s="26"/>
      <c r="O84" s="26"/>
      <c r="P84" s="26"/>
      <c r="Q84" s="26"/>
      <c r="R84" s="26"/>
      <c r="S84" s="26"/>
      <c r="T84" s="26"/>
      <c r="U84" s="64"/>
      <c r="V84" s="64"/>
      <c r="W84" s="26"/>
      <c r="X84" s="64"/>
      <c r="Y84" s="49"/>
    </row>
    <row r="85" spans="1:25" ht="26.1" customHeight="1">
      <c r="A85" s="25"/>
      <c r="B85" s="49"/>
      <c r="C85" s="25"/>
      <c r="D85" s="25"/>
      <c r="E85" s="25"/>
      <c r="F85" s="25"/>
      <c r="G85" s="25"/>
      <c r="H85" s="25"/>
      <c r="I85" s="25"/>
      <c r="J85" s="26" t="str">
        <f>IFERROR(WORKDAY(Table145[[#This Row],[50% IFR - 
AE]],-15), " ")</f>
        <v xml:space="preserve"> </v>
      </c>
      <c r="K85" s="26"/>
      <c r="L85" s="26"/>
      <c r="M85" s="26"/>
      <c r="N85" s="26"/>
      <c r="O85" s="26"/>
      <c r="P85" s="26"/>
      <c r="Q85" s="26"/>
      <c r="R85" s="26"/>
      <c r="S85" s="26"/>
      <c r="T85" s="26"/>
      <c r="U85" s="64"/>
      <c r="V85" s="64"/>
      <c r="W85" s="26"/>
      <c r="X85" s="64"/>
      <c r="Y85" s="49"/>
    </row>
    <row r="86" spans="1:25" ht="26.1" customHeight="1">
      <c r="A86" s="25"/>
      <c r="B86" s="49"/>
      <c r="C86" s="25"/>
      <c r="D86" s="25"/>
      <c r="E86" s="25"/>
      <c r="F86" s="25"/>
      <c r="G86" s="25"/>
      <c r="H86" s="25"/>
      <c r="I86" s="25"/>
      <c r="J86" s="26" t="str">
        <f>IFERROR(WORKDAY(Table145[[#This Row],[50% IFR - 
AE]],-15), " ")</f>
        <v xml:space="preserve"> </v>
      </c>
      <c r="K86" s="26"/>
      <c r="L86" s="26"/>
      <c r="M86" s="26"/>
      <c r="N86" s="26"/>
      <c r="O86" s="26"/>
      <c r="P86" s="26"/>
      <c r="Q86" s="26"/>
      <c r="R86" s="26"/>
      <c r="S86" s="26"/>
      <c r="T86" s="26"/>
      <c r="U86" s="64"/>
      <c r="V86" s="64"/>
      <c r="W86" s="26"/>
      <c r="X86" s="64"/>
      <c r="Y86" s="49"/>
    </row>
    <row r="87" spans="1:25" ht="26.1" customHeight="1">
      <c r="A87" s="25"/>
      <c r="B87" s="49"/>
      <c r="C87" s="25"/>
      <c r="D87" s="25"/>
      <c r="E87" s="25"/>
      <c r="F87" s="25"/>
      <c r="G87" s="25"/>
      <c r="H87" s="25"/>
      <c r="I87" s="25"/>
      <c r="J87" s="26" t="str">
        <f>IFERROR(WORKDAY(Table145[[#This Row],[50% IFR - 
AE]],-15), " ")</f>
        <v xml:space="preserve"> </v>
      </c>
      <c r="K87" s="26"/>
      <c r="L87" s="26"/>
      <c r="M87" s="26"/>
      <c r="N87" s="26"/>
      <c r="O87" s="26"/>
      <c r="P87" s="26"/>
      <c r="Q87" s="26"/>
      <c r="R87" s="26"/>
      <c r="S87" s="26"/>
      <c r="T87" s="26"/>
      <c r="U87" s="64"/>
      <c r="V87" s="64"/>
      <c r="W87" s="26"/>
      <c r="X87" s="64"/>
      <c r="Y87" s="49"/>
    </row>
    <row r="88" spans="1:25" ht="26.1" customHeight="1">
      <c r="A88" s="25"/>
      <c r="B88" s="49"/>
      <c r="C88" s="25"/>
      <c r="D88" s="25"/>
      <c r="E88" s="25"/>
      <c r="F88" s="25"/>
      <c r="G88" s="25"/>
      <c r="H88" s="25"/>
      <c r="I88" s="25"/>
      <c r="J88" s="26" t="str">
        <f>IFERROR(WORKDAY(Table145[[#This Row],[50% IFR - 
AE]],-15), " ")</f>
        <v xml:space="preserve"> </v>
      </c>
      <c r="K88" s="26"/>
      <c r="L88" s="26"/>
      <c r="M88" s="26"/>
      <c r="N88" s="26"/>
      <c r="O88" s="26"/>
      <c r="P88" s="26"/>
      <c r="Q88" s="26"/>
      <c r="R88" s="26"/>
      <c r="S88" s="26"/>
      <c r="T88" s="26"/>
      <c r="U88" s="64"/>
      <c r="V88" s="64"/>
      <c r="W88" s="26"/>
      <c r="X88" s="64"/>
      <c r="Y88" s="49"/>
    </row>
    <row r="89" spans="1:25" ht="26.1" customHeight="1">
      <c r="A89" s="25"/>
      <c r="B89" s="49"/>
      <c r="C89" s="25"/>
      <c r="D89" s="25"/>
      <c r="E89" s="25"/>
      <c r="F89" s="25"/>
      <c r="G89" s="25"/>
      <c r="H89" s="25"/>
      <c r="I89" s="25"/>
      <c r="J89" s="26" t="str">
        <f>IFERROR(WORKDAY(Table145[[#This Row],[50% IFR - 
AE]],-15), " ")</f>
        <v xml:space="preserve"> </v>
      </c>
      <c r="K89" s="26"/>
      <c r="L89" s="26"/>
      <c r="M89" s="26"/>
      <c r="N89" s="26"/>
      <c r="O89" s="26"/>
      <c r="P89" s="26"/>
      <c r="Q89" s="26"/>
      <c r="R89" s="26"/>
      <c r="S89" s="26"/>
      <c r="T89" s="26"/>
      <c r="U89" s="64"/>
      <c r="V89" s="64"/>
      <c r="W89" s="26"/>
      <c r="X89" s="64"/>
      <c r="Y89" s="49"/>
    </row>
    <row r="90" spans="1:25" ht="26.1" customHeight="1">
      <c r="A90" s="25"/>
      <c r="B90" s="49"/>
      <c r="C90" s="25"/>
      <c r="D90" s="25"/>
      <c r="E90" s="25"/>
      <c r="F90" s="25"/>
      <c r="G90" s="25"/>
      <c r="H90" s="25"/>
      <c r="I90" s="25"/>
      <c r="J90" s="26" t="str">
        <f>IFERROR(WORKDAY(Table145[[#This Row],[50% IFR - 
AE]],-15), " ")</f>
        <v xml:space="preserve"> </v>
      </c>
      <c r="K90" s="26"/>
      <c r="L90" s="26"/>
      <c r="M90" s="26"/>
      <c r="N90" s="26"/>
      <c r="O90" s="26"/>
      <c r="P90" s="26"/>
      <c r="Q90" s="26"/>
      <c r="R90" s="26"/>
      <c r="S90" s="26"/>
      <c r="T90" s="26"/>
      <c r="U90" s="64"/>
      <c r="V90" s="64"/>
      <c r="W90" s="26"/>
      <c r="X90" s="64"/>
      <c r="Y90" s="49"/>
    </row>
    <row r="91" spans="1:25" ht="26.1" customHeight="1">
      <c r="A91" s="25"/>
      <c r="B91" s="49"/>
      <c r="C91" s="25"/>
      <c r="D91" s="25"/>
      <c r="E91" s="25"/>
      <c r="F91" s="25"/>
      <c r="G91" s="25"/>
      <c r="H91" s="25"/>
      <c r="I91" s="25"/>
      <c r="J91" s="26" t="str">
        <f>IFERROR(WORKDAY(Table145[[#This Row],[50% IFR - 
AE]],-15), " ")</f>
        <v xml:space="preserve"> </v>
      </c>
      <c r="K91" s="26"/>
      <c r="L91" s="26"/>
      <c r="M91" s="26"/>
      <c r="N91" s="26"/>
      <c r="O91" s="26"/>
      <c r="P91" s="26"/>
      <c r="Q91" s="26"/>
      <c r="R91" s="26"/>
      <c r="S91" s="26"/>
      <c r="T91" s="26"/>
      <c r="U91" s="64"/>
      <c r="V91" s="64"/>
      <c r="W91" s="26"/>
      <c r="X91" s="64"/>
      <c r="Y91" s="49"/>
    </row>
    <row r="92" spans="1:25" ht="26.1" customHeight="1">
      <c r="A92" s="25"/>
      <c r="B92" s="49"/>
      <c r="C92" s="25"/>
      <c r="D92" s="25"/>
      <c r="E92" s="25"/>
      <c r="F92" s="25"/>
      <c r="G92" s="25"/>
      <c r="H92" s="25"/>
      <c r="I92" s="25"/>
      <c r="J92" s="26" t="str">
        <f>IFERROR(WORKDAY(Table145[[#This Row],[50% IFR - 
AE]],-15), " ")</f>
        <v xml:space="preserve"> </v>
      </c>
      <c r="K92" s="26"/>
      <c r="L92" s="26"/>
      <c r="M92" s="26"/>
      <c r="N92" s="26"/>
      <c r="O92" s="26"/>
      <c r="P92" s="26"/>
      <c r="Q92" s="26"/>
      <c r="R92" s="26"/>
      <c r="S92" s="26"/>
      <c r="T92" s="26"/>
      <c r="U92" s="64"/>
      <c r="V92" s="64"/>
      <c r="W92" s="26"/>
      <c r="X92" s="64"/>
      <c r="Y92" s="49"/>
    </row>
    <row r="93" spans="1:25" ht="26.1" customHeight="1">
      <c r="A93" s="25"/>
      <c r="B93" s="49"/>
      <c r="C93" s="25"/>
      <c r="D93" s="25"/>
      <c r="E93" s="25"/>
      <c r="F93" s="25"/>
      <c r="G93" s="25"/>
      <c r="H93" s="25"/>
      <c r="I93" s="25"/>
      <c r="J93" s="26" t="str">
        <f>IFERROR(WORKDAY(Table145[[#This Row],[50% IFR - 
AE]],-15), " ")</f>
        <v xml:space="preserve"> </v>
      </c>
      <c r="K93" s="26"/>
      <c r="L93" s="26"/>
      <c r="M93" s="26"/>
      <c r="N93" s="26"/>
      <c r="O93" s="26"/>
      <c r="P93" s="26"/>
      <c r="Q93" s="26"/>
      <c r="R93" s="26"/>
      <c r="S93" s="26"/>
      <c r="T93" s="26"/>
      <c r="U93" s="64"/>
      <c r="V93" s="64"/>
      <c r="W93" s="26"/>
      <c r="X93" s="64"/>
      <c r="Y93" s="49"/>
    </row>
    <row r="94" spans="1:25" ht="26.1" customHeight="1">
      <c r="A94" s="25"/>
      <c r="B94" s="49"/>
      <c r="C94" s="25"/>
      <c r="D94" s="25"/>
      <c r="E94" s="25"/>
      <c r="F94" s="25"/>
      <c r="G94" s="25"/>
      <c r="H94" s="25"/>
      <c r="I94" s="25"/>
      <c r="J94" s="26" t="str">
        <f>IFERROR(WORKDAY(Table145[[#This Row],[50% IFR - 
AE]],-15), " ")</f>
        <v xml:space="preserve"> </v>
      </c>
      <c r="K94" s="26"/>
      <c r="L94" s="26"/>
      <c r="M94" s="26"/>
      <c r="N94" s="26"/>
      <c r="O94" s="26"/>
      <c r="P94" s="26"/>
      <c r="Q94" s="26"/>
      <c r="R94" s="26"/>
      <c r="S94" s="26"/>
      <c r="T94" s="26"/>
      <c r="U94" s="64"/>
      <c r="V94" s="64"/>
      <c r="W94" s="26"/>
      <c r="X94" s="64"/>
      <c r="Y94" s="49"/>
    </row>
    <row r="95" spans="1:25" ht="26.1" customHeight="1">
      <c r="A95" s="25"/>
      <c r="B95" s="49"/>
      <c r="C95" s="25"/>
      <c r="D95" s="25"/>
      <c r="E95" s="25"/>
      <c r="F95" s="25"/>
      <c r="G95" s="25"/>
      <c r="H95" s="25"/>
      <c r="I95" s="25"/>
      <c r="J95" s="26" t="str">
        <f>IFERROR(WORKDAY(Table145[[#This Row],[50% IFR - 
AE]],-15), " ")</f>
        <v xml:space="preserve"> </v>
      </c>
      <c r="K95" s="26"/>
      <c r="L95" s="26"/>
      <c r="M95" s="26"/>
      <c r="N95" s="26"/>
      <c r="O95" s="26"/>
      <c r="P95" s="26"/>
      <c r="Q95" s="26"/>
      <c r="R95" s="26"/>
      <c r="S95" s="26"/>
      <c r="T95" s="26"/>
      <c r="U95" s="64"/>
      <c r="V95" s="64"/>
      <c r="W95" s="26"/>
      <c r="X95" s="64"/>
      <c r="Y95" s="49"/>
    </row>
    <row r="96" spans="1:25" ht="26.1" customHeight="1">
      <c r="A96" s="25"/>
      <c r="B96" s="49"/>
      <c r="C96" s="25"/>
      <c r="D96" s="25"/>
      <c r="E96" s="25"/>
      <c r="F96" s="25"/>
      <c r="G96" s="25"/>
      <c r="H96" s="25"/>
      <c r="I96" s="25"/>
      <c r="J96" s="26" t="str">
        <f>IFERROR(WORKDAY(Table145[[#This Row],[50% IFR - 
AE]],-15), " ")</f>
        <v xml:space="preserve"> </v>
      </c>
      <c r="K96" s="26"/>
      <c r="L96" s="26"/>
      <c r="M96" s="26"/>
      <c r="N96" s="26"/>
      <c r="O96" s="26"/>
      <c r="P96" s="26"/>
      <c r="Q96" s="26"/>
      <c r="R96" s="26"/>
      <c r="S96" s="26"/>
      <c r="T96" s="26"/>
      <c r="U96" s="64"/>
      <c r="V96" s="64"/>
      <c r="W96" s="26"/>
      <c r="X96" s="64"/>
      <c r="Y96" s="49"/>
    </row>
    <row r="97" spans="1:25" ht="26.1" customHeight="1">
      <c r="A97" s="25"/>
      <c r="B97" s="49"/>
      <c r="C97" s="25"/>
      <c r="D97" s="25"/>
      <c r="E97" s="25"/>
      <c r="F97" s="25"/>
      <c r="G97" s="25"/>
      <c r="H97" s="25"/>
      <c r="I97" s="25"/>
      <c r="J97" s="26" t="str">
        <f>IFERROR(WORKDAY(Table145[[#This Row],[50% IFR - 
AE]],-15), " ")</f>
        <v xml:space="preserve"> </v>
      </c>
      <c r="K97" s="26"/>
      <c r="L97" s="26"/>
      <c r="M97" s="26"/>
      <c r="N97" s="26"/>
      <c r="O97" s="26"/>
      <c r="P97" s="26"/>
      <c r="Q97" s="26"/>
      <c r="R97" s="26"/>
      <c r="S97" s="26"/>
      <c r="T97" s="26"/>
      <c r="U97" s="64"/>
      <c r="V97" s="64"/>
      <c r="W97" s="26"/>
      <c r="X97" s="64"/>
      <c r="Y97" s="49"/>
    </row>
    <row r="98" spans="1:25" ht="26.1" customHeight="1">
      <c r="A98" s="25"/>
      <c r="B98" s="49"/>
      <c r="C98" s="25"/>
      <c r="D98" s="25"/>
      <c r="E98" s="25"/>
      <c r="F98" s="25"/>
      <c r="G98" s="25"/>
      <c r="H98" s="25"/>
      <c r="I98" s="25"/>
      <c r="J98" s="26" t="str">
        <f>IFERROR(WORKDAY(Table145[[#This Row],[50% IFR - 
AE]],-15), " ")</f>
        <v xml:space="preserve"> </v>
      </c>
      <c r="K98" s="26"/>
      <c r="L98" s="26"/>
      <c r="M98" s="26"/>
      <c r="N98" s="26"/>
      <c r="O98" s="26"/>
      <c r="P98" s="26"/>
      <c r="Q98" s="26"/>
      <c r="R98" s="26"/>
      <c r="S98" s="26"/>
      <c r="T98" s="26"/>
      <c r="U98" s="64"/>
      <c r="V98" s="64"/>
      <c r="W98" s="26"/>
      <c r="X98" s="64"/>
      <c r="Y98" s="49"/>
    </row>
    <row r="99" spans="1:25" ht="26.1" customHeight="1">
      <c r="A99" s="25"/>
      <c r="B99" s="49"/>
      <c r="C99" s="25"/>
      <c r="D99" s="25"/>
      <c r="E99" s="25"/>
      <c r="F99" s="25"/>
      <c r="G99" s="25"/>
      <c r="H99" s="25"/>
      <c r="I99" s="25"/>
      <c r="J99" s="26" t="str">
        <f>IFERROR(WORKDAY(Table145[[#This Row],[50% IFR - 
AE]],-15), " ")</f>
        <v xml:space="preserve"> </v>
      </c>
      <c r="K99" s="26"/>
      <c r="L99" s="26"/>
      <c r="M99" s="26"/>
      <c r="N99" s="26"/>
      <c r="O99" s="26"/>
      <c r="P99" s="26"/>
      <c r="Q99" s="26"/>
      <c r="R99" s="26"/>
      <c r="S99" s="26"/>
      <c r="T99" s="26"/>
      <c r="U99" s="64"/>
      <c r="V99" s="64"/>
      <c r="W99" s="26"/>
      <c r="X99" s="64"/>
      <c r="Y99" s="49"/>
    </row>
    <row r="100" spans="1:25" ht="26.1" customHeight="1">
      <c r="A100" s="25"/>
      <c r="B100" s="49"/>
      <c r="C100" s="25"/>
      <c r="D100" s="25"/>
      <c r="E100" s="25"/>
      <c r="F100" s="25"/>
      <c r="G100" s="25"/>
      <c r="H100" s="25"/>
      <c r="I100" s="25"/>
      <c r="J100" s="26" t="str">
        <f>IFERROR(WORKDAY(Table145[[#This Row],[50% IFR - 
AE]],-15), " ")</f>
        <v xml:space="preserve"> </v>
      </c>
      <c r="K100" s="26"/>
      <c r="L100" s="26"/>
      <c r="M100" s="26"/>
      <c r="N100" s="26"/>
      <c r="O100" s="26"/>
      <c r="P100" s="26"/>
      <c r="Q100" s="26"/>
      <c r="R100" s="26"/>
      <c r="S100" s="26"/>
      <c r="T100" s="26"/>
      <c r="U100" s="64"/>
      <c r="V100" s="64"/>
      <c r="W100" s="26"/>
      <c r="X100" s="64"/>
      <c r="Y100" s="49"/>
    </row>
    <row r="101" spans="1:25" ht="26.1" customHeight="1">
      <c r="A101" s="25"/>
      <c r="B101" s="49"/>
      <c r="C101" s="25"/>
      <c r="D101" s="25"/>
      <c r="E101" s="25"/>
      <c r="F101" s="25"/>
      <c r="G101" s="25"/>
      <c r="H101" s="25"/>
      <c r="I101" s="25"/>
      <c r="J101" s="26" t="str">
        <f>IFERROR(WORKDAY(Table145[[#This Row],[50% IFR - 
AE]],-15), " ")</f>
        <v xml:space="preserve"> </v>
      </c>
      <c r="K101" s="26"/>
      <c r="L101" s="26"/>
      <c r="M101" s="26"/>
      <c r="N101" s="26"/>
      <c r="O101" s="26"/>
      <c r="P101" s="26"/>
      <c r="Q101" s="26"/>
      <c r="R101" s="26"/>
      <c r="S101" s="26"/>
      <c r="T101" s="26"/>
      <c r="U101" s="64"/>
      <c r="V101" s="64"/>
      <c r="W101" s="26"/>
      <c r="X101" s="64"/>
      <c r="Y101" s="49"/>
    </row>
    <row r="102" spans="1:25" ht="26.1" customHeight="1">
      <c r="A102" s="25"/>
      <c r="B102" s="49"/>
      <c r="C102" s="25"/>
      <c r="D102" s="25"/>
      <c r="E102" s="25"/>
      <c r="F102" s="25"/>
      <c r="G102" s="25"/>
      <c r="H102" s="25"/>
      <c r="I102" s="25"/>
      <c r="J102" s="26" t="str">
        <f>IFERROR(WORKDAY(Table145[[#This Row],[50% IFR - 
AE]],-15), " ")</f>
        <v xml:space="preserve"> </v>
      </c>
      <c r="K102" s="26"/>
      <c r="L102" s="26"/>
      <c r="M102" s="26"/>
      <c r="N102" s="26"/>
      <c r="O102" s="26"/>
      <c r="P102" s="26"/>
      <c r="Q102" s="26"/>
      <c r="R102" s="26"/>
      <c r="S102" s="26"/>
      <c r="T102" s="26"/>
      <c r="U102" s="64"/>
      <c r="V102" s="64"/>
      <c r="W102" s="26"/>
      <c r="X102" s="64"/>
      <c r="Y102" s="49"/>
    </row>
    <row r="103" spans="1:25" ht="26.1" customHeight="1">
      <c r="A103" s="25"/>
      <c r="B103" s="49"/>
      <c r="C103" s="25"/>
      <c r="D103" s="25"/>
      <c r="E103" s="25"/>
      <c r="F103" s="25"/>
      <c r="G103" s="25"/>
      <c r="H103" s="25"/>
      <c r="I103" s="25"/>
      <c r="J103" s="26" t="str">
        <f>IFERROR(WORKDAY(Table145[[#This Row],[50% IFR - 
AE]],-15), " ")</f>
        <v xml:space="preserve"> </v>
      </c>
      <c r="K103" s="26"/>
      <c r="L103" s="26"/>
      <c r="M103" s="26"/>
      <c r="N103" s="26"/>
      <c r="O103" s="26"/>
      <c r="P103" s="26"/>
      <c r="Q103" s="26"/>
      <c r="R103" s="26"/>
      <c r="S103" s="26"/>
      <c r="T103" s="26"/>
      <c r="U103" s="64"/>
      <c r="V103" s="64"/>
      <c r="W103" s="26"/>
      <c r="X103" s="64"/>
      <c r="Y103" s="49"/>
    </row>
    <row r="104" spans="1:25" ht="26.1" customHeight="1">
      <c r="A104" s="25"/>
      <c r="B104" s="49"/>
      <c r="C104" s="25"/>
      <c r="D104" s="25"/>
      <c r="E104" s="25"/>
      <c r="F104" s="25"/>
      <c r="G104" s="25"/>
      <c r="H104" s="25"/>
      <c r="I104" s="25"/>
      <c r="J104" s="26" t="str">
        <f>IFERROR(WORKDAY(Table145[[#This Row],[50% IFR - 
AE]],-15), " ")</f>
        <v xml:space="preserve"> </v>
      </c>
      <c r="K104" s="26"/>
      <c r="L104" s="26"/>
      <c r="M104" s="26"/>
      <c r="N104" s="26"/>
      <c r="O104" s="26"/>
      <c r="P104" s="26"/>
      <c r="Q104" s="26"/>
      <c r="R104" s="26"/>
      <c r="S104" s="26"/>
      <c r="T104" s="26"/>
      <c r="U104" s="64"/>
      <c r="V104" s="64"/>
      <c r="W104" s="26"/>
      <c r="X104" s="64"/>
      <c r="Y104" s="49"/>
    </row>
    <row r="105" spans="1:25" ht="26.1" customHeight="1">
      <c r="A105" s="25"/>
      <c r="B105" s="49"/>
      <c r="C105" s="25"/>
      <c r="D105" s="25"/>
      <c r="E105" s="25"/>
      <c r="F105" s="25"/>
      <c r="G105" s="25"/>
      <c r="H105" s="25"/>
      <c r="I105" s="25"/>
      <c r="J105" s="26" t="str">
        <f>IFERROR(WORKDAY(Table145[[#This Row],[50% IFR - 
AE]],-15), " ")</f>
        <v xml:space="preserve"> </v>
      </c>
      <c r="K105" s="26"/>
      <c r="L105" s="26"/>
      <c r="M105" s="26"/>
      <c r="N105" s="26"/>
      <c r="O105" s="26"/>
      <c r="P105" s="26"/>
      <c r="Q105" s="26"/>
      <c r="R105" s="26"/>
      <c r="S105" s="26"/>
      <c r="T105" s="26"/>
      <c r="U105" s="64"/>
      <c r="V105" s="64"/>
      <c r="W105" s="26"/>
      <c r="X105" s="64"/>
      <c r="Y105" s="49"/>
    </row>
    <row r="106" spans="1:25" ht="26.1" customHeight="1">
      <c r="A106" s="25"/>
      <c r="B106" s="49"/>
      <c r="C106" s="25"/>
      <c r="D106" s="25"/>
      <c r="E106" s="25"/>
      <c r="F106" s="25"/>
      <c r="G106" s="25"/>
      <c r="H106" s="25"/>
      <c r="I106" s="25"/>
      <c r="J106" s="26" t="str">
        <f>IFERROR(WORKDAY(Table145[[#This Row],[50% IFR - 
AE]],-15), " ")</f>
        <v xml:space="preserve"> </v>
      </c>
      <c r="K106" s="26"/>
      <c r="L106" s="26"/>
      <c r="M106" s="26"/>
      <c r="N106" s="26"/>
      <c r="O106" s="26"/>
      <c r="P106" s="26"/>
      <c r="Q106" s="26"/>
      <c r="R106" s="26"/>
      <c r="S106" s="26"/>
      <c r="T106" s="26"/>
      <c r="U106" s="64"/>
      <c r="V106" s="64"/>
      <c r="W106" s="26"/>
      <c r="X106" s="64"/>
      <c r="Y106" s="49"/>
    </row>
    <row r="107" spans="1:25" ht="26.1" customHeight="1">
      <c r="A107" s="25"/>
      <c r="B107" s="49"/>
      <c r="C107" s="25"/>
      <c r="D107" s="25"/>
      <c r="E107" s="25"/>
      <c r="F107" s="25"/>
      <c r="G107" s="25"/>
      <c r="H107" s="25"/>
      <c r="I107" s="25"/>
      <c r="J107" s="26" t="str">
        <f>IFERROR(WORKDAY(Table145[[#This Row],[50% IFR - 
AE]],-15), " ")</f>
        <v xml:space="preserve"> </v>
      </c>
      <c r="K107" s="26"/>
      <c r="L107" s="26"/>
      <c r="M107" s="26"/>
      <c r="N107" s="26"/>
      <c r="O107" s="26"/>
      <c r="P107" s="26"/>
      <c r="Q107" s="26"/>
      <c r="R107" s="26"/>
      <c r="S107" s="26"/>
      <c r="T107" s="26"/>
      <c r="U107" s="64"/>
      <c r="V107" s="64"/>
      <c r="W107" s="26"/>
      <c r="X107" s="64"/>
      <c r="Y107" s="49"/>
    </row>
    <row r="108" spans="1:25" ht="26.1" customHeight="1">
      <c r="A108" s="25"/>
      <c r="B108" s="49"/>
      <c r="C108" s="25"/>
      <c r="D108" s="25"/>
      <c r="E108" s="25"/>
      <c r="F108" s="25"/>
      <c r="G108" s="25"/>
      <c r="H108" s="25"/>
      <c r="I108" s="25"/>
      <c r="J108" s="26" t="str">
        <f>IFERROR(WORKDAY(Table145[[#This Row],[50% IFR - 
AE]],-15), " ")</f>
        <v xml:space="preserve"> </v>
      </c>
      <c r="K108" s="26"/>
      <c r="L108" s="26"/>
      <c r="M108" s="26"/>
      <c r="N108" s="26"/>
      <c r="O108" s="26"/>
      <c r="P108" s="26"/>
      <c r="Q108" s="26"/>
      <c r="R108" s="26"/>
      <c r="S108" s="26"/>
      <c r="T108" s="26"/>
      <c r="U108" s="64"/>
      <c r="V108" s="64"/>
      <c r="W108" s="26"/>
      <c r="X108" s="64"/>
      <c r="Y108" s="49"/>
    </row>
    <row r="109" spans="1:25" ht="26.1" customHeight="1">
      <c r="A109" s="25"/>
      <c r="B109" s="49"/>
      <c r="C109" s="25"/>
      <c r="D109" s="25"/>
      <c r="E109" s="25"/>
      <c r="F109" s="25"/>
      <c r="G109" s="25"/>
      <c r="H109" s="25"/>
      <c r="I109" s="25"/>
      <c r="J109" s="26" t="str">
        <f>IFERROR(WORKDAY(Table145[[#This Row],[50% IFR - 
AE]],-15), " ")</f>
        <v xml:space="preserve"> </v>
      </c>
      <c r="K109" s="26"/>
      <c r="L109" s="26"/>
      <c r="M109" s="26"/>
      <c r="N109" s="26"/>
      <c r="O109" s="26"/>
      <c r="P109" s="26"/>
      <c r="Q109" s="26"/>
      <c r="R109" s="26"/>
      <c r="S109" s="26"/>
      <c r="T109" s="26"/>
      <c r="U109" s="64"/>
      <c r="V109" s="64"/>
      <c r="W109" s="26"/>
      <c r="X109" s="64"/>
      <c r="Y109" s="49"/>
    </row>
    <row r="110" spans="1:25" ht="26.1" customHeight="1">
      <c r="A110" s="25"/>
      <c r="B110" s="49"/>
      <c r="C110" s="25"/>
      <c r="D110" s="25"/>
      <c r="E110" s="25"/>
      <c r="F110" s="25"/>
      <c r="G110" s="25"/>
      <c r="H110" s="25"/>
      <c r="I110" s="25"/>
      <c r="J110" s="26" t="str">
        <f>IFERROR(WORKDAY(Table145[[#This Row],[50% IFR - 
AE]],-15), " ")</f>
        <v xml:space="preserve"> </v>
      </c>
      <c r="K110" s="26"/>
      <c r="L110" s="26"/>
      <c r="M110" s="26"/>
      <c r="N110" s="26"/>
      <c r="O110" s="26"/>
      <c r="P110" s="26"/>
      <c r="Q110" s="26"/>
      <c r="R110" s="26"/>
      <c r="S110" s="26"/>
      <c r="T110" s="26"/>
      <c r="U110" s="64"/>
      <c r="V110" s="64"/>
      <c r="W110" s="26"/>
      <c r="X110" s="64"/>
      <c r="Y110" s="49"/>
    </row>
    <row r="111" spans="1:25" ht="26.1" customHeight="1">
      <c r="A111" s="25"/>
      <c r="B111" s="49"/>
      <c r="C111" s="25"/>
      <c r="D111" s="25"/>
      <c r="E111" s="25"/>
      <c r="F111" s="25"/>
      <c r="G111" s="25"/>
      <c r="H111" s="25"/>
      <c r="I111" s="25"/>
      <c r="J111" s="26" t="str">
        <f>IFERROR(WORKDAY(Table145[[#This Row],[50% IFR - 
AE]],-15), " ")</f>
        <v xml:space="preserve"> </v>
      </c>
      <c r="K111" s="26"/>
      <c r="L111" s="26"/>
      <c r="M111" s="26"/>
      <c r="N111" s="26"/>
      <c r="O111" s="26"/>
      <c r="P111" s="26"/>
      <c r="Q111" s="26"/>
      <c r="R111" s="26"/>
      <c r="S111" s="26"/>
      <c r="T111" s="26"/>
      <c r="U111" s="64"/>
      <c r="V111" s="64"/>
      <c r="W111" s="26"/>
      <c r="X111" s="64"/>
      <c r="Y111" s="49"/>
    </row>
    <row r="112" spans="1:25" ht="26.1" customHeight="1">
      <c r="A112" s="25"/>
      <c r="B112" s="49"/>
      <c r="C112" s="25"/>
      <c r="D112" s="25"/>
      <c r="E112" s="25"/>
      <c r="F112" s="25"/>
      <c r="G112" s="25"/>
      <c r="H112" s="25"/>
      <c r="I112" s="25"/>
      <c r="J112" s="26" t="str">
        <f>IFERROR(WORKDAY(Table145[[#This Row],[50% IFR - 
AE]],-15), " ")</f>
        <v xml:space="preserve"> </v>
      </c>
      <c r="K112" s="26"/>
      <c r="L112" s="26"/>
      <c r="M112" s="26"/>
      <c r="N112" s="26"/>
      <c r="O112" s="26"/>
      <c r="P112" s="26"/>
      <c r="Q112" s="26"/>
      <c r="R112" s="26"/>
      <c r="S112" s="26"/>
      <c r="T112" s="26"/>
      <c r="U112" s="64"/>
      <c r="V112" s="64"/>
      <c r="W112" s="26"/>
      <c r="X112" s="64"/>
      <c r="Y112" s="49"/>
    </row>
    <row r="113" spans="1:25" ht="26.1" customHeight="1">
      <c r="A113" s="25"/>
      <c r="B113" s="49"/>
      <c r="C113" s="25"/>
      <c r="D113" s="25"/>
      <c r="E113" s="25"/>
      <c r="F113" s="25"/>
      <c r="G113" s="25"/>
      <c r="H113" s="25"/>
      <c r="I113" s="25"/>
      <c r="J113" s="26" t="str">
        <f>IFERROR(WORKDAY(Table145[[#This Row],[50% IFR - 
AE]],-15), " ")</f>
        <v xml:space="preserve"> </v>
      </c>
      <c r="K113" s="26"/>
      <c r="L113" s="26"/>
      <c r="M113" s="26"/>
      <c r="N113" s="26"/>
      <c r="O113" s="26"/>
      <c r="P113" s="26"/>
      <c r="Q113" s="26"/>
      <c r="R113" s="26"/>
      <c r="S113" s="26"/>
      <c r="T113" s="26"/>
      <c r="U113" s="64"/>
      <c r="V113" s="64"/>
      <c r="W113" s="26"/>
      <c r="X113" s="64"/>
      <c r="Y113" s="49"/>
    </row>
    <row r="114" spans="1:25" ht="26.1" customHeight="1">
      <c r="A114" s="25"/>
      <c r="B114" s="49"/>
      <c r="C114" s="25"/>
      <c r="D114" s="25"/>
      <c r="E114" s="25"/>
      <c r="F114" s="25"/>
      <c r="G114" s="25"/>
      <c r="H114" s="25"/>
      <c r="I114" s="25"/>
      <c r="J114" s="26" t="str">
        <f>IFERROR(WORKDAY(Table145[[#This Row],[50% IFR - 
AE]],-15), " ")</f>
        <v xml:space="preserve"> </v>
      </c>
      <c r="K114" s="26"/>
      <c r="L114" s="26"/>
      <c r="M114" s="26"/>
      <c r="N114" s="26"/>
      <c r="O114" s="26"/>
      <c r="P114" s="26"/>
      <c r="Q114" s="26"/>
      <c r="R114" s="26"/>
      <c r="S114" s="26"/>
      <c r="T114" s="26"/>
      <c r="U114" s="64"/>
      <c r="V114" s="64"/>
      <c r="W114" s="26"/>
      <c r="X114" s="64"/>
      <c r="Y114" s="49"/>
    </row>
    <row r="115" spans="1:25" ht="26.1" customHeight="1">
      <c r="A115" s="25"/>
      <c r="B115" s="49"/>
      <c r="C115" s="25"/>
      <c r="D115" s="25"/>
      <c r="E115" s="25"/>
      <c r="F115" s="25"/>
      <c r="G115" s="25"/>
      <c r="H115" s="25"/>
      <c r="I115" s="25"/>
      <c r="J115" s="26" t="str">
        <f>IFERROR(WORKDAY(Table145[[#This Row],[50% IFR - 
AE]],-15), " ")</f>
        <v xml:space="preserve"> </v>
      </c>
      <c r="K115" s="26"/>
      <c r="L115" s="26"/>
      <c r="M115" s="26"/>
      <c r="N115" s="26"/>
      <c r="O115" s="26"/>
      <c r="P115" s="26"/>
      <c r="Q115" s="26"/>
      <c r="R115" s="26"/>
      <c r="S115" s="26"/>
      <c r="T115" s="26"/>
      <c r="U115" s="64"/>
      <c r="V115" s="64"/>
      <c r="W115" s="26"/>
      <c r="X115" s="64"/>
      <c r="Y115" s="49"/>
    </row>
    <row r="116" spans="1:25" ht="26.1" customHeight="1">
      <c r="A116" s="25"/>
      <c r="B116" s="49"/>
      <c r="C116" s="25"/>
      <c r="D116" s="25"/>
      <c r="E116" s="25"/>
      <c r="F116" s="25"/>
      <c r="G116" s="25"/>
      <c r="H116" s="25"/>
      <c r="I116" s="25"/>
      <c r="J116" s="26" t="str">
        <f>IFERROR(WORKDAY(Table145[[#This Row],[50% IFR - 
AE]],-15), " ")</f>
        <v xml:space="preserve"> </v>
      </c>
      <c r="K116" s="26"/>
      <c r="L116" s="26"/>
      <c r="M116" s="26"/>
      <c r="N116" s="26"/>
      <c r="O116" s="26"/>
      <c r="P116" s="26"/>
      <c r="Q116" s="26"/>
      <c r="R116" s="26"/>
      <c r="S116" s="26"/>
      <c r="T116" s="26"/>
      <c r="U116" s="64"/>
      <c r="V116" s="64"/>
      <c r="W116" s="26"/>
      <c r="X116" s="64"/>
      <c r="Y116" s="49"/>
    </row>
    <row r="117" spans="1:25" ht="26.1" customHeight="1">
      <c r="A117" s="25"/>
      <c r="B117" s="49"/>
      <c r="C117" s="25"/>
      <c r="D117" s="25"/>
      <c r="E117" s="25"/>
      <c r="F117" s="25"/>
      <c r="G117" s="25"/>
      <c r="H117" s="25"/>
      <c r="I117" s="25"/>
      <c r="J117" s="26" t="str">
        <f>IFERROR(WORKDAY(Table145[[#This Row],[50% IFR - 
AE]],-15), " ")</f>
        <v xml:space="preserve"> </v>
      </c>
      <c r="K117" s="26"/>
      <c r="L117" s="26"/>
      <c r="M117" s="26"/>
      <c r="N117" s="26"/>
      <c r="O117" s="26"/>
      <c r="P117" s="26"/>
      <c r="Q117" s="26"/>
      <c r="R117" s="26"/>
      <c r="S117" s="26"/>
      <c r="T117" s="26"/>
      <c r="U117" s="64"/>
      <c r="V117" s="64"/>
      <c r="W117" s="26"/>
      <c r="X117" s="64"/>
      <c r="Y117" s="49"/>
    </row>
    <row r="118" spans="1:25" ht="26.1" customHeight="1">
      <c r="A118" s="25"/>
      <c r="B118" s="49"/>
      <c r="C118" s="25"/>
      <c r="D118" s="25"/>
      <c r="E118" s="25"/>
      <c r="F118" s="25"/>
      <c r="G118" s="25"/>
      <c r="H118" s="25"/>
      <c r="I118" s="25"/>
      <c r="J118" s="26" t="str">
        <f>IFERROR(WORKDAY(Table145[[#This Row],[50% IFR - 
AE]],-15), " ")</f>
        <v xml:space="preserve"> </v>
      </c>
      <c r="K118" s="26"/>
      <c r="L118" s="26"/>
      <c r="M118" s="26"/>
      <c r="N118" s="26"/>
      <c r="O118" s="26"/>
      <c r="P118" s="26"/>
      <c r="Q118" s="26"/>
      <c r="R118" s="26"/>
      <c r="S118" s="26"/>
      <c r="T118" s="26"/>
      <c r="U118" s="64"/>
      <c r="V118" s="64"/>
      <c r="W118" s="26"/>
      <c r="X118" s="64"/>
      <c r="Y118" s="49"/>
    </row>
    <row r="119" spans="1:25" ht="26.1" customHeight="1">
      <c r="A119" s="19"/>
      <c r="B119" s="55"/>
      <c r="C119" s="19"/>
      <c r="D119" s="19"/>
      <c r="E119" s="19"/>
      <c r="F119" s="19"/>
      <c r="G119" s="19"/>
      <c r="H119" s="19"/>
      <c r="I119" s="25"/>
      <c r="J119" s="26" t="str">
        <f>IFERROR(WORKDAY(Table145[[#This Row],[50% IFR - 
AE]],-15), " ")</f>
        <v xml:space="preserve"> </v>
      </c>
      <c r="K119" s="26"/>
      <c r="L119" s="26"/>
      <c r="M119" s="26"/>
      <c r="N119" s="26"/>
      <c r="O119" s="26"/>
      <c r="P119" s="26"/>
      <c r="Q119" s="26"/>
      <c r="R119" s="26"/>
      <c r="S119" s="26"/>
      <c r="T119" s="26"/>
      <c r="U119" s="64"/>
      <c r="V119" s="64"/>
      <c r="W119" s="26"/>
      <c r="X119" s="64"/>
      <c r="Y119" s="49"/>
    </row>
    <row r="120" spans="1:25" ht="26.1" customHeight="1">
      <c r="A120" s="19"/>
      <c r="B120" s="55"/>
      <c r="C120" s="19"/>
      <c r="D120" s="19"/>
      <c r="E120" s="19"/>
      <c r="F120" s="19"/>
      <c r="G120" s="19"/>
      <c r="H120" s="19"/>
      <c r="I120" s="19"/>
      <c r="J120" s="20" t="str">
        <f>IFERROR(WORKDAY(Table145[[#This Row],[50% IFR - 
AE]],-15), " ")</f>
        <v xml:space="preserve"> </v>
      </c>
      <c r="K120" s="20"/>
      <c r="L120" s="20"/>
      <c r="M120" s="20"/>
      <c r="N120" s="20"/>
      <c r="O120" s="20"/>
      <c r="P120" s="20"/>
      <c r="Q120" s="20"/>
      <c r="R120" s="20"/>
      <c r="S120" s="20"/>
      <c r="T120" s="20"/>
      <c r="U120" s="65"/>
      <c r="V120" s="65"/>
      <c r="W120" s="20"/>
      <c r="X120" s="65"/>
      <c r="Y120" s="55"/>
    </row>
    <row r="121" spans="1:25" ht="26.1" customHeight="1">
      <c r="A121" s="19"/>
      <c r="B121" s="55"/>
      <c r="C121" s="19"/>
      <c r="D121" s="19"/>
      <c r="E121" s="19"/>
      <c r="F121" s="19"/>
      <c r="G121" s="19"/>
      <c r="H121" s="19"/>
      <c r="I121" s="19"/>
      <c r="J121" s="20" t="str">
        <f>IFERROR(WORKDAY(Table145[[#This Row],[50% IFR - 
AE]],-15), " ")</f>
        <v xml:space="preserve"> </v>
      </c>
      <c r="K121" s="20"/>
      <c r="L121" s="20"/>
      <c r="M121" s="20"/>
      <c r="N121" s="20"/>
      <c r="O121" s="20"/>
      <c r="P121" s="20"/>
      <c r="Q121" s="20"/>
      <c r="R121" s="20"/>
      <c r="S121" s="20"/>
      <c r="T121" s="20"/>
      <c r="U121" s="65"/>
      <c r="V121" s="65"/>
      <c r="W121" s="20"/>
      <c r="X121" s="65"/>
      <c r="Y121" s="55"/>
    </row>
    <row r="122" spans="1:25" ht="26.1" customHeight="1">
      <c r="A122" s="19"/>
      <c r="B122" s="55"/>
      <c r="C122" s="19"/>
      <c r="D122" s="19"/>
      <c r="E122" s="19"/>
      <c r="F122" s="19"/>
      <c r="G122" s="19"/>
      <c r="H122" s="19"/>
      <c r="I122" s="19"/>
      <c r="J122" s="20" t="str">
        <f>IFERROR(WORKDAY(Table145[[#This Row],[50% IFR - 
AE]],-15), " ")</f>
        <v xml:space="preserve"> </v>
      </c>
      <c r="K122" s="20"/>
      <c r="L122" s="20"/>
      <c r="M122" s="20"/>
      <c r="N122" s="20"/>
      <c r="O122" s="20"/>
      <c r="P122" s="20"/>
      <c r="Q122" s="20"/>
      <c r="R122" s="20"/>
      <c r="S122" s="20"/>
      <c r="T122" s="20"/>
      <c r="U122" s="65"/>
      <c r="V122" s="65"/>
      <c r="W122" s="20"/>
      <c r="X122" s="65"/>
      <c r="Y122" s="55"/>
    </row>
    <row r="123" spans="1:25" ht="26.1" customHeight="1">
      <c r="A123" s="19"/>
      <c r="B123" s="55"/>
      <c r="C123" s="19"/>
      <c r="D123" s="19"/>
      <c r="E123" s="19"/>
      <c r="F123" s="19"/>
      <c r="G123" s="19"/>
      <c r="H123" s="19"/>
      <c r="I123" s="19"/>
      <c r="J123" s="20" t="str">
        <f>IFERROR(WORKDAY(Table145[[#This Row],[50% IFR - 
AE]],-15), " ")</f>
        <v xml:space="preserve"> </v>
      </c>
      <c r="K123" s="20"/>
      <c r="L123" s="20"/>
      <c r="M123" s="20"/>
      <c r="N123" s="20"/>
      <c r="O123" s="20"/>
      <c r="P123" s="20"/>
      <c r="Q123" s="20"/>
      <c r="R123" s="20"/>
      <c r="S123" s="20"/>
      <c r="T123" s="20"/>
      <c r="U123" s="65"/>
      <c r="V123" s="65"/>
      <c r="W123" s="20"/>
      <c r="X123" s="65"/>
      <c r="Y123" s="55"/>
    </row>
    <row r="124" spans="1:25" ht="26.1" customHeight="1">
      <c r="A124" s="19"/>
      <c r="B124" s="55"/>
      <c r="C124" s="19"/>
      <c r="D124" s="19"/>
      <c r="E124" s="19"/>
      <c r="F124" s="19"/>
      <c r="G124" s="19"/>
      <c r="H124" s="19"/>
      <c r="I124" s="19"/>
      <c r="J124" s="20" t="str">
        <f>IFERROR(WORKDAY(Table145[[#This Row],[50% IFR - 
AE]],-15), " ")</f>
        <v xml:space="preserve"> </v>
      </c>
      <c r="K124" s="20"/>
      <c r="L124" s="20"/>
      <c r="M124" s="20"/>
      <c r="N124" s="20"/>
      <c r="O124" s="20"/>
      <c r="P124" s="20"/>
      <c r="Q124" s="20"/>
      <c r="R124" s="20"/>
      <c r="S124" s="20"/>
      <c r="T124" s="20"/>
      <c r="U124" s="65"/>
      <c r="V124" s="65"/>
      <c r="W124" s="20"/>
      <c r="X124" s="65"/>
      <c r="Y124" s="55"/>
    </row>
    <row r="125" spans="1:25" ht="26.1" customHeight="1">
      <c r="A125" s="19"/>
      <c r="B125" s="55"/>
      <c r="C125" s="19"/>
      <c r="D125" s="19"/>
      <c r="E125" s="19"/>
      <c r="F125" s="19"/>
      <c r="G125" s="19"/>
      <c r="H125" s="19"/>
      <c r="I125" s="19"/>
      <c r="J125" s="20" t="str">
        <f>IFERROR(WORKDAY(Table145[[#This Row],[50% IFR - 
AE]],-15), " ")</f>
        <v xml:space="preserve"> </v>
      </c>
      <c r="K125" s="20"/>
      <c r="L125" s="20"/>
      <c r="M125" s="20"/>
      <c r="N125" s="20"/>
      <c r="O125" s="20"/>
      <c r="P125" s="20"/>
      <c r="Q125" s="20"/>
      <c r="R125" s="20"/>
      <c r="S125" s="20"/>
      <c r="T125" s="20"/>
      <c r="U125" s="65"/>
      <c r="V125" s="65"/>
      <c r="W125" s="20"/>
      <c r="X125" s="65"/>
      <c r="Y125" s="55"/>
    </row>
    <row r="126" spans="1:25" ht="26.1" customHeight="1">
      <c r="A126" s="19"/>
      <c r="B126" s="55"/>
      <c r="C126" s="19"/>
      <c r="D126" s="19"/>
      <c r="E126" s="19"/>
      <c r="F126" s="19"/>
      <c r="G126" s="19"/>
      <c r="H126" s="19"/>
      <c r="I126" s="19"/>
      <c r="J126" s="20" t="str">
        <f>IFERROR(WORKDAY(Table145[[#This Row],[50% IFR - 
AE]],-15), " ")</f>
        <v xml:space="preserve"> </v>
      </c>
      <c r="K126" s="20"/>
      <c r="L126" s="20"/>
      <c r="M126" s="20"/>
      <c r="N126" s="20"/>
      <c r="O126" s="20"/>
      <c r="P126" s="20"/>
      <c r="Q126" s="20"/>
      <c r="R126" s="20"/>
      <c r="S126" s="20"/>
      <c r="T126" s="20"/>
      <c r="U126" s="65"/>
      <c r="V126" s="65"/>
      <c r="W126" s="20"/>
      <c r="X126" s="65"/>
      <c r="Y126" s="55"/>
    </row>
    <row r="127" spans="1:25" ht="26.1" customHeight="1">
      <c r="A127" s="19"/>
      <c r="B127" s="55"/>
      <c r="C127" s="19"/>
      <c r="D127" s="19"/>
      <c r="E127" s="19"/>
      <c r="F127" s="19"/>
      <c r="G127" s="19"/>
      <c r="H127" s="19"/>
      <c r="I127" s="19"/>
      <c r="J127" s="20" t="str">
        <f>IFERROR(WORKDAY(Table145[[#This Row],[50% IFR - 
AE]],-15), " ")</f>
        <v xml:space="preserve"> </v>
      </c>
      <c r="K127" s="20"/>
      <c r="L127" s="20"/>
      <c r="M127" s="20"/>
      <c r="N127" s="20"/>
      <c r="O127" s="20"/>
      <c r="P127" s="20"/>
      <c r="Q127" s="20"/>
      <c r="R127" s="20"/>
      <c r="S127" s="20"/>
      <c r="T127" s="20"/>
      <c r="U127" s="65"/>
      <c r="V127" s="65"/>
      <c r="W127" s="20"/>
      <c r="X127" s="65"/>
      <c r="Y127" s="55"/>
    </row>
    <row r="128" spans="1:25" ht="26.1" customHeight="1">
      <c r="A128" s="19"/>
      <c r="B128" s="55"/>
      <c r="C128" s="19"/>
      <c r="D128" s="19"/>
      <c r="E128" s="19"/>
      <c r="F128" s="19"/>
      <c r="G128" s="19"/>
      <c r="H128" s="19"/>
      <c r="I128" s="19"/>
      <c r="J128" s="20" t="str">
        <f>IFERROR(WORKDAY(Table145[[#This Row],[50% IFR - 
AE]],-15), " ")</f>
        <v xml:space="preserve"> </v>
      </c>
      <c r="K128" s="20"/>
      <c r="L128" s="20"/>
      <c r="M128" s="20"/>
      <c r="N128" s="20"/>
      <c r="O128" s="20"/>
      <c r="P128" s="20"/>
      <c r="Q128" s="20"/>
      <c r="R128" s="20"/>
      <c r="S128" s="20"/>
      <c r="T128" s="20"/>
      <c r="U128" s="65"/>
      <c r="V128" s="65"/>
      <c r="W128" s="20"/>
      <c r="X128" s="65"/>
      <c r="Y128" s="55"/>
    </row>
    <row r="129" spans="1:25" ht="26.1" customHeight="1">
      <c r="A129" s="19"/>
      <c r="B129" s="55"/>
      <c r="C129" s="19"/>
      <c r="D129" s="19"/>
      <c r="E129" s="19"/>
      <c r="F129" s="19"/>
      <c r="G129" s="19"/>
      <c r="H129" s="19"/>
      <c r="I129" s="19"/>
      <c r="J129" s="20" t="str">
        <f>IFERROR(WORKDAY(Table145[[#This Row],[50% IFR - 
AE]],-15), " ")</f>
        <v xml:space="preserve"> </v>
      </c>
      <c r="K129" s="20"/>
      <c r="L129" s="20"/>
      <c r="M129" s="20"/>
      <c r="N129" s="20"/>
      <c r="O129" s="20"/>
      <c r="P129" s="20"/>
      <c r="Q129" s="20"/>
      <c r="R129" s="20"/>
      <c r="S129" s="20"/>
      <c r="T129" s="20"/>
      <c r="U129" s="65"/>
      <c r="V129" s="65"/>
      <c r="W129" s="20"/>
      <c r="X129" s="65"/>
      <c r="Y129" s="55"/>
    </row>
    <row r="130" spans="1:25" ht="26.1" customHeight="1">
      <c r="A130" s="19"/>
      <c r="B130" s="55"/>
      <c r="C130" s="19"/>
      <c r="D130" s="19"/>
      <c r="E130" s="19"/>
      <c r="F130" s="19"/>
      <c r="G130" s="19"/>
      <c r="H130" s="19"/>
      <c r="I130" s="19"/>
      <c r="J130" s="20" t="str">
        <f>IFERROR(WORKDAY(Table145[[#This Row],[50% IFR - 
AE]],-15), " ")</f>
        <v xml:space="preserve"> </v>
      </c>
      <c r="K130" s="20"/>
      <c r="L130" s="20"/>
      <c r="M130" s="20"/>
      <c r="N130" s="20"/>
      <c r="O130" s="20"/>
      <c r="P130" s="20"/>
      <c r="Q130" s="20"/>
      <c r="R130" s="20"/>
      <c r="S130" s="20"/>
      <c r="T130" s="20"/>
      <c r="U130" s="65"/>
      <c r="V130" s="65"/>
      <c r="W130" s="20"/>
      <c r="X130" s="65"/>
      <c r="Y130" s="55"/>
    </row>
    <row r="131" spans="1:25" ht="26.1" customHeight="1">
      <c r="A131" s="19"/>
      <c r="B131" s="55"/>
      <c r="C131" s="19"/>
      <c r="D131" s="19"/>
      <c r="E131" s="19"/>
      <c r="F131" s="19"/>
      <c r="G131" s="19"/>
      <c r="H131" s="19"/>
      <c r="I131" s="19"/>
      <c r="J131" s="20" t="str">
        <f>IFERROR(WORKDAY(Table145[[#This Row],[50% IFR - 
AE]],-15), " ")</f>
        <v xml:space="preserve"> </v>
      </c>
      <c r="K131" s="20"/>
      <c r="L131" s="20"/>
      <c r="M131" s="20"/>
      <c r="N131" s="20"/>
      <c r="O131" s="20"/>
      <c r="P131" s="20"/>
      <c r="Q131" s="20"/>
      <c r="R131" s="20"/>
      <c r="S131" s="20"/>
      <c r="T131" s="20"/>
      <c r="U131" s="65"/>
      <c r="V131" s="65"/>
      <c r="W131" s="20"/>
      <c r="X131" s="65"/>
      <c r="Y131" s="55"/>
    </row>
    <row r="132" spans="1:25" ht="26.1" customHeight="1">
      <c r="A132" s="19"/>
      <c r="B132" s="55"/>
      <c r="C132" s="19"/>
      <c r="D132" s="19"/>
      <c r="E132" s="19"/>
      <c r="F132" s="19"/>
      <c r="G132" s="19"/>
      <c r="H132" s="19"/>
      <c r="I132" s="19"/>
      <c r="J132" s="20" t="str">
        <f>IFERROR(WORKDAY(Table145[[#This Row],[50% IFR - 
AE]],-15), " ")</f>
        <v xml:space="preserve"> </v>
      </c>
      <c r="K132" s="20"/>
      <c r="L132" s="20"/>
      <c r="M132" s="20"/>
      <c r="N132" s="20"/>
      <c r="O132" s="20"/>
      <c r="P132" s="20"/>
      <c r="Q132" s="20"/>
      <c r="R132" s="20"/>
      <c r="S132" s="20"/>
      <c r="T132" s="20"/>
      <c r="U132" s="65"/>
      <c r="V132" s="65"/>
      <c r="W132" s="20"/>
      <c r="X132" s="65"/>
      <c r="Y132" s="55"/>
    </row>
    <row r="133" spans="1:25" ht="26.1" customHeight="1">
      <c r="A133" s="19"/>
      <c r="B133" s="55"/>
      <c r="C133" s="19"/>
      <c r="D133" s="19"/>
      <c r="E133" s="19"/>
      <c r="F133" s="19"/>
      <c r="G133" s="19"/>
      <c r="H133" s="19"/>
      <c r="I133" s="19"/>
      <c r="J133" s="20" t="str">
        <f>IFERROR(WORKDAY(Table145[[#This Row],[50% IFR - 
AE]],-15), " ")</f>
        <v xml:space="preserve"> </v>
      </c>
      <c r="K133" s="20"/>
      <c r="L133" s="20"/>
      <c r="M133" s="20"/>
      <c r="N133" s="20"/>
      <c r="O133" s="20"/>
      <c r="P133" s="20"/>
      <c r="Q133" s="20"/>
      <c r="R133" s="20"/>
      <c r="S133" s="20"/>
      <c r="T133" s="20"/>
      <c r="U133" s="65"/>
      <c r="V133" s="65"/>
      <c r="W133" s="20"/>
      <c r="X133" s="65"/>
      <c r="Y133" s="55"/>
    </row>
    <row r="134" spans="1:25" ht="26.1" customHeight="1">
      <c r="A134" s="53"/>
      <c r="B134" s="56"/>
      <c r="C134" s="53"/>
      <c r="D134" s="53"/>
      <c r="E134" s="53"/>
      <c r="F134" s="53"/>
      <c r="G134" s="53"/>
      <c r="H134" s="53"/>
      <c r="I134" s="53"/>
      <c r="J134" s="54" t="str">
        <f>IFERROR(WORKDAY(Table145[[#This Row],[50% IFR - 
AE]],-15), " ")</f>
        <v xml:space="preserve"> </v>
      </c>
      <c r="K134" s="54"/>
      <c r="L134" s="54"/>
      <c r="M134" s="54"/>
      <c r="N134" s="54"/>
      <c r="O134" s="54"/>
      <c r="P134" s="54"/>
      <c r="Q134" s="54"/>
      <c r="R134" s="54"/>
      <c r="S134" s="54"/>
      <c r="T134" s="54"/>
      <c r="U134" s="66"/>
      <c r="V134" s="66"/>
      <c r="W134" s="54"/>
      <c r="X134" s="66"/>
      <c r="Y134" s="56"/>
    </row>
  </sheetData>
  <conditionalFormatting sqref="J2:Q199">
    <cfRule type="timePeriod" dxfId="101" priority="1" timePeriod="lastWeek">
      <formula>AND(TODAY()-ROUNDDOWN(J2,0)&gt;=(WEEKDAY(TODAY())),TODAY()-ROUNDDOWN(J2,0)&lt;(WEEKDAY(TODAY())+7))</formula>
    </cfRule>
    <cfRule type="timePeriod" dxfId="100" priority="2" timePeriod="lastMonth">
      <formula>AND(MONTH(J2)=MONTH(EDATE(TODAY(),0-1)),YEAR(J2)=YEAR(EDATE(TODAY(),0-1)))</formula>
    </cfRule>
    <cfRule type="timePeriod" dxfId="99" priority="3" timePeriod="nextWeek">
      <formula>AND(ROUNDDOWN(J2,0)-TODAY()&gt;(7-WEEKDAY(TODAY())),ROUNDDOWN(J2,0)-TODAY()&lt;(15-WEEKDAY(TODAY())))</formula>
    </cfRule>
    <cfRule type="timePeriod" dxfId="98" priority="4" timePeriod="thisWeek">
      <formula>AND(TODAY()-ROUNDDOWN(J2,0)&lt;=WEEKDAY(TODAY())-1,ROUNDDOWN(J2,0)-TODAY()&lt;=7-WEEKDAY(TODAY()))</formula>
    </cfRule>
    <cfRule type="containsText" dxfId="97" priority="5" operator="containsText" text="complete">
      <formula>NOT(ISERROR(SEARCH("complete",J2)))</formula>
    </cfRule>
  </conditionalFormatting>
  <hyperlinks>
    <hyperlink ref="F74" r:id="rId1" xr:uid="{2F2B53D2-DEC8-4FCB-96AC-5472A2E078FC}"/>
    <hyperlink ref="F81" r:id="rId2" xr:uid="{9CCDB5B5-54D4-4CF0-AD15-2F78B3C4102B}"/>
    <hyperlink ref="F82" r:id="rId3" xr:uid="{03C0D565-08B8-42DB-89C7-B48457ED944F}"/>
    <hyperlink ref="F83" r:id="rId4" xr:uid="{43AF7A01-899F-430A-8D4C-83492F6CACA8}"/>
    <hyperlink ref="F70" r:id="rId5" xr:uid="{40AE8F63-4805-4DE2-B278-DCB65A3EB0E2}"/>
    <hyperlink ref="F58" r:id="rId6" xr:uid="{701F73F9-8651-47CE-8845-17B5ABD06424}"/>
    <hyperlink ref="F59" r:id="rId7" xr:uid="{E421AC43-1084-4397-8275-5A9A2BBF141C}"/>
    <hyperlink ref="F62" r:id="rId8" xr:uid="{DD0F7FBB-B5E1-4E71-BF06-D9A936E8B4C2}"/>
    <hyperlink ref="F27" r:id="rId9" xr:uid="{EEE67664-23EE-4B5A-8B2A-CE3F01DF7415}"/>
    <hyperlink ref="F49" r:id="rId10" xr:uid="{DEA2AEC5-5BA9-4847-89BB-0F808D7F04BD}"/>
    <hyperlink ref="F16" r:id="rId11" xr:uid="{5D6D2127-B459-4C40-886F-B1078C947F02}"/>
    <hyperlink ref="F17" r:id="rId12" xr:uid="{E555BB9B-DB80-474C-8B6C-B3511C1BF80A}"/>
    <hyperlink ref="F19" r:id="rId13" xr:uid="{EEE3F235-469A-4B8B-88C3-0E871924DED3}"/>
    <hyperlink ref="F22" r:id="rId14" xr:uid="{476B5663-D66C-4E48-828B-865D2BBCF2C9}"/>
    <hyperlink ref="F23" r:id="rId15" xr:uid="{19D2669E-36F5-487D-9030-708E31C4633F}"/>
    <hyperlink ref="F24" r:id="rId16" xr:uid="{581D86DD-7630-4ECB-8CFE-0D366F5688D2}"/>
    <hyperlink ref="F25" r:id="rId17" xr:uid="{AE9DDB8E-701B-4CB7-888B-97C135D53C2F}"/>
    <hyperlink ref="F26" r:id="rId18" xr:uid="{7E16006D-3FB7-48B6-B793-9F546B4807FD}"/>
    <hyperlink ref="F69" r:id="rId19" xr:uid="{61966060-A3D4-4844-870A-D3B4650FDE20}"/>
    <hyperlink ref="F38" r:id="rId20" xr:uid="{CF870607-385F-4FA6-BCD0-F453BD5C7F82}"/>
    <hyperlink ref="F39" r:id="rId21" xr:uid="{5CD7805D-493B-425E-9577-656BF0EDC016}"/>
    <hyperlink ref="F7" r:id="rId22" xr:uid="{F8D69F12-8BCF-4371-B155-4511D09186ED}"/>
    <hyperlink ref="F43" r:id="rId23" xr:uid="{9ED19E29-0C91-4952-B0F7-DE4600F8B034}"/>
    <hyperlink ref="F20" r:id="rId24" xr:uid="{87B044E2-A00A-450C-800F-330CDE92262E}"/>
    <hyperlink ref="F47" r:id="rId25" xr:uid="{FF9B68C1-DAAD-48CB-A675-DDD1C510954D}"/>
    <hyperlink ref="F5" r:id="rId26" xr:uid="{06F3DCF9-1C85-4FB2-BCD7-FADE52EA2C6F}"/>
    <hyperlink ref="F75" r:id="rId27" display="mailto:Kristin.McCue@jacobs.com" xr:uid="{197BBABF-083D-4A3D-9D52-2C85ABE8A860}"/>
    <hyperlink ref="F80" r:id="rId28" display="mailto:SAkbari@morrisonhershfield.com" xr:uid="{645C4B1B-7B81-4F01-A87F-EC68B72127F1}"/>
    <hyperlink ref="F46" r:id="rId29" display="mailto:hhernandez@ha-ny.com" xr:uid="{6D119653-B698-41EB-A62B-C492504E81BA}"/>
    <hyperlink ref="F28" r:id="rId30" display="mailto:cmendell@esdglobal.com" xr:uid="{087D8162-6B92-4F1A-9CF6-06FBE57C3815}"/>
    <hyperlink ref="F35" r:id="rId31" display="mailto:LPercy@morrisonhershfield.com" xr:uid="{AF521DBE-4A84-468B-96F9-9D988685A0E6}"/>
    <hyperlink ref="F12" r:id="rId32" xr:uid="{F04F161C-285E-43A2-8E4B-6060C37E308B}"/>
    <hyperlink ref="F14" r:id="rId33" xr:uid="{FCAFF649-87CC-4BE8-AB20-D0CA748A7A96}"/>
    <hyperlink ref="F15" r:id="rId34" xr:uid="{BC565597-2B31-46E7-B380-53531737BF83}"/>
    <hyperlink ref="F31" r:id="rId35" xr:uid="{41648DE4-9122-40E3-889D-8BA548F824A9}"/>
    <hyperlink ref="F48" r:id="rId36" xr:uid="{8507EEF2-562E-4A59-A125-F35FED429B81}"/>
    <hyperlink ref="F6" r:id="rId37" xr:uid="{6F4A5B16-DA25-4859-BA43-96AE2BFE3D1B}"/>
    <hyperlink ref="F2" r:id="rId38" xr:uid="{CD726126-0A04-4AAA-B0A6-082E35524D3B}"/>
    <hyperlink ref="F32" r:id="rId39" xr:uid="{C1E5F8C7-94C4-4B62-B8A3-059904D57AF5}"/>
    <hyperlink ref="F13" r:id="rId40" xr:uid="{9F76856A-B9A4-46DD-B17E-57C188943317}"/>
    <hyperlink ref="F66" r:id="rId41" xr:uid="{A6970B57-2413-4F8E-87CD-04C8B0A4901E}"/>
    <hyperlink ref="A33" r:id="rId42" xr:uid="{0F8CEA9C-0ACB-4E85-BD75-6EC9692445F4}"/>
    <hyperlink ref="A10" r:id="rId43" xr:uid="{A4BDAAD9-E3B5-40B3-A983-67CD1D94A74A}"/>
    <hyperlink ref="A13" r:id="rId44" xr:uid="{07851FAA-FCF5-42BB-8517-9CA4A7FA6ADC}"/>
    <hyperlink ref="A15" r:id="rId45" xr:uid="{6A08A20C-DC2A-457E-87EF-C356FFBB5E13}"/>
    <hyperlink ref="A17" r:id="rId46" xr:uid="{568DF0DF-EAED-4F18-BF13-D0AD5009975C}"/>
    <hyperlink ref="A19" r:id="rId47" xr:uid="{748EF94E-E285-4E3A-ABFD-E312896B0525}"/>
    <hyperlink ref="A32" r:id="rId48" xr:uid="{E96357A8-A7C8-4F58-B3F5-11FFBE81FDB5}"/>
    <hyperlink ref="A44" r:id="rId49" xr:uid="{7FF6CAC4-2BCE-4B84-AEBD-BA3CBA9D018E}"/>
    <hyperlink ref="A48" r:id="rId50" xr:uid="{BF1F0D88-D00C-49A6-A27C-2A97392E40D4}"/>
    <hyperlink ref="A52" r:id="rId51" xr:uid="{62E299D0-7A7F-4598-B116-8E8941A2768C}"/>
    <hyperlink ref="A54" r:id="rId52" xr:uid="{B58877C6-9667-4C82-9A5A-F797390A7979}"/>
    <hyperlink ref="A55" r:id="rId53" xr:uid="{07BCC08F-11F0-4839-BD50-894C8F5B6115}"/>
    <hyperlink ref="A56" r:id="rId54" xr:uid="{673CDDDF-5B9F-48E1-B58C-F2A2F2872DF1}"/>
    <hyperlink ref="A58" r:id="rId55" xr:uid="{159E8A9B-0081-4FE5-9BC0-27CDBEB011D4}"/>
    <hyperlink ref="A61" r:id="rId56" xr:uid="{845FFD3B-CBE3-44FC-BF0A-11860BF8F6FE}"/>
    <hyperlink ref="A66" r:id="rId57" xr:uid="{8EB8B9AA-2964-4D3D-B1EC-FA6F500CE583}"/>
    <hyperlink ref="A67" r:id="rId58" xr:uid="{BD6C0B28-FC05-4EF4-B47B-A8325F8F0006}"/>
    <hyperlink ref="A68" r:id="rId59" xr:uid="{320C97DF-03DF-4EF5-BEEC-5168935FF697}"/>
    <hyperlink ref="A71" r:id="rId60" xr:uid="{CAF39E92-8E70-4C79-A006-53C97118FCA2}"/>
    <hyperlink ref="A73" r:id="rId61" xr:uid="{002A35CB-4E2E-46CF-AEA3-E58086B806EE}"/>
    <hyperlink ref="A72" r:id="rId62" xr:uid="{CD85A3F4-3EBA-43FD-922C-2F4099916312}"/>
    <hyperlink ref="A77" r:id="rId63" xr:uid="{CEDAC1E9-3E55-4BF3-A05E-6F28EA81CCCA}"/>
    <hyperlink ref="A78" r:id="rId64" xr:uid="{D1BBA4EE-F55A-430F-9A31-70B0C236BF65}"/>
    <hyperlink ref="A79" r:id="rId65" xr:uid="{D1E4502D-A41B-4A70-BB3B-B7DA017D5E05}"/>
    <hyperlink ref="A81" r:id="rId66" xr:uid="{89A09421-9213-437A-91B2-110FC1A0F636}"/>
    <hyperlink ref="A82" r:id="rId67" xr:uid="{3AEE1869-8660-4047-B613-7DC129E3070B}"/>
    <hyperlink ref="A83" r:id="rId68" xr:uid="{3E45CB63-2BDF-46A0-AAAB-EA8E2BF87F09}"/>
  </hyperlinks>
  <pageMargins left="0.7" right="0.7" top="0.75" bottom="0.75" header="0.3" footer="0.3"/>
  <pageSetup fitToWidth="0" fitToHeight="0" orientation="landscape" r:id="rId69"/>
  <legacyDrawing r:id="rId70"/>
  <tableParts count="1">
    <tablePart r:id="rId71"/>
  </tablePar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24FD5C-D65E-4AC4-833F-A622678145C3}">
  <sheetPr>
    <pageSetUpPr fitToPage="1"/>
  </sheetPr>
  <dimension ref="A1:Z134"/>
  <sheetViews>
    <sheetView topLeftCell="A10" zoomScale="80" zoomScaleNormal="80" workbookViewId="0">
      <pane xSplit="1" topLeftCell="B1" activePane="topRight" state="frozen"/>
      <selection pane="topRight" sqref="A1:X83"/>
    </sheetView>
  </sheetViews>
  <sheetFormatPr defaultRowHeight="26.1" customHeight="1" outlineLevelCol="1"/>
  <cols>
    <col min="1" max="1" width="9" bestFit="1" customWidth="1"/>
    <col min="2" max="2" width="15.5703125" style="57" customWidth="1"/>
    <col min="3" max="3" width="25.42578125" hidden="1" customWidth="1" outlineLevel="1"/>
    <col min="4" max="4" width="16" hidden="1" customWidth="1" outlineLevel="1"/>
    <col min="5" max="5" width="19" hidden="1" customWidth="1" outlineLevel="1"/>
    <col min="6" max="6" width="28.5703125" hidden="1" customWidth="1" outlineLevel="1"/>
    <col min="7" max="7" width="2.42578125" hidden="1" customWidth="1" outlineLevel="1"/>
    <col min="8" max="8" width="15" bestFit="1" customWidth="1" collapsed="1"/>
    <col min="9" max="9" width="24.5703125" bestFit="1" customWidth="1"/>
    <col min="10" max="10" width="20.42578125" customWidth="1"/>
    <col min="11" max="11" width="21" style="1" bestFit="1" customWidth="1"/>
    <col min="12" max="12" width="20.42578125" style="1" bestFit="1" customWidth="1"/>
    <col min="13" max="13" width="22.5703125" style="1" customWidth="1"/>
    <col min="14" max="14" width="20.5703125" style="1" bestFit="1" customWidth="1"/>
    <col min="15" max="16" width="22.42578125" style="1" bestFit="1" customWidth="1"/>
    <col min="17" max="17" width="21.42578125" style="1" customWidth="1"/>
    <col min="18" max="20" width="11" style="1" hidden="1" customWidth="1"/>
    <col min="21" max="21" width="18" style="67" bestFit="1" customWidth="1"/>
    <col min="22" max="22" width="32.42578125" style="67" customWidth="1"/>
    <col min="23" max="23" width="17" style="1" customWidth="1"/>
    <col min="24" max="24" width="50.5703125" style="67" customWidth="1"/>
    <col min="25" max="25" width="255.5703125" style="57" bestFit="1" customWidth="1"/>
  </cols>
  <sheetData>
    <row r="1" spans="1:25" ht="26.1" customHeight="1">
      <c r="A1" s="9" t="s">
        <v>50</v>
      </c>
      <c r="B1" s="12" t="s">
        <v>51</v>
      </c>
      <c r="C1" s="9" t="s">
        <v>52</v>
      </c>
      <c r="D1" s="21" t="s">
        <v>53</v>
      </c>
      <c r="E1" s="9" t="s">
        <v>54</v>
      </c>
      <c r="F1" s="9" t="s">
        <v>55</v>
      </c>
      <c r="G1" s="9" t="s">
        <v>56</v>
      </c>
      <c r="H1" s="9" t="s">
        <v>57</v>
      </c>
      <c r="I1" s="22" t="s">
        <v>58</v>
      </c>
      <c r="J1" s="22" t="s">
        <v>59</v>
      </c>
      <c r="K1" s="23" t="s">
        <v>60</v>
      </c>
      <c r="L1" s="23" t="s">
        <v>61</v>
      </c>
      <c r="M1" s="23" t="s">
        <v>62</v>
      </c>
      <c r="N1" s="23" t="s">
        <v>63</v>
      </c>
      <c r="O1" s="23" t="s">
        <v>64</v>
      </c>
      <c r="P1" s="23" t="s">
        <v>65</v>
      </c>
      <c r="Q1" s="24" t="s">
        <v>6</v>
      </c>
      <c r="R1" s="24" t="s">
        <v>66</v>
      </c>
      <c r="S1" s="24" t="s">
        <v>67</v>
      </c>
      <c r="T1" s="24" t="s">
        <v>68</v>
      </c>
      <c r="U1" s="63" t="s">
        <v>69</v>
      </c>
      <c r="V1" s="63" t="s">
        <v>70</v>
      </c>
      <c r="W1" s="24" t="s">
        <v>71</v>
      </c>
      <c r="X1" s="12" t="s">
        <v>72</v>
      </c>
      <c r="Y1" s="12" t="s">
        <v>73</v>
      </c>
    </row>
    <row r="2" spans="1:25" ht="26.1" customHeight="1">
      <c r="A2" s="25" t="s">
        <v>74</v>
      </c>
      <c r="B2" s="49" t="s">
        <v>75</v>
      </c>
      <c r="C2" s="25" t="s">
        <v>76</v>
      </c>
      <c r="D2" s="25" t="s">
        <v>77</v>
      </c>
      <c r="E2" s="25" t="s">
        <v>78</v>
      </c>
      <c r="F2" s="58" t="s">
        <v>79</v>
      </c>
      <c r="G2" s="25"/>
      <c r="H2" s="25" t="s">
        <v>80</v>
      </c>
      <c r="I2" s="59" t="s">
        <v>81</v>
      </c>
      <c r="J2" s="27" t="str">
        <f>IFERROR(WORKDAY(Table14[[#This Row],[50% IFR - 
AE]],-15), " ")</f>
        <v xml:space="preserve"> </v>
      </c>
      <c r="K2" s="26" t="s">
        <v>82</v>
      </c>
      <c r="L2" s="26"/>
      <c r="M2" s="26" t="s">
        <v>83</v>
      </c>
      <c r="N2" s="26" t="s">
        <v>84</v>
      </c>
      <c r="O2" s="26" t="s">
        <v>83</v>
      </c>
      <c r="P2" s="26" t="s">
        <v>85</v>
      </c>
      <c r="Q2" s="26" t="s">
        <v>86</v>
      </c>
      <c r="R2" s="26"/>
      <c r="S2" s="26"/>
      <c r="T2" s="26"/>
      <c r="U2" s="64"/>
      <c r="V2" s="64"/>
      <c r="W2" s="26"/>
      <c r="X2" s="68" t="s">
        <v>87</v>
      </c>
      <c r="Y2" s="60" t="s">
        <v>88</v>
      </c>
    </row>
    <row r="3" spans="1:25" ht="26.1" customHeight="1">
      <c r="A3" s="25" t="s">
        <v>89</v>
      </c>
      <c r="B3" s="49"/>
      <c r="C3" s="25"/>
      <c r="D3" s="25"/>
      <c r="E3" s="25"/>
      <c r="F3" s="58"/>
      <c r="G3" s="25"/>
      <c r="H3" s="25" t="s">
        <v>80</v>
      </c>
      <c r="I3" s="59"/>
      <c r="J3" s="27" t="s">
        <v>90</v>
      </c>
      <c r="K3" s="26">
        <v>45435</v>
      </c>
      <c r="L3" s="26">
        <v>45436</v>
      </c>
      <c r="M3" s="26"/>
      <c r="N3" s="26">
        <v>45468</v>
      </c>
      <c r="O3" s="26"/>
      <c r="P3" s="26"/>
      <c r="Q3" s="26"/>
      <c r="R3" s="26"/>
      <c r="S3" s="26"/>
      <c r="T3" s="26"/>
      <c r="U3" s="64"/>
      <c r="V3" s="64"/>
      <c r="W3" s="26"/>
      <c r="X3" s="68"/>
      <c r="Y3" s="60"/>
    </row>
    <row r="4" spans="1:25" ht="26.1" customHeight="1">
      <c r="A4" s="25" t="s">
        <v>91</v>
      </c>
      <c r="B4" s="49"/>
      <c r="C4" s="25"/>
      <c r="D4" s="25"/>
      <c r="E4" s="25"/>
      <c r="F4" s="58"/>
      <c r="G4" s="25"/>
      <c r="H4" s="25" t="s">
        <v>80</v>
      </c>
      <c r="I4" s="59"/>
      <c r="J4" s="27" t="str">
        <f>IFERROR(WORKDAY(Table14[[#This Row],[50% IFR - 
AE]],-15), " ")</f>
        <v xml:space="preserve"> </v>
      </c>
      <c r="K4" s="26"/>
      <c r="L4" s="26" t="s">
        <v>92</v>
      </c>
      <c r="M4" s="26"/>
      <c r="N4" s="26" t="s">
        <v>93</v>
      </c>
      <c r="O4" s="26"/>
      <c r="P4" s="26">
        <v>45427</v>
      </c>
      <c r="Q4" s="26"/>
      <c r="R4" s="26"/>
      <c r="S4" s="26"/>
      <c r="T4" s="26"/>
      <c r="U4" s="64"/>
      <c r="V4" s="64" t="s">
        <v>94</v>
      </c>
      <c r="W4" s="26"/>
      <c r="X4" s="68" t="s">
        <v>95</v>
      </c>
      <c r="Y4" s="60"/>
    </row>
    <row r="5" spans="1:25" ht="26.1" customHeight="1">
      <c r="A5" s="25" t="s">
        <v>96</v>
      </c>
      <c r="B5" s="49" t="s">
        <v>97</v>
      </c>
      <c r="C5" s="25" t="s">
        <v>76</v>
      </c>
      <c r="D5" s="25" t="s">
        <v>77</v>
      </c>
      <c r="E5" s="25" t="s">
        <v>98</v>
      </c>
      <c r="F5" s="58" t="s">
        <v>99</v>
      </c>
      <c r="G5" s="25" t="s">
        <v>100</v>
      </c>
      <c r="H5" s="25" t="s">
        <v>80</v>
      </c>
      <c r="I5" s="26">
        <v>44981</v>
      </c>
      <c r="J5" s="26" t="str">
        <f>IFERROR(WORKDAY(Table14[[#This Row],[50% IFR - 
AE]],-15), " ")</f>
        <v xml:space="preserve"> </v>
      </c>
      <c r="K5" s="27" t="s">
        <v>101</v>
      </c>
      <c r="L5" s="27" t="s">
        <v>102</v>
      </c>
      <c r="M5" s="27" t="s">
        <v>103</v>
      </c>
      <c r="N5" s="27" t="s">
        <v>104</v>
      </c>
      <c r="O5" s="26" t="s">
        <v>105</v>
      </c>
      <c r="P5" s="26" t="s">
        <v>106</v>
      </c>
      <c r="Q5" s="26" t="s">
        <v>107</v>
      </c>
      <c r="R5" s="26"/>
      <c r="S5" s="26"/>
      <c r="T5" s="26"/>
      <c r="U5" s="64"/>
      <c r="V5" s="64"/>
      <c r="W5" s="26"/>
      <c r="X5" s="64" t="s">
        <v>108</v>
      </c>
      <c r="Y5" s="49" t="s">
        <v>109</v>
      </c>
    </row>
    <row r="6" spans="1:25" ht="26.1" customHeight="1">
      <c r="A6" s="25" t="s">
        <v>110</v>
      </c>
      <c r="B6" s="49" t="s">
        <v>97</v>
      </c>
      <c r="C6" s="25" t="s">
        <v>76</v>
      </c>
      <c r="D6" s="25" t="s">
        <v>77</v>
      </c>
      <c r="E6" s="25" t="s">
        <v>98</v>
      </c>
      <c r="F6" s="58" t="s">
        <v>99</v>
      </c>
      <c r="G6" s="25" t="s">
        <v>100</v>
      </c>
      <c r="H6" s="25" t="s">
        <v>80</v>
      </c>
      <c r="I6" s="26">
        <v>44988</v>
      </c>
      <c r="J6" s="26" t="str">
        <f>IFERROR(WORKDAY(Table14[[#This Row],[50% IFR - 
AE]],-15), " ")</f>
        <v xml:space="preserve"> </v>
      </c>
      <c r="K6" s="27" t="s">
        <v>111</v>
      </c>
      <c r="L6" s="27" t="s">
        <v>112</v>
      </c>
      <c r="M6" s="27" t="s">
        <v>103</v>
      </c>
      <c r="N6" s="27" t="s">
        <v>104</v>
      </c>
      <c r="O6" s="26" t="s">
        <v>105</v>
      </c>
      <c r="P6" s="26" t="s">
        <v>106</v>
      </c>
      <c r="Q6" s="26" t="s">
        <v>107</v>
      </c>
      <c r="R6" s="26"/>
      <c r="S6" s="26"/>
      <c r="T6" s="26"/>
      <c r="U6" s="64"/>
      <c r="V6" s="64"/>
      <c r="W6" s="26"/>
      <c r="X6" s="64" t="s">
        <v>108</v>
      </c>
      <c r="Y6" s="49" t="s">
        <v>113</v>
      </c>
    </row>
    <row r="7" spans="1:25" ht="26.1" customHeight="1">
      <c r="A7" s="25" t="s">
        <v>114</v>
      </c>
      <c r="B7" s="49" t="s">
        <v>97</v>
      </c>
      <c r="C7" s="25" t="s">
        <v>115</v>
      </c>
      <c r="D7" s="25" t="s">
        <v>77</v>
      </c>
      <c r="E7" s="25" t="s">
        <v>116</v>
      </c>
      <c r="F7" s="58" t="s">
        <v>117</v>
      </c>
      <c r="G7" s="25"/>
      <c r="H7" s="25" t="s">
        <v>118</v>
      </c>
      <c r="I7" s="26">
        <v>44874</v>
      </c>
      <c r="J7" s="26" t="str">
        <f>IFERROR(WORKDAY(Table14[[#This Row],[50% IFR - 
AE]],-15), " ")</f>
        <v xml:space="preserve"> </v>
      </c>
      <c r="K7" s="27" t="s">
        <v>82</v>
      </c>
      <c r="L7" s="27" t="s">
        <v>119</v>
      </c>
      <c r="M7" s="27" t="s">
        <v>82</v>
      </c>
      <c r="N7" s="27"/>
      <c r="O7" s="26"/>
      <c r="P7" s="26" t="s">
        <v>82</v>
      </c>
      <c r="Q7" s="26"/>
      <c r="R7" s="26"/>
      <c r="S7" s="26"/>
      <c r="T7" s="26"/>
      <c r="U7" s="64"/>
      <c r="V7" s="64"/>
      <c r="W7" s="26"/>
      <c r="X7" s="64" t="s">
        <v>120</v>
      </c>
      <c r="Y7" s="49"/>
    </row>
    <row r="8" spans="1:25" ht="26.1" customHeight="1">
      <c r="A8" s="25" t="s">
        <v>121</v>
      </c>
      <c r="B8" s="49"/>
      <c r="C8" s="25"/>
      <c r="D8" s="25"/>
      <c r="E8" s="25"/>
      <c r="F8" s="25"/>
      <c r="G8" s="25"/>
      <c r="H8" s="25" t="s">
        <v>80</v>
      </c>
      <c r="I8" s="25"/>
      <c r="J8" s="26" t="str">
        <f>IFERROR(WORKDAY(Table14[[#This Row],[50% IFR - 
AE]],-15), " ")</f>
        <v xml:space="preserve"> </v>
      </c>
      <c r="K8" s="26" t="s">
        <v>122</v>
      </c>
      <c r="L8" s="26" t="s">
        <v>123</v>
      </c>
      <c r="M8" s="26" t="s">
        <v>83</v>
      </c>
      <c r="N8" s="26" t="s">
        <v>124</v>
      </c>
      <c r="O8" s="26" t="s">
        <v>83</v>
      </c>
      <c r="P8" s="26" t="s">
        <v>125</v>
      </c>
      <c r="Q8" s="26"/>
      <c r="R8" s="26"/>
      <c r="S8" s="26"/>
      <c r="T8" s="26"/>
      <c r="U8" s="64"/>
      <c r="V8" s="64"/>
      <c r="W8" s="26"/>
      <c r="X8" s="64"/>
      <c r="Y8" s="49"/>
    </row>
    <row r="9" spans="1:25" ht="26.1" customHeight="1">
      <c r="A9" s="25" t="s">
        <v>126</v>
      </c>
      <c r="B9" s="49" t="s">
        <v>127</v>
      </c>
      <c r="C9" s="25"/>
      <c r="D9" s="25"/>
      <c r="E9" s="25"/>
      <c r="F9" s="58"/>
      <c r="G9" s="25"/>
      <c r="H9" s="25"/>
      <c r="I9" s="26">
        <v>45065</v>
      </c>
      <c r="J9" s="26" t="str">
        <f>IFERROR(WORKDAY(Table14[[#This Row],[50% IFR - 
AE]],-15), " ")</f>
        <v xml:space="preserve"> </v>
      </c>
      <c r="K9" s="27" t="s">
        <v>128</v>
      </c>
      <c r="L9" s="27"/>
      <c r="M9" s="26"/>
      <c r="N9" s="27"/>
      <c r="O9" s="26"/>
      <c r="P9" s="26"/>
      <c r="Q9" s="26">
        <v>45384</v>
      </c>
      <c r="R9" s="26"/>
      <c r="S9" s="26"/>
      <c r="T9" s="26"/>
      <c r="U9" s="64" t="s">
        <v>83</v>
      </c>
      <c r="V9" s="64"/>
      <c r="W9" s="26"/>
      <c r="X9" s="64"/>
      <c r="Y9" s="49" t="s">
        <v>129</v>
      </c>
    </row>
    <row r="10" spans="1:25" ht="26.1" customHeight="1">
      <c r="A10" s="58" t="s">
        <v>130</v>
      </c>
      <c r="B10" s="49" t="s">
        <v>127</v>
      </c>
      <c r="C10" s="25"/>
      <c r="D10" s="25"/>
      <c r="E10" s="25"/>
      <c r="F10" s="58"/>
      <c r="G10" s="25"/>
      <c r="H10" s="25"/>
      <c r="I10" s="26" t="s">
        <v>131</v>
      </c>
      <c r="J10" s="26" t="str">
        <f>IFERROR(WORKDAY(Table14[[#This Row],[50% IFR - 
AE]],-15), " ")</f>
        <v xml:space="preserve"> </v>
      </c>
      <c r="K10" s="27" t="s">
        <v>128</v>
      </c>
      <c r="L10" s="27"/>
      <c r="M10" s="26"/>
      <c r="N10" s="27"/>
      <c r="O10" s="26"/>
      <c r="P10" s="26" t="s">
        <v>132</v>
      </c>
      <c r="Q10" s="26"/>
      <c r="R10" s="26"/>
      <c r="S10" s="26"/>
      <c r="T10" s="26"/>
      <c r="U10" s="64"/>
      <c r="V10" s="64"/>
      <c r="W10" s="26"/>
      <c r="X10" s="64"/>
      <c r="Y10" s="49" t="s">
        <v>129</v>
      </c>
    </row>
    <row r="11" spans="1:25" ht="26.1" customHeight="1">
      <c r="A11" s="25" t="s">
        <v>133</v>
      </c>
      <c r="B11" s="49" t="s">
        <v>127</v>
      </c>
      <c r="C11" s="25"/>
      <c r="D11" s="25"/>
      <c r="E11" s="25"/>
      <c r="F11" s="58"/>
      <c r="G11" s="25"/>
      <c r="H11" s="25" t="s">
        <v>80</v>
      </c>
      <c r="I11" s="26"/>
      <c r="J11" s="26" t="str">
        <f>IFERROR(WORKDAY(Table14[[#This Row],[50% IFR - 
AE]],-15), " ")</f>
        <v xml:space="preserve"> </v>
      </c>
      <c r="K11" s="26"/>
      <c r="L11" s="27"/>
      <c r="M11" s="26"/>
      <c r="N11" s="27"/>
      <c r="O11" s="26"/>
      <c r="P11" s="26" t="s">
        <v>134</v>
      </c>
      <c r="Q11" s="26" t="s">
        <v>135</v>
      </c>
      <c r="R11" s="26"/>
      <c r="S11" s="26"/>
      <c r="T11" s="26"/>
      <c r="U11" s="64"/>
      <c r="V11" s="64"/>
      <c r="W11" s="26"/>
      <c r="X11" s="64"/>
      <c r="Y11" s="49" t="s">
        <v>136</v>
      </c>
    </row>
    <row r="12" spans="1:25" ht="26.1" customHeight="1">
      <c r="A12" s="25" t="s">
        <v>137</v>
      </c>
      <c r="B12" s="49" t="s">
        <v>138</v>
      </c>
      <c r="C12" s="25" t="s">
        <v>139</v>
      </c>
      <c r="D12" s="25" t="s">
        <v>77</v>
      </c>
      <c r="E12" s="25" t="s">
        <v>140</v>
      </c>
      <c r="F12" s="58" t="s">
        <v>141</v>
      </c>
      <c r="G12" s="25" t="s">
        <v>100</v>
      </c>
      <c r="H12" s="25" t="s">
        <v>80</v>
      </c>
      <c r="I12" s="26">
        <v>44957</v>
      </c>
      <c r="J12" s="26" t="str">
        <f>IFERROR(WORKDAY(Table14[[#This Row],[50% IFR - 
AE]],-15), " ")</f>
        <v xml:space="preserve"> </v>
      </c>
      <c r="K12" s="27" t="s">
        <v>142</v>
      </c>
      <c r="L12" s="27" t="s">
        <v>142</v>
      </c>
      <c r="M12" s="27" t="s">
        <v>143</v>
      </c>
      <c r="N12" s="27" t="s">
        <v>144</v>
      </c>
      <c r="O12" s="26" t="s">
        <v>145</v>
      </c>
      <c r="P12" s="26" t="s">
        <v>146</v>
      </c>
      <c r="Q12" s="26"/>
      <c r="R12" s="26"/>
      <c r="S12" s="26"/>
      <c r="T12" s="26"/>
      <c r="U12" s="64"/>
      <c r="V12" s="64"/>
      <c r="W12" s="26"/>
      <c r="X12" s="64" t="s">
        <v>147</v>
      </c>
      <c r="Y12" s="49" t="s">
        <v>148</v>
      </c>
    </row>
    <row r="13" spans="1:25" ht="26.1" customHeight="1">
      <c r="A13" s="58" t="s">
        <v>149</v>
      </c>
      <c r="B13" s="49" t="s">
        <v>138</v>
      </c>
      <c r="C13" s="25" t="s">
        <v>150</v>
      </c>
      <c r="D13" s="25" t="s">
        <v>77</v>
      </c>
      <c r="E13" s="25" t="s">
        <v>151</v>
      </c>
      <c r="F13" s="58" t="s">
        <v>152</v>
      </c>
      <c r="G13" s="25"/>
      <c r="H13" s="25" t="s">
        <v>80</v>
      </c>
      <c r="I13" s="26" t="s">
        <v>131</v>
      </c>
      <c r="J13" s="26" t="str">
        <f>IFERROR(WORKDAY(Table14[[#This Row],[50% IFR - 
AE]],-15), " ")</f>
        <v xml:space="preserve"> </v>
      </c>
      <c r="K13" s="26" t="s">
        <v>153</v>
      </c>
      <c r="L13" s="27" t="s">
        <v>154</v>
      </c>
      <c r="M13" s="26" t="s">
        <v>155</v>
      </c>
      <c r="N13" s="27" t="s">
        <v>156</v>
      </c>
      <c r="O13" s="26" t="s">
        <v>145</v>
      </c>
      <c r="P13" s="26" t="s">
        <v>146</v>
      </c>
      <c r="Q13" s="26"/>
      <c r="R13" s="26"/>
      <c r="S13" s="26"/>
      <c r="T13" s="26"/>
      <c r="U13" s="64"/>
      <c r="V13" s="64"/>
      <c r="W13" s="26"/>
      <c r="X13" s="64" t="s">
        <v>157</v>
      </c>
      <c r="Y13" s="49" t="s">
        <v>158</v>
      </c>
    </row>
    <row r="14" spans="1:25" ht="26.1" customHeight="1">
      <c r="A14" s="25" t="s">
        <v>159</v>
      </c>
      <c r="B14" s="49"/>
      <c r="C14" s="25" t="s">
        <v>139</v>
      </c>
      <c r="D14" s="25" t="s">
        <v>77</v>
      </c>
      <c r="E14" s="25" t="s">
        <v>140</v>
      </c>
      <c r="F14" s="58" t="s">
        <v>141</v>
      </c>
      <c r="G14" s="25" t="s">
        <v>100</v>
      </c>
      <c r="H14" s="25" t="s">
        <v>160</v>
      </c>
      <c r="I14" s="26"/>
      <c r="J14" s="26" t="str">
        <f>IFERROR(WORKDAY(Table14[[#This Row],[50% IFR - 
AE]],-15), " ")</f>
        <v xml:space="preserve"> </v>
      </c>
      <c r="K14" s="26"/>
      <c r="L14" s="26"/>
      <c r="M14" s="26"/>
      <c r="N14" s="26"/>
      <c r="O14" s="26"/>
      <c r="P14" s="26"/>
      <c r="Q14" s="26"/>
      <c r="R14" s="26"/>
      <c r="S14" s="26"/>
      <c r="T14" s="26"/>
      <c r="U14" s="64"/>
      <c r="V14" s="64"/>
      <c r="W14" s="26"/>
      <c r="X14" s="64"/>
      <c r="Y14" s="49"/>
    </row>
    <row r="15" spans="1:25" ht="26.1" customHeight="1">
      <c r="A15" s="58" t="s">
        <v>161</v>
      </c>
      <c r="B15" s="49"/>
      <c r="C15" s="25" t="s">
        <v>139</v>
      </c>
      <c r="D15" s="25" t="s">
        <v>77</v>
      </c>
      <c r="E15" s="25" t="s">
        <v>140</v>
      </c>
      <c r="F15" s="58" t="s">
        <v>141</v>
      </c>
      <c r="G15" s="25" t="s">
        <v>100</v>
      </c>
      <c r="H15" s="25" t="s">
        <v>160</v>
      </c>
      <c r="I15" s="26" t="s">
        <v>131</v>
      </c>
      <c r="J15" s="26" t="str">
        <f>IFERROR(WORKDAY(Table14[[#This Row],[50% IFR - 
AE]],-15), " ")</f>
        <v xml:space="preserve"> </v>
      </c>
      <c r="K15" s="26">
        <v>45240</v>
      </c>
      <c r="L15" s="26" t="s">
        <v>162</v>
      </c>
      <c r="M15" s="26">
        <v>45280</v>
      </c>
      <c r="N15" s="26" t="s">
        <v>163</v>
      </c>
      <c r="O15" s="26"/>
      <c r="P15" s="26" t="s">
        <v>164</v>
      </c>
      <c r="Q15" s="26"/>
      <c r="R15" s="26"/>
      <c r="S15" s="26"/>
      <c r="T15" s="26"/>
      <c r="U15" s="64"/>
      <c r="V15" s="64"/>
      <c r="W15" s="26"/>
      <c r="X15" s="64"/>
      <c r="Y15" s="49" t="s">
        <v>165</v>
      </c>
    </row>
    <row r="16" spans="1:25" ht="26.1" customHeight="1">
      <c r="A16" s="25" t="s">
        <v>166</v>
      </c>
      <c r="B16" s="49" t="s">
        <v>167</v>
      </c>
      <c r="C16" s="25" t="s">
        <v>168</v>
      </c>
      <c r="D16" s="25" t="s">
        <v>77</v>
      </c>
      <c r="E16" s="25" t="s">
        <v>169</v>
      </c>
      <c r="F16" s="58" t="s">
        <v>170</v>
      </c>
      <c r="G16" s="25"/>
      <c r="H16" s="25" t="s">
        <v>118</v>
      </c>
      <c r="I16" s="26"/>
      <c r="J16" s="26" t="str">
        <f>IFERROR(WORKDAY(Table14[[#This Row],[50% IFR - 
AE]],-15), " ")</f>
        <v xml:space="preserve"> </v>
      </c>
      <c r="K16" s="26"/>
      <c r="L16" s="27"/>
      <c r="M16" s="26"/>
      <c r="N16" s="27"/>
      <c r="O16" s="26"/>
      <c r="P16" s="26"/>
      <c r="Q16" s="26">
        <v>45215</v>
      </c>
      <c r="R16" s="26"/>
      <c r="S16" s="26"/>
      <c r="T16" s="26"/>
      <c r="U16" s="64"/>
      <c r="V16" s="64"/>
      <c r="W16" s="26"/>
      <c r="X16" s="64"/>
      <c r="Y16" s="49"/>
    </row>
    <row r="17" spans="1:26" ht="26.1" customHeight="1">
      <c r="A17" s="58" t="s">
        <v>171</v>
      </c>
      <c r="B17" s="49" t="s">
        <v>167</v>
      </c>
      <c r="C17" s="25" t="s">
        <v>168</v>
      </c>
      <c r="D17" s="25" t="s">
        <v>77</v>
      </c>
      <c r="E17" s="25" t="s">
        <v>169</v>
      </c>
      <c r="F17" s="58" t="s">
        <v>170</v>
      </c>
      <c r="G17" s="25"/>
      <c r="H17" s="25" t="s">
        <v>118</v>
      </c>
      <c r="I17" s="26" t="s">
        <v>131</v>
      </c>
      <c r="J17" s="26" t="str">
        <f>IFERROR(WORKDAY(Table14[[#This Row],[50% IFR - 
AE]],-15), " ")</f>
        <v xml:space="preserve"> </v>
      </c>
      <c r="K17" s="27" t="s">
        <v>172</v>
      </c>
      <c r="L17" s="27" t="s">
        <v>173</v>
      </c>
      <c r="M17" s="26"/>
      <c r="N17" s="27"/>
      <c r="O17" s="26"/>
      <c r="P17" s="26"/>
      <c r="Q17" s="26"/>
      <c r="R17" s="26"/>
      <c r="S17" s="26"/>
      <c r="T17" s="26"/>
      <c r="U17" s="64"/>
      <c r="V17" s="64"/>
      <c r="W17" s="26"/>
      <c r="X17" s="64" t="s">
        <v>174</v>
      </c>
      <c r="Y17" s="49" t="s">
        <v>175</v>
      </c>
    </row>
    <row r="18" spans="1:26" ht="26.1" customHeight="1">
      <c r="A18" s="25" t="s">
        <v>176</v>
      </c>
      <c r="B18" s="49"/>
      <c r="C18" s="25"/>
      <c r="D18" s="25"/>
      <c r="E18" s="25"/>
      <c r="F18" s="58"/>
      <c r="G18" s="25"/>
      <c r="H18" s="25"/>
      <c r="I18" s="26"/>
      <c r="J18" s="26" t="str">
        <f>IFERROR(WORKDAY(Table14[[#This Row],[50% IFR - 
AE]],-15), " ")</f>
        <v xml:space="preserve"> </v>
      </c>
      <c r="K18" s="27"/>
      <c r="L18" s="27" t="s">
        <v>177</v>
      </c>
      <c r="M18" s="26"/>
      <c r="N18" s="27"/>
      <c r="O18" s="26"/>
      <c r="P18" s="26"/>
      <c r="Q18" s="26"/>
      <c r="R18" s="26"/>
      <c r="S18" s="26"/>
      <c r="T18" s="26"/>
      <c r="U18" s="64"/>
      <c r="V18" s="64"/>
      <c r="W18" s="26"/>
      <c r="X18" s="64"/>
      <c r="Y18" s="49"/>
    </row>
    <row r="19" spans="1:26" ht="26.1" customHeight="1">
      <c r="A19" s="58" t="s">
        <v>178</v>
      </c>
      <c r="B19" s="49" t="s">
        <v>167</v>
      </c>
      <c r="C19" s="25" t="s">
        <v>168</v>
      </c>
      <c r="D19" s="25" t="s">
        <v>77</v>
      </c>
      <c r="E19" s="25" t="s">
        <v>169</v>
      </c>
      <c r="F19" s="58" t="s">
        <v>170</v>
      </c>
      <c r="G19" s="25"/>
      <c r="H19" s="25" t="s">
        <v>118</v>
      </c>
      <c r="I19" s="26" t="s">
        <v>131</v>
      </c>
      <c r="J19" s="26" t="str">
        <f>IFERROR(WORKDAY(Table14[[#This Row],[50% IFR - 
AE]],-15), " ")</f>
        <v xml:space="preserve"> </v>
      </c>
      <c r="K19" s="26" t="s">
        <v>82</v>
      </c>
      <c r="L19" s="27"/>
      <c r="M19" s="26"/>
      <c r="N19" s="27"/>
      <c r="O19" s="26"/>
      <c r="P19" s="26"/>
      <c r="Q19" s="26"/>
      <c r="R19" s="26"/>
      <c r="S19" s="26"/>
      <c r="T19" s="26"/>
      <c r="U19" s="64"/>
      <c r="V19" s="64"/>
      <c r="W19" s="26"/>
      <c r="X19" s="64"/>
      <c r="Y19" s="49"/>
    </row>
    <row r="20" spans="1:26" ht="26.1" customHeight="1">
      <c r="A20" s="25" t="s">
        <v>179</v>
      </c>
      <c r="B20" s="49" t="s">
        <v>180</v>
      </c>
      <c r="C20" s="25" t="s">
        <v>181</v>
      </c>
      <c r="D20" s="25" t="s">
        <v>77</v>
      </c>
      <c r="E20" s="25" t="s">
        <v>182</v>
      </c>
      <c r="F20" s="58" t="s">
        <v>183</v>
      </c>
      <c r="G20" s="25"/>
      <c r="H20" s="25" t="s">
        <v>118</v>
      </c>
      <c r="I20" s="26"/>
      <c r="J20" s="26" t="str">
        <f>IFERROR(WORKDAY(Table14[[#This Row],[50% IFR - 
AE]],-15), " ")</f>
        <v xml:space="preserve"> </v>
      </c>
      <c r="K20" s="26"/>
      <c r="L20" s="27"/>
      <c r="M20" s="26" t="s">
        <v>82</v>
      </c>
      <c r="N20" s="27" t="s">
        <v>184</v>
      </c>
      <c r="O20" s="26" t="s">
        <v>185</v>
      </c>
      <c r="P20" s="26" t="s">
        <v>185</v>
      </c>
      <c r="Q20" s="26"/>
      <c r="R20" s="26"/>
      <c r="S20" s="26"/>
      <c r="T20" s="26"/>
      <c r="U20" s="64"/>
      <c r="V20" s="64"/>
      <c r="W20" s="26"/>
      <c r="X20" s="64" t="s">
        <v>186</v>
      </c>
      <c r="Y20" s="49" t="s">
        <v>187</v>
      </c>
      <c r="Z20" s="8"/>
    </row>
    <row r="21" spans="1:26" ht="26.1" customHeight="1">
      <c r="A21" s="25" t="s">
        <v>188</v>
      </c>
      <c r="B21" s="49"/>
      <c r="C21" s="25"/>
      <c r="D21" s="25"/>
      <c r="E21" s="25"/>
      <c r="F21" s="58"/>
      <c r="G21" s="25"/>
      <c r="H21" s="25"/>
      <c r="I21" s="26"/>
      <c r="J21" s="26" t="str">
        <f>IFERROR(WORKDAY(Table14[[#This Row],[50% IFR - 
AE]],-15), " ")</f>
        <v xml:space="preserve"> </v>
      </c>
      <c r="K21" s="26"/>
      <c r="L21" s="27"/>
      <c r="M21" s="26"/>
      <c r="N21" s="27"/>
      <c r="O21" s="26"/>
      <c r="P21" s="26"/>
      <c r="Q21" s="26" t="s">
        <v>189</v>
      </c>
      <c r="R21" s="26"/>
      <c r="S21" s="26"/>
      <c r="T21" s="26"/>
      <c r="U21" s="64"/>
      <c r="V21" s="64"/>
      <c r="W21" s="26"/>
      <c r="X21" s="64"/>
      <c r="Y21" s="49"/>
      <c r="Z21" s="8"/>
    </row>
    <row r="22" spans="1:26" ht="26.1" customHeight="1">
      <c r="A22" s="25" t="s">
        <v>190</v>
      </c>
      <c r="B22" s="49" t="s">
        <v>191</v>
      </c>
      <c r="C22" s="25" t="s">
        <v>192</v>
      </c>
      <c r="D22" s="25" t="s">
        <v>77</v>
      </c>
      <c r="E22" s="25" t="s">
        <v>193</v>
      </c>
      <c r="F22" s="58" t="s">
        <v>194</v>
      </c>
      <c r="G22" s="25"/>
      <c r="H22" s="25" t="s">
        <v>118</v>
      </c>
      <c r="I22" s="26"/>
      <c r="J22" s="26" t="str">
        <f>IFERROR(WORKDAY(Table14[[#This Row],[50% IFR - 
AE]],-15), " ")</f>
        <v xml:space="preserve"> </v>
      </c>
      <c r="K22" s="26"/>
      <c r="L22" s="26"/>
      <c r="M22" s="26"/>
      <c r="N22" s="27"/>
      <c r="O22" s="26"/>
      <c r="P22" s="26"/>
      <c r="Q22" s="26"/>
      <c r="R22" s="26"/>
      <c r="S22" s="26"/>
      <c r="T22" s="26"/>
      <c r="U22" s="64"/>
      <c r="V22" s="64"/>
      <c r="W22" s="26"/>
      <c r="X22" s="64" t="s">
        <v>195</v>
      </c>
      <c r="Y22" s="49"/>
      <c r="Z22" s="8"/>
    </row>
    <row r="23" spans="1:26" ht="26.1" customHeight="1">
      <c r="A23" s="25" t="s">
        <v>196</v>
      </c>
      <c r="B23" s="49" t="s">
        <v>191</v>
      </c>
      <c r="C23" s="25" t="s">
        <v>192</v>
      </c>
      <c r="D23" s="25" t="s">
        <v>77</v>
      </c>
      <c r="E23" s="25" t="s">
        <v>193</v>
      </c>
      <c r="F23" s="58" t="s">
        <v>194</v>
      </c>
      <c r="G23" s="25"/>
      <c r="H23" s="25" t="s">
        <v>118</v>
      </c>
      <c r="I23" s="26"/>
      <c r="J23" s="26" t="str">
        <f>IFERROR(WORKDAY(Table14[[#This Row],[50% IFR - 
AE]],-15), " ")</f>
        <v xml:space="preserve"> </v>
      </c>
      <c r="K23" s="26"/>
      <c r="L23" s="26"/>
      <c r="M23" s="26"/>
      <c r="N23" s="27"/>
      <c r="O23" s="26"/>
      <c r="P23" s="26"/>
      <c r="Q23" s="26"/>
      <c r="R23" s="26"/>
      <c r="S23" s="26"/>
      <c r="T23" s="26"/>
      <c r="U23" s="64"/>
      <c r="V23" s="64"/>
      <c r="W23" s="26"/>
      <c r="X23" s="64" t="s">
        <v>195</v>
      </c>
      <c r="Y23" s="49"/>
      <c r="Z23" s="8"/>
    </row>
    <row r="24" spans="1:26" ht="26.1" customHeight="1">
      <c r="A24" s="25" t="s">
        <v>197</v>
      </c>
      <c r="B24" s="49" t="s">
        <v>191</v>
      </c>
      <c r="C24" s="25" t="s">
        <v>192</v>
      </c>
      <c r="D24" s="25" t="s">
        <v>77</v>
      </c>
      <c r="E24" s="25" t="s">
        <v>193</v>
      </c>
      <c r="F24" s="58" t="s">
        <v>194</v>
      </c>
      <c r="G24" s="25"/>
      <c r="H24" s="25" t="s">
        <v>118</v>
      </c>
      <c r="I24" s="26"/>
      <c r="J24" s="26" t="str">
        <f>IFERROR(WORKDAY(Table14[[#This Row],[50% IFR - 
AE]],-15), " ")</f>
        <v xml:space="preserve"> </v>
      </c>
      <c r="K24" s="26"/>
      <c r="L24" s="26"/>
      <c r="M24" s="26"/>
      <c r="N24" s="27"/>
      <c r="O24" s="26"/>
      <c r="P24" s="26"/>
      <c r="Q24" s="26"/>
      <c r="R24" s="26"/>
      <c r="S24" s="26"/>
      <c r="T24" s="26"/>
      <c r="U24" s="64"/>
      <c r="V24" s="64"/>
      <c r="W24" s="26"/>
      <c r="X24" s="64" t="s">
        <v>198</v>
      </c>
      <c r="Y24" s="49"/>
      <c r="Z24" s="8"/>
    </row>
    <row r="25" spans="1:26" ht="26.1" customHeight="1">
      <c r="A25" s="25" t="s">
        <v>199</v>
      </c>
      <c r="B25" s="49" t="s">
        <v>191</v>
      </c>
      <c r="C25" s="25" t="s">
        <v>192</v>
      </c>
      <c r="D25" s="25" t="s">
        <v>77</v>
      </c>
      <c r="E25" s="25" t="s">
        <v>193</v>
      </c>
      <c r="F25" s="58" t="s">
        <v>194</v>
      </c>
      <c r="G25" s="25"/>
      <c r="H25" s="25" t="s">
        <v>118</v>
      </c>
      <c r="I25" s="26"/>
      <c r="J25" s="26" t="str">
        <f>IFERROR(WORKDAY(Table14[[#This Row],[50% IFR - 
AE]],-15), " ")</f>
        <v xml:space="preserve"> </v>
      </c>
      <c r="K25" s="26"/>
      <c r="L25" s="26"/>
      <c r="M25" s="26"/>
      <c r="N25" s="27"/>
      <c r="O25" s="26"/>
      <c r="P25" s="26"/>
      <c r="Q25" s="26" t="s">
        <v>200</v>
      </c>
      <c r="R25" s="26"/>
      <c r="S25" s="26"/>
      <c r="T25" s="26"/>
      <c r="U25" s="64"/>
      <c r="V25" s="64"/>
      <c r="W25" s="26"/>
      <c r="X25" s="64" t="s">
        <v>195</v>
      </c>
      <c r="Y25" s="49"/>
      <c r="Z25" s="8"/>
    </row>
    <row r="26" spans="1:26" ht="26.1" customHeight="1">
      <c r="A26" s="25" t="s">
        <v>201</v>
      </c>
      <c r="B26" s="49" t="s">
        <v>191</v>
      </c>
      <c r="C26" s="25" t="s">
        <v>192</v>
      </c>
      <c r="D26" s="25" t="s">
        <v>77</v>
      </c>
      <c r="E26" s="25" t="s">
        <v>193</v>
      </c>
      <c r="F26" s="58" t="s">
        <v>194</v>
      </c>
      <c r="G26" s="25"/>
      <c r="H26" s="25" t="s">
        <v>118</v>
      </c>
      <c r="I26" s="26"/>
      <c r="J26" s="26" t="str">
        <f>IFERROR(WORKDAY(Table14[[#This Row],[50% IFR - 
AE]],-15), " ")</f>
        <v xml:space="preserve"> </v>
      </c>
      <c r="K26" s="26"/>
      <c r="L26" s="26"/>
      <c r="M26" s="26"/>
      <c r="N26" s="27"/>
      <c r="O26" s="26"/>
      <c r="P26" s="26"/>
      <c r="Q26" s="26"/>
      <c r="R26" s="26"/>
      <c r="S26" s="26"/>
      <c r="T26" s="26"/>
      <c r="U26" s="64"/>
      <c r="V26" s="64"/>
      <c r="W26" s="26"/>
      <c r="X26" s="64" t="s">
        <v>195</v>
      </c>
      <c r="Y26" s="49"/>
      <c r="Z26" s="8"/>
    </row>
    <row r="27" spans="1:26" ht="26.1" customHeight="1">
      <c r="A27" s="25" t="s">
        <v>202</v>
      </c>
      <c r="B27" s="49" t="s">
        <v>203</v>
      </c>
      <c r="C27" s="25" t="s">
        <v>204</v>
      </c>
      <c r="D27" s="25" t="s">
        <v>77</v>
      </c>
      <c r="E27" s="25" t="s">
        <v>205</v>
      </c>
      <c r="F27" s="58" t="s">
        <v>206</v>
      </c>
      <c r="G27" s="25"/>
      <c r="H27" s="25" t="s">
        <v>118</v>
      </c>
      <c r="I27" s="26"/>
      <c r="J27" s="26" t="str">
        <f>IFERROR(WORKDAY(Table14[[#This Row],[50% IFR - 
AE]],-15), " ")</f>
        <v xml:space="preserve"> </v>
      </c>
      <c r="K27" s="27" t="s">
        <v>82</v>
      </c>
      <c r="L27" s="27" t="s">
        <v>207</v>
      </c>
      <c r="M27" s="27" t="s">
        <v>82</v>
      </c>
      <c r="N27" s="27" t="s">
        <v>208</v>
      </c>
      <c r="O27" s="27" t="s">
        <v>209</v>
      </c>
      <c r="P27" s="26" t="s">
        <v>210</v>
      </c>
      <c r="Q27" s="26" t="s">
        <v>211</v>
      </c>
      <c r="R27" s="26"/>
      <c r="S27" s="26"/>
      <c r="T27" s="26"/>
      <c r="U27" s="64"/>
      <c r="V27" s="64"/>
      <c r="W27" s="26"/>
      <c r="X27" s="64"/>
      <c r="Y27" s="49" t="s">
        <v>212</v>
      </c>
    </row>
    <row r="28" spans="1:26" ht="26.1" customHeight="1">
      <c r="A28" s="25" t="s">
        <v>213</v>
      </c>
      <c r="B28" s="49" t="s">
        <v>203</v>
      </c>
      <c r="C28" s="25" t="s">
        <v>204</v>
      </c>
      <c r="D28" s="25" t="s">
        <v>214</v>
      </c>
      <c r="E28" s="25" t="s">
        <v>205</v>
      </c>
      <c r="F28" s="58" t="s">
        <v>206</v>
      </c>
      <c r="G28" s="25"/>
      <c r="H28" s="25" t="s">
        <v>80</v>
      </c>
      <c r="I28" s="26">
        <v>45033</v>
      </c>
      <c r="J28" s="26" t="str">
        <f>IFERROR(WORKDAY(Table14[[#This Row],[50% IFR - 
AE]],-15), " ")</f>
        <v xml:space="preserve"> </v>
      </c>
      <c r="K28" s="27" t="s">
        <v>215</v>
      </c>
      <c r="L28" s="27" t="s">
        <v>216</v>
      </c>
      <c r="M28" s="27" t="s">
        <v>217</v>
      </c>
      <c r="N28" s="27" t="s">
        <v>218</v>
      </c>
      <c r="O28" s="27" t="s">
        <v>185</v>
      </c>
      <c r="P28" s="26" t="s">
        <v>219</v>
      </c>
      <c r="Q28" s="26" t="s">
        <v>220</v>
      </c>
      <c r="R28" s="26"/>
      <c r="S28" s="26"/>
      <c r="T28" s="26"/>
      <c r="U28" s="64"/>
      <c r="V28" s="64"/>
      <c r="W28" s="26"/>
      <c r="X28" s="64" t="s">
        <v>221</v>
      </c>
      <c r="Y28" s="49" t="s">
        <v>222</v>
      </c>
    </row>
    <row r="29" spans="1:26" ht="26.1" customHeight="1">
      <c r="A29" s="25" t="s">
        <v>223</v>
      </c>
      <c r="B29" s="49"/>
      <c r="C29" s="25"/>
      <c r="D29" s="25"/>
      <c r="E29" s="25"/>
      <c r="F29" s="58"/>
      <c r="G29" s="25"/>
      <c r="H29" s="25" t="s">
        <v>80</v>
      </c>
      <c r="I29" s="26"/>
      <c r="J29" s="26" t="str">
        <f>IFERROR(WORKDAY(Table14[[#This Row],[50% IFR - 
AE]],-15), " ")</f>
        <v xml:space="preserve"> </v>
      </c>
      <c r="K29" s="26" t="s">
        <v>224</v>
      </c>
      <c r="L29" s="26" t="s">
        <v>225</v>
      </c>
      <c r="M29" s="26"/>
      <c r="N29" s="26" t="s">
        <v>123</v>
      </c>
      <c r="O29" s="26"/>
      <c r="P29" s="26" t="s">
        <v>226</v>
      </c>
      <c r="Q29" s="26"/>
      <c r="R29" s="26"/>
      <c r="S29" s="26"/>
      <c r="T29" s="26"/>
      <c r="U29" s="64"/>
      <c r="V29" s="64"/>
      <c r="W29" s="26"/>
      <c r="X29" s="64"/>
      <c r="Y29" s="49"/>
      <c r="Z29" s="8"/>
    </row>
    <row r="30" spans="1:26" ht="26.1" customHeight="1">
      <c r="A30" s="25" t="s">
        <v>227</v>
      </c>
      <c r="B30" s="49"/>
      <c r="C30" s="25"/>
      <c r="D30" s="25"/>
      <c r="E30" s="25"/>
      <c r="F30" s="58"/>
      <c r="G30" s="25"/>
      <c r="H30" s="25" t="s">
        <v>80</v>
      </c>
      <c r="I30" s="26" t="s">
        <v>228</v>
      </c>
      <c r="J30" s="26" t="str">
        <f>IFERROR(WORKDAY(Table14[[#This Row],[50% IFR - 
AE]],-15), " ")</f>
        <v xml:space="preserve"> </v>
      </c>
      <c r="K30" s="26"/>
      <c r="L30" s="26"/>
      <c r="M30" s="26"/>
      <c r="N30" s="26" t="s">
        <v>123</v>
      </c>
      <c r="O30" s="26"/>
      <c r="P30" s="26" t="s">
        <v>226</v>
      </c>
      <c r="Q30" s="26"/>
      <c r="R30" s="26"/>
      <c r="S30" s="26"/>
      <c r="T30" s="26"/>
      <c r="U30" s="64"/>
      <c r="V30" s="64"/>
      <c r="W30" s="26"/>
      <c r="X30" s="64"/>
      <c r="Y30" s="49"/>
      <c r="Z30" s="8"/>
    </row>
    <row r="31" spans="1:26" ht="51.75" customHeight="1">
      <c r="A31" s="25" t="s">
        <v>229</v>
      </c>
      <c r="B31" s="49" t="s">
        <v>203</v>
      </c>
      <c r="C31" s="25" t="s">
        <v>204</v>
      </c>
      <c r="D31" s="25" t="s">
        <v>77</v>
      </c>
      <c r="E31" s="25" t="s">
        <v>205</v>
      </c>
      <c r="F31" s="58" t="s">
        <v>206</v>
      </c>
      <c r="G31" s="25"/>
      <c r="H31" s="25" t="s">
        <v>80</v>
      </c>
      <c r="I31" s="26"/>
      <c r="J31" s="26" t="str">
        <f>IFERROR(WORKDAY(Table14[[#This Row],[50% IFR - 
AE]],-15), " ")</f>
        <v xml:space="preserve"> </v>
      </c>
      <c r="K31" s="27" t="s">
        <v>230</v>
      </c>
      <c r="L31" s="27" t="s">
        <v>231</v>
      </c>
      <c r="M31" s="61" t="s">
        <v>112</v>
      </c>
      <c r="N31" s="27" t="s">
        <v>232</v>
      </c>
      <c r="O31" s="27" t="s">
        <v>185</v>
      </c>
      <c r="P31" s="26" t="s">
        <v>233</v>
      </c>
      <c r="Q31" s="26" t="s">
        <v>234</v>
      </c>
      <c r="R31" s="26"/>
      <c r="S31" s="26"/>
      <c r="T31" s="26"/>
      <c r="U31" s="64"/>
      <c r="V31" s="64"/>
      <c r="W31" s="26"/>
      <c r="X31" s="68" t="s">
        <v>235</v>
      </c>
      <c r="Y31" s="49" t="s">
        <v>236</v>
      </c>
    </row>
    <row r="32" spans="1:26" ht="26.1" customHeight="1">
      <c r="A32" s="58" t="s">
        <v>237</v>
      </c>
      <c r="B32" s="49" t="s">
        <v>203</v>
      </c>
      <c r="C32" s="25" t="s">
        <v>204</v>
      </c>
      <c r="D32" s="25" t="s">
        <v>77</v>
      </c>
      <c r="E32" s="25" t="s">
        <v>205</v>
      </c>
      <c r="F32" s="58" t="s">
        <v>206</v>
      </c>
      <c r="G32" s="25"/>
      <c r="H32" s="25" t="s">
        <v>80</v>
      </c>
      <c r="I32" s="26" t="s">
        <v>131</v>
      </c>
      <c r="J32" s="26" t="str">
        <f>IFERROR(WORKDAY(Table14[[#This Row],[50% IFR - 
AE]],-15), " ")</f>
        <v xml:space="preserve"> </v>
      </c>
      <c r="K32" s="26" t="s">
        <v>238</v>
      </c>
      <c r="L32" s="26" t="s">
        <v>239</v>
      </c>
      <c r="M32" s="26" t="s">
        <v>240</v>
      </c>
      <c r="N32" s="27" t="s">
        <v>241</v>
      </c>
      <c r="O32" s="26" t="s">
        <v>225</v>
      </c>
      <c r="P32" s="26" t="s">
        <v>242</v>
      </c>
      <c r="Q32" s="26" t="s">
        <v>243</v>
      </c>
      <c r="R32" s="26"/>
      <c r="S32" s="26"/>
      <c r="T32" s="26"/>
      <c r="U32" s="64"/>
      <c r="V32" s="64"/>
      <c r="W32" s="26"/>
      <c r="X32" s="64"/>
      <c r="Y32" s="49" t="s">
        <v>244</v>
      </c>
    </row>
    <row r="33" spans="1:25" ht="26.1" customHeight="1">
      <c r="A33" s="58" t="s">
        <v>245</v>
      </c>
      <c r="B33" s="49" t="s">
        <v>203</v>
      </c>
      <c r="C33" s="25"/>
      <c r="D33" s="25"/>
      <c r="E33" s="25"/>
      <c r="F33" s="58"/>
      <c r="G33" s="25"/>
      <c r="H33" s="25" t="s">
        <v>80</v>
      </c>
      <c r="I33" s="26" t="s">
        <v>131</v>
      </c>
      <c r="J33" s="26" t="str">
        <f>IFERROR(WORKDAY(Table14[[#This Row],[50% IFR - 
AE]],-15), " ")</f>
        <v xml:space="preserve"> </v>
      </c>
      <c r="K33" s="26" t="s">
        <v>246</v>
      </c>
      <c r="L33" s="26" t="s">
        <v>247</v>
      </c>
      <c r="M33" s="26" t="s">
        <v>248</v>
      </c>
      <c r="N33" s="26" t="s">
        <v>249</v>
      </c>
      <c r="O33" s="26"/>
      <c r="P33" s="26" t="s">
        <v>250</v>
      </c>
      <c r="Q33" s="26">
        <v>45427</v>
      </c>
      <c r="R33" s="26"/>
      <c r="S33" s="26"/>
      <c r="T33" s="26"/>
      <c r="U33" s="64"/>
      <c r="V33" s="64"/>
      <c r="W33" s="26"/>
      <c r="X33" s="64" t="s">
        <v>251</v>
      </c>
      <c r="Y33" s="49"/>
    </row>
    <row r="34" spans="1:25" ht="26.1" customHeight="1">
      <c r="A34" s="58" t="s">
        <v>252</v>
      </c>
      <c r="B34" s="49"/>
      <c r="C34" s="25"/>
      <c r="D34" s="25"/>
      <c r="E34" s="25"/>
      <c r="F34" s="58"/>
      <c r="G34" s="25"/>
      <c r="H34" s="25"/>
      <c r="I34" s="26"/>
      <c r="J34" s="26" t="str">
        <f>IFERROR(WORKDAY(Table14[[#This Row],[50% IFR - 
AE]],-15), " ")</f>
        <v xml:space="preserve"> </v>
      </c>
      <c r="K34" s="26"/>
      <c r="L34" s="26"/>
      <c r="M34" s="26"/>
      <c r="N34" s="26"/>
      <c r="O34" s="26"/>
      <c r="P34" s="26"/>
      <c r="Q34" s="26" t="s">
        <v>253</v>
      </c>
      <c r="R34" s="26"/>
      <c r="S34" s="26"/>
      <c r="T34" s="26"/>
      <c r="U34" s="64"/>
      <c r="V34" s="64"/>
      <c r="W34" s="26"/>
      <c r="X34" s="64"/>
      <c r="Y34" s="49"/>
    </row>
    <row r="35" spans="1:25" ht="46.5" customHeight="1">
      <c r="A35" s="25" t="s">
        <v>254</v>
      </c>
      <c r="B35" s="49" t="s">
        <v>255</v>
      </c>
      <c r="C35" s="25" t="s">
        <v>256</v>
      </c>
      <c r="D35" s="25" t="s">
        <v>214</v>
      </c>
      <c r="E35" s="25" t="s">
        <v>257</v>
      </c>
      <c r="F35" s="58" t="s">
        <v>258</v>
      </c>
      <c r="G35" s="25"/>
      <c r="H35" s="25"/>
      <c r="I35" s="26"/>
      <c r="J35" s="26">
        <f>IFERROR(WORKDAY(Table14[[#This Row],[50% IFR - 
AE]],-15), " ")</f>
        <v>45139</v>
      </c>
      <c r="K35" s="26" t="s">
        <v>259</v>
      </c>
      <c r="L35" s="26">
        <v>45160</v>
      </c>
      <c r="M35" s="26" t="s">
        <v>260</v>
      </c>
      <c r="N35" s="26" t="s">
        <v>261</v>
      </c>
      <c r="O35" s="26" t="s">
        <v>262</v>
      </c>
      <c r="P35" s="26" t="s">
        <v>263</v>
      </c>
      <c r="Q35" s="26"/>
      <c r="R35" s="26"/>
      <c r="S35" s="26"/>
      <c r="T35" s="26"/>
      <c r="U35" s="64"/>
      <c r="V35" s="64"/>
      <c r="W35" s="26"/>
      <c r="X35" s="64" t="s">
        <v>264</v>
      </c>
      <c r="Y35" s="49"/>
    </row>
    <row r="36" spans="1:25" ht="46.5" customHeight="1">
      <c r="A36" s="25" t="s">
        <v>265</v>
      </c>
      <c r="B36" s="49"/>
      <c r="C36" s="25"/>
      <c r="D36" s="25"/>
      <c r="E36" s="25"/>
      <c r="F36" s="58"/>
      <c r="G36" s="25"/>
      <c r="H36" s="25"/>
      <c r="I36" s="26"/>
      <c r="J36" s="26" t="str">
        <f>IFERROR(WORKDAY(Table14[[#This Row],[50% IFR - 
AE]],-15), " ")</f>
        <v xml:space="preserve"> </v>
      </c>
      <c r="K36" s="26"/>
      <c r="L36" s="26" t="s">
        <v>266</v>
      </c>
      <c r="M36" s="26"/>
      <c r="N36" s="26">
        <v>45446</v>
      </c>
      <c r="O36" s="26"/>
      <c r="P36" s="26">
        <v>45474</v>
      </c>
      <c r="Q36" s="26"/>
      <c r="R36" s="26"/>
      <c r="S36" s="26"/>
      <c r="T36" s="26"/>
      <c r="U36" s="64"/>
      <c r="V36" s="64"/>
      <c r="W36" s="26"/>
      <c r="X36" s="64"/>
      <c r="Y36" s="49"/>
    </row>
    <row r="37" spans="1:25" ht="26.1" customHeight="1">
      <c r="A37" s="25" t="s">
        <v>267</v>
      </c>
      <c r="B37" s="49"/>
      <c r="C37" s="25"/>
      <c r="D37" s="25"/>
      <c r="E37" s="25"/>
      <c r="F37" s="58"/>
      <c r="G37" s="25"/>
      <c r="H37" s="25"/>
      <c r="I37" s="26"/>
      <c r="J37" s="26" t="str">
        <f>IFERROR(WORKDAY(Table14[[#This Row],[50% IFR - 
AE]],-15), " ")</f>
        <v xml:space="preserve"> </v>
      </c>
      <c r="K37" s="26"/>
      <c r="L37" s="26"/>
      <c r="M37" s="26"/>
      <c r="N37" s="26"/>
      <c r="O37" s="26"/>
      <c r="P37" s="26"/>
      <c r="Q37" s="26" t="s">
        <v>268</v>
      </c>
      <c r="R37" s="26"/>
      <c r="S37" s="26"/>
      <c r="T37" s="26"/>
      <c r="U37" s="64"/>
      <c r="V37" s="64"/>
      <c r="W37" s="26"/>
      <c r="X37" s="64"/>
      <c r="Y37" s="49"/>
    </row>
    <row r="38" spans="1:25" ht="26.1" customHeight="1">
      <c r="A38" s="25" t="s">
        <v>269</v>
      </c>
      <c r="B38" s="49" t="s">
        <v>270</v>
      </c>
      <c r="C38" s="25" t="s">
        <v>271</v>
      </c>
      <c r="D38" s="25" t="s">
        <v>77</v>
      </c>
      <c r="E38" s="25" t="s">
        <v>272</v>
      </c>
      <c r="F38" s="58" t="s">
        <v>273</v>
      </c>
      <c r="G38" s="25"/>
      <c r="H38" s="25" t="s">
        <v>80</v>
      </c>
      <c r="I38" s="26"/>
      <c r="J38" s="26" t="str">
        <f>IFERROR(WORKDAY(Table14[[#This Row],[50% IFR - 
AE]],-15), " ")</f>
        <v xml:space="preserve"> </v>
      </c>
      <c r="K38" s="27" t="s">
        <v>82</v>
      </c>
      <c r="L38" s="27" t="s">
        <v>274</v>
      </c>
      <c r="M38" s="27"/>
      <c r="N38" s="27" t="s">
        <v>275</v>
      </c>
      <c r="O38" s="27"/>
      <c r="P38" s="26">
        <v>45042</v>
      </c>
      <c r="Q38" s="26">
        <v>45076</v>
      </c>
      <c r="R38" s="26"/>
      <c r="S38" s="26"/>
      <c r="T38" s="26"/>
      <c r="U38" s="64"/>
      <c r="V38" s="64"/>
      <c r="W38" s="26"/>
      <c r="X38" s="64"/>
      <c r="Y38" s="49"/>
    </row>
    <row r="39" spans="1:25" ht="26.1" customHeight="1">
      <c r="A39" s="25" t="s">
        <v>276</v>
      </c>
      <c r="B39" s="49" t="s">
        <v>270</v>
      </c>
      <c r="C39" s="25" t="s">
        <v>271</v>
      </c>
      <c r="D39" s="25" t="s">
        <v>77</v>
      </c>
      <c r="E39" s="25" t="s">
        <v>272</v>
      </c>
      <c r="F39" s="58" t="s">
        <v>273</v>
      </c>
      <c r="G39" s="25"/>
      <c r="H39" s="25" t="s">
        <v>80</v>
      </c>
      <c r="I39" s="26"/>
      <c r="J39" s="26" t="str">
        <f>IFERROR(WORKDAY(Table14[[#This Row],[50% IFR - 
AE]],-15), " ")</f>
        <v xml:space="preserve"> </v>
      </c>
      <c r="K39" s="27" t="s">
        <v>82</v>
      </c>
      <c r="L39" s="27" t="s">
        <v>82</v>
      </c>
      <c r="M39" s="27" t="s">
        <v>82</v>
      </c>
      <c r="N39" s="27" t="s">
        <v>277</v>
      </c>
      <c r="O39" s="27" t="s">
        <v>82</v>
      </c>
      <c r="P39" s="26" t="s">
        <v>278</v>
      </c>
      <c r="Q39" s="26">
        <v>45050</v>
      </c>
      <c r="R39" s="26"/>
      <c r="S39" s="26"/>
      <c r="T39" s="26"/>
      <c r="U39" s="64"/>
      <c r="V39" s="64"/>
      <c r="W39" s="26"/>
      <c r="X39" s="64" t="s">
        <v>279</v>
      </c>
      <c r="Y39" s="49"/>
    </row>
    <row r="40" spans="1:25" ht="26.1" customHeight="1">
      <c r="A40" s="25" t="s">
        <v>280</v>
      </c>
      <c r="B40" s="49" t="s">
        <v>270</v>
      </c>
      <c r="C40" s="25"/>
      <c r="D40" s="25" t="s">
        <v>214</v>
      </c>
      <c r="E40" s="25" t="s">
        <v>268</v>
      </c>
      <c r="F40" s="25"/>
      <c r="G40" s="25"/>
      <c r="H40" s="25" t="s">
        <v>80</v>
      </c>
      <c r="I40" s="26"/>
      <c r="J40" s="26" t="str">
        <f>IFERROR(WORKDAY(Table14[[#This Row],[50% IFR - 
AE]],-15), " ")</f>
        <v xml:space="preserve"> </v>
      </c>
      <c r="K40" s="27"/>
      <c r="L40" s="27"/>
      <c r="M40" s="27"/>
      <c r="N40" s="27"/>
      <c r="O40" s="27"/>
      <c r="P40" s="26"/>
      <c r="Q40" s="26"/>
      <c r="R40" s="26"/>
      <c r="S40" s="26"/>
      <c r="T40" s="26"/>
      <c r="U40" s="64"/>
      <c r="V40" s="64"/>
      <c r="W40" s="26"/>
      <c r="X40" s="64"/>
      <c r="Y40" s="49"/>
    </row>
    <row r="41" spans="1:25" ht="26.1" customHeight="1">
      <c r="A41" s="25" t="s">
        <v>281</v>
      </c>
      <c r="B41" s="49" t="s">
        <v>282</v>
      </c>
      <c r="C41" s="25"/>
      <c r="D41" s="25" t="s">
        <v>77</v>
      </c>
      <c r="E41" s="25" t="s">
        <v>283</v>
      </c>
      <c r="F41" s="58" t="s">
        <v>284</v>
      </c>
      <c r="G41" s="25"/>
      <c r="H41" s="25" t="s">
        <v>80</v>
      </c>
      <c r="I41" s="26">
        <v>44987</v>
      </c>
      <c r="J41" s="26" t="str">
        <f>IFERROR(WORKDAY(Table14[[#This Row],[50% IFR - 
AE]],-15), " ")</f>
        <v xml:space="preserve"> </v>
      </c>
      <c r="K41" s="27" t="s">
        <v>285</v>
      </c>
      <c r="L41" s="27" t="s">
        <v>286</v>
      </c>
      <c r="M41" s="27"/>
      <c r="N41" s="27">
        <v>45041</v>
      </c>
      <c r="O41" s="27">
        <v>44931</v>
      </c>
      <c r="P41" s="26">
        <v>44931</v>
      </c>
      <c r="Q41" s="26"/>
      <c r="R41" s="26"/>
      <c r="S41" s="26"/>
      <c r="T41" s="26"/>
      <c r="U41" s="64"/>
      <c r="V41" s="64"/>
      <c r="W41" s="26"/>
      <c r="X41" s="49" t="s">
        <v>287</v>
      </c>
      <c r="Y41" s="49" t="s">
        <v>288</v>
      </c>
    </row>
    <row r="42" spans="1:25" ht="26.1" customHeight="1">
      <c r="A42" s="25" t="s">
        <v>289</v>
      </c>
      <c r="B42" s="49"/>
      <c r="C42" s="25"/>
      <c r="D42" s="25"/>
      <c r="E42" s="25"/>
      <c r="F42" s="25"/>
      <c r="G42" s="25"/>
      <c r="H42" s="25" t="s">
        <v>80</v>
      </c>
      <c r="I42" s="26"/>
      <c r="J42" s="26" t="str">
        <f>IFERROR(WORKDAY(Table14[[#This Row],[50% IFR - 
AE]],-15), " ")</f>
        <v xml:space="preserve"> </v>
      </c>
      <c r="K42" s="27" t="s">
        <v>82</v>
      </c>
      <c r="L42" s="27" t="s">
        <v>290</v>
      </c>
      <c r="M42" s="27" t="s">
        <v>83</v>
      </c>
      <c r="N42" s="27" t="s">
        <v>291</v>
      </c>
      <c r="O42" s="27" t="s">
        <v>83</v>
      </c>
      <c r="P42" s="26" t="s">
        <v>124</v>
      </c>
      <c r="Q42" s="26" t="s">
        <v>292</v>
      </c>
      <c r="R42" s="26"/>
      <c r="S42" s="26"/>
      <c r="T42" s="26"/>
      <c r="U42" s="64"/>
      <c r="V42" s="64"/>
      <c r="W42" s="26"/>
      <c r="X42" s="64"/>
      <c r="Y42" s="49"/>
    </row>
    <row r="43" spans="1:25" ht="26.1" customHeight="1">
      <c r="A43" s="25" t="s">
        <v>293</v>
      </c>
      <c r="B43" s="49" t="s">
        <v>294</v>
      </c>
      <c r="C43" s="25" t="s">
        <v>115</v>
      </c>
      <c r="D43" s="25" t="s">
        <v>77</v>
      </c>
      <c r="E43" s="25" t="s">
        <v>116</v>
      </c>
      <c r="F43" s="58" t="s">
        <v>117</v>
      </c>
      <c r="G43" s="25"/>
      <c r="H43" s="25" t="s">
        <v>118</v>
      </c>
      <c r="I43" s="26"/>
      <c r="J43" s="26" t="str">
        <f>IFERROR(WORKDAY(Table14[[#This Row],[50% IFR - 
AE]],-15), " ")</f>
        <v xml:space="preserve"> </v>
      </c>
      <c r="K43" s="27" t="s">
        <v>82</v>
      </c>
      <c r="L43" s="27" t="s">
        <v>295</v>
      </c>
      <c r="M43" s="27" t="s">
        <v>296</v>
      </c>
      <c r="N43" s="27" t="s">
        <v>297</v>
      </c>
      <c r="O43" s="27"/>
      <c r="P43" s="26">
        <v>45007</v>
      </c>
      <c r="Q43" s="26">
        <v>45061</v>
      </c>
      <c r="R43" s="26"/>
      <c r="S43" s="26"/>
      <c r="T43" s="26"/>
      <c r="U43" s="64"/>
      <c r="V43" s="64"/>
      <c r="W43" s="26"/>
      <c r="X43" s="64"/>
      <c r="Y43" s="49" t="s">
        <v>298</v>
      </c>
    </row>
    <row r="44" spans="1:25" ht="26.1" customHeight="1">
      <c r="A44" s="58" t="s">
        <v>299</v>
      </c>
      <c r="B44" s="49"/>
      <c r="C44" s="25"/>
      <c r="D44" s="25"/>
      <c r="E44" s="25"/>
      <c r="F44" s="58"/>
      <c r="G44" s="25"/>
      <c r="H44" s="25"/>
      <c r="I44" s="26" t="s">
        <v>131</v>
      </c>
      <c r="J44" s="26" t="str">
        <f>IFERROR(WORKDAY(Table14[[#This Row],[50% IFR - 
AE]],-15), " ")</f>
        <v xml:space="preserve"> </v>
      </c>
      <c r="K44" s="27"/>
      <c r="L44" s="27" t="s">
        <v>300</v>
      </c>
      <c r="M44" s="26" t="str">
        <f>IFERROR(WORKDAY(Table14[[#This Row],[100% IFR - AE]],-5), " ")</f>
        <v xml:space="preserve"> </v>
      </c>
      <c r="N44" s="27" t="s">
        <v>301</v>
      </c>
      <c r="O44" s="27"/>
      <c r="P44" s="26">
        <v>45345</v>
      </c>
      <c r="Q44" s="26"/>
      <c r="R44" s="26"/>
      <c r="S44" s="26"/>
      <c r="T44" s="26"/>
      <c r="U44" s="64"/>
      <c r="V44" s="64"/>
      <c r="W44" s="26"/>
      <c r="X44" s="68" t="s">
        <v>302</v>
      </c>
      <c r="Y44" s="49"/>
    </row>
    <row r="45" spans="1:25" ht="26.1" customHeight="1">
      <c r="A45" s="25" t="s">
        <v>303</v>
      </c>
      <c r="B45" s="49"/>
      <c r="C45" s="25"/>
      <c r="D45" s="25"/>
      <c r="E45" s="25"/>
      <c r="F45" s="58"/>
      <c r="G45" s="25"/>
      <c r="H45" s="25"/>
      <c r="I45" s="26"/>
      <c r="J45" s="26">
        <f>IFERROR(WORKDAY(Table14[[#This Row],[50% IFR - 
AE]],-15), " ")</f>
        <v>45376</v>
      </c>
      <c r="K45" s="27" t="s">
        <v>304</v>
      </c>
      <c r="L45" s="26">
        <v>45397</v>
      </c>
      <c r="M45" s="26">
        <v>45425</v>
      </c>
      <c r="N45" s="26">
        <v>45426</v>
      </c>
      <c r="O45" s="26"/>
      <c r="P45" s="26">
        <v>45453</v>
      </c>
      <c r="Q45" s="26"/>
      <c r="R45" s="26"/>
      <c r="S45" s="26"/>
      <c r="T45" s="26"/>
      <c r="U45" s="64"/>
      <c r="V45" s="64" t="s">
        <v>305</v>
      </c>
      <c r="W45" s="26"/>
      <c r="X45" s="64"/>
      <c r="Y45" s="49"/>
    </row>
    <row r="46" spans="1:25" ht="26.1" customHeight="1">
      <c r="A46" s="25" t="s">
        <v>306</v>
      </c>
      <c r="B46" s="49" t="s">
        <v>294</v>
      </c>
      <c r="C46" s="25" t="s">
        <v>76</v>
      </c>
      <c r="D46" s="25" t="s">
        <v>307</v>
      </c>
      <c r="E46" s="25" t="s">
        <v>98</v>
      </c>
      <c r="F46" s="58" t="s">
        <v>99</v>
      </c>
      <c r="G46" s="25"/>
      <c r="H46" s="25" t="s">
        <v>118</v>
      </c>
      <c r="I46" s="26"/>
      <c r="J46" s="26" t="str">
        <f>IFERROR(WORKDAY(Table14[[#This Row],[50% IFR - 
AE]],-15), " ")</f>
        <v xml:space="preserve"> </v>
      </c>
      <c r="K46" s="26"/>
      <c r="L46" s="26"/>
      <c r="M46" s="26"/>
      <c r="N46" s="26"/>
      <c r="O46" s="26"/>
      <c r="P46" s="26"/>
      <c r="Q46" s="26"/>
      <c r="R46" s="26"/>
      <c r="S46" s="26"/>
      <c r="T46" s="26"/>
      <c r="U46" s="64"/>
      <c r="V46" s="64"/>
      <c r="W46" s="26"/>
      <c r="X46" s="64" t="s">
        <v>308</v>
      </c>
      <c r="Y46" s="49"/>
    </row>
    <row r="47" spans="1:25" ht="26.1" customHeight="1">
      <c r="A47" s="25" t="s">
        <v>309</v>
      </c>
      <c r="B47" s="49" t="s">
        <v>294</v>
      </c>
      <c r="C47" s="25" t="s">
        <v>76</v>
      </c>
      <c r="D47" s="25" t="s">
        <v>77</v>
      </c>
      <c r="E47" s="25" t="s">
        <v>98</v>
      </c>
      <c r="F47" s="58" t="s">
        <v>99</v>
      </c>
      <c r="G47" s="62" t="s">
        <v>100</v>
      </c>
      <c r="H47" s="62" t="s">
        <v>160</v>
      </c>
      <c r="I47" s="26"/>
      <c r="J47" s="26" t="str">
        <f>IFERROR(WORKDAY(Table14[[#This Row],[50% IFR - 
AE]],-15), " ")</f>
        <v xml:space="preserve"> </v>
      </c>
      <c r="K47" s="26" t="s">
        <v>82</v>
      </c>
      <c r="L47" s="27" t="s">
        <v>310</v>
      </c>
      <c r="M47" s="26" t="s">
        <v>82</v>
      </c>
      <c r="N47" s="26" t="s">
        <v>185</v>
      </c>
      <c r="O47" s="26" t="s">
        <v>82</v>
      </c>
      <c r="P47" s="26">
        <v>45001</v>
      </c>
      <c r="Q47" s="27" t="s">
        <v>311</v>
      </c>
      <c r="R47" s="26"/>
      <c r="S47" s="26"/>
      <c r="T47" s="26"/>
      <c r="U47" s="64"/>
      <c r="V47" s="64"/>
      <c r="W47" s="26"/>
      <c r="X47" s="64" t="s">
        <v>312</v>
      </c>
      <c r="Y47" s="60" t="s">
        <v>313</v>
      </c>
    </row>
    <row r="48" spans="1:25" ht="26.1" customHeight="1">
      <c r="A48" s="58" t="s">
        <v>314</v>
      </c>
      <c r="B48" s="49" t="s">
        <v>315</v>
      </c>
      <c r="C48" s="25" t="s">
        <v>316</v>
      </c>
      <c r="D48" s="25" t="s">
        <v>77</v>
      </c>
      <c r="E48" s="25" t="s">
        <v>317</v>
      </c>
      <c r="F48" s="58" t="s">
        <v>318</v>
      </c>
      <c r="G48" s="25"/>
      <c r="H48" s="25" t="s">
        <v>80</v>
      </c>
      <c r="I48" s="26" t="s">
        <v>131</v>
      </c>
      <c r="J48" s="26" t="str">
        <f>IFERROR(WORKDAY(Table14[[#This Row],[50% IFR - 
AE]],-15), " ")</f>
        <v xml:space="preserve"> </v>
      </c>
      <c r="K48" s="26"/>
      <c r="L48" s="26"/>
      <c r="M48" s="26"/>
      <c r="N48" s="26"/>
      <c r="O48" s="26"/>
      <c r="P48" s="26"/>
      <c r="Q48" s="26"/>
      <c r="R48" s="26"/>
      <c r="S48" s="26"/>
      <c r="T48" s="26"/>
      <c r="U48" s="64"/>
      <c r="V48" s="64"/>
      <c r="W48" s="26"/>
      <c r="X48" s="64"/>
      <c r="Y48" s="49" t="s">
        <v>319</v>
      </c>
    </row>
    <row r="49" spans="1:25" ht="26.1" customHeight="1">
      <c r="A49" s="25" t="s">
        <v>320</v>
      </c>
      <c r="B49" s="49" t="s">
        <v>315</v>
      </c>
      <c r="C49" s="25" t="s">
        <v>316</v>
      </c>
      <c r="D49" s="25" t="s">
        <v>77</v>
      </c>
      <c r="E49" s="25" t="s">
        <v>317</v>
      </c>
      <c r="F49" s="58" t="s">
        <v>318</v>
      </c>
      <c r="G49" s="25"/>
      <c r="H49" s="25" t="s">
        <v>80</v>
      </c>
      <c r="I49" s="26"/>
      <c r="J49" s="26" t="str">
        <f>IFERROR(WORKDAY(Table14[[#This Row],[50% IFR - 
AE]],-15), " ")</f>
        <v xml:space="preserve"> </v>
      </c>
      <c r="K49" s="26"/>
      <c r="L49" s="26"/>
      <c r="M49" s="26"/>
      <c r="N49" s="26"/>
      <c r="O49" s="26"/>
      <c r="P49" s="26" t="s">
        <v>321</v>
      </c>
      <c r="Q49" s="26" t="s">
        <v>322</v>
      </c>
      <c r="R49" s="26"/>
      <c r="S49" s="26"/>
      <c r="T49" s="26"/>
      <c r="U49" s="64"/>
      <c r="V49" s="64"/>
      <c r="W49" s="26"/>
      <c r="X49" s="64"/>
      <c r="Y49" s="49"/>
    </row>
    <row r="50" spans="1:25" ht="26.1" customHeight="1">
      <c r="A50" s="25" t="s">
        <v>323</v>
      </c>
      <c r="B50" s="49"/>
      <c r="C50" s="25"/>
      <c r="D50" s="25"/>
      <c r="E50" s="25"/>
      <c r="F50" s="58"/>
      <c r="G50" s="25"/>
      <c r="H50" s="25"/>
      <c r="I50" s="26"/>
      <c r="J50" s="26" t="str">
        <f>IFERROR(WORKDAY(Table14[[#This Row],[50% IFR - 
AE]],-15), " ")</f>
        <v xml:space="preserve"> </v>
      </c>
      <c r="K50" s="26"/>
      <c r="L50" s="26" t="s">
        <v>324</v>
      </c>
      <c r="M50" s="26"/>
      <c r="N50" s="26">
        <v>45456</v>
      </c>
      <c r="O50" s="26"/>
      <c r="P50" s="26">
        <v>45476</v>
      </c>
      <c r="Q50" s="26"/>
      <c r="R50" s="26"/>
      <c r="S50" s="26"/>
      <c r="T50" s="26"/>
      <c r="U50" s="64"/>
      <c r="V50" s="64"/>
      <c r="W50" s="26"/>
      <c r="X50" s="64"/>
      <c r="Y50" s="49"/>
    </row>
    <row r="51" spans="1:25" ht="26.1" customHeight="1">
      <c r="A51" s="25" t="s">
        <v>325</v>
      </c>
      <c r="B51" s="49"/>
      <c r="C51" s="25"/>
      <c r="D51" s="25"/>
      <c r="E51" s="25"/>
      <c r="F51" s="58"/>
      <c r="G51" s="25"/>
      <c r="H51" s="25"/>
      <c r="I51" s="26"/>
      <c r="J51" s="26">
        <f>IFERROR(WORKDAY(Table14[[#This Row],[50% IFR - 
AE]],-15), " ")</f>
        <v>45414</v>
      </c>
      <c r="K51" s="26"/>
      <c r="L51" s="26">
        <v>45435</v>
      </c>
      <c r="M51" s="26"/>
      <c r="N51" s="26">
        <v>45484</v>
      </c>
      <c r="O51" s="26"/>
      <c r="P51" s="26"/>
      <c r="Q51" s="26"/>
      <c r="R51" s="26"/>
      <c r="S51" s="26"/>
      <c r="T51" s="26"/>
      <c r="U51" s="64"/>
      <c r="V51" s="64"/>
      <c r="W51" s="26"/>
      <c r="X51" s="64"/>
      <c r="Y51" s="49"/>
    </row>
    <row r="52" spans="1:25" ht="26.1" customHeight="1">
      <c r="A52" s="58" t="s">
        <v>326</v>
      </c>
      <c r="B52" s="49" t="s">
        <v>327</v>
      </c>
      <c r="C52" s="25"/>
      <c r="D52" s="25"/>
      <c r="E52" s="25"/>
      <c r="F52" s="58"/>
      <c r="G52" s="25"/>
      <c r="H52" s="25" t="s">
        <v>80</v>
      </c>
      <c r="I52" s="26" t="s">
        <v>131</v>
      </c>
      <c r="J52" s="26" t="str">
        <f>IFERROR(WORKDAY(Table14[[#This Row],[50% IFR - 
AE]],-15), " ")</f>
        <v xml:space="preserve"> </v>
      </c>
      <c r="K52" s="26"/>
      <c r="L52" s="26" t="s">
        <v>328</v>
      </c>
      <c r="M52" s="26" t="str">
        <f>IFERROR(WORKDAY(Table14[[#This Row],[100% IFR - AE]],-5), " ")</f>
        <v xml:space="preserve"> </v>
      </c>
      <c r="N52" s="26" t="s">
        <v>329</v>
      </c>
      <c r="O52" s="26"/>
      <c r="P52" s="26"/>
      <c r="Q52" s="26"/>
      <c r="R52" s="26"/>
      <c r="S52" s="26"/>
      <c r="T52" s="26"/>
      <c r="U52" s="64"/>
      <c r="V52" s="64"/>
      <c r="W52" s="26"/>
      <c r="X52" s="64"/>
      <c r="Y52" s="49"/>
    </row>
    <row r="53" spans="1:25" ht="26.1" customHeight="1">
      <c r="A53" s="58" t="s">
        <v>330</v>
      </c>
      <c r="B53" s="49"/>
      <c r="C53" s="25"/>
      <c r="D53" s="25"/>
      <c r="E53" s="25"/>
      <c r="F53" s="58"/>
      <c r="G53" s="25"/>
      <c r="H53" s="25"/>
      <c r="I53" s="26"/>
      <c r="J53" s="26" t="str">
        <f>IFERROR(WORKDAY(Table14[[#This Row],[50% IFR - 
AE]],-15), " ")</f>
        <v xml:space="preserve"> </v>
      </c>
      <c r="K53" s="26"/>
      <c r="L53" s="26"/>
      <c r="M53" s="26"/>
      <c r="N53" s="26"/>
      <c r="O53" s="26"/>
      <c r="P53" s="26"/>
      <c r="Q53" s="26"/>
      <c r="R53" s="26"/>
      <c r="S53" s="26"/>
      <c r="T53" s="26"/>
      <c r="U53" s="64"/>
      <c r="V53" s="64"/>
      <c r="W53" s="26"/>
      <c r="X53" s="64"/>
      <c r="Y53" s="49"/>
    </row>
    <row r="54" spans="1:25" ht="26.1" customHeight="1">
      <c r="A54" s="58" t="s">
        <v>331</v>
      </c>
      <c r="B54" s="49" t="s">
        <v>332</v>
      </c>
      <c r="C54" s="25"/>
      <c r="D54" s="25"/>
      <c r="E54" s="25"/>
      <c r="F54" s="58"/>
      <c r="G54" s="25"/>
      <c r="H54" s="25"/>
      <c r="I54" s="26" t="s">
        <v>131</v>
      </c>
      <c r="J54" s="26" t="str">
        <f>IFERROR(WORKDAY(Table14[[#This Row],[50% IFR - 
AE]],-15), " ")</f>
        <v xml:space="preserve"> </v>
      </c>
      <c r="K54" s="26"/>
      <c r="L54" s="26"/>
      <c r="M54" s="26"/>
      <c r="N54" s="26"/>
      <c r="O54" s="26"/>
      <c r="P54" s="26"/>
      <c r="Q54" s="26"/>
      <c r="R54" s="26"/>
      <c r="S54" s="26"/>
      <c r="T54" s="26"/>
      <c r="U54" s="64"/>
      <c r="V54" s="64"/>
      <c r="W54" s="26"/>
      <c r="X54" s="64"/>
      <c r="Y54" s="49"/>
    </row>
    <row r="55" spans="1:25" ht="26.1" customHeight="1">
      <c r="A55" s="58" t="s">
        <v>333</v>
      </c>
      <c r="B55" s="49" t="s">
        <v>332</v>
      </c>
      <c r="C55" s="25"/>
      <c r="D55" s="25"/>
      <c r="E55" s="25"/>
      <c r="F55" s="58"/>
      <c r="G55" s="25"/>
      <c r="H55" s="25"/>
      <c r="I55" s="26" t="s">
        <v>131</v>
      </c>
      <c r="J55" s="26" t="str">
        <f>IFERROR(WORKDAY(Table14[[#This Row],[50% IFR - 
AE]],-15), " ")</f>
        <v xml:space="preserve"> </v>
      </c>
      <c r="K55" s="26"/>
      <c r="L55" s="26"/>
      <c r="M55" s="26"/>
      <c r="N55" s="26"/>
      <c r="O55" s="26"/>
      <c r="P55" s="26"/>
      <c r="Q55" s="26"/>
      <c r="R55" s="26"/>
      <c r="S55" s="26"/>
      <c r="T55" s="26"/>
      <c r="U55" s="64"/>
      <c r="V55" s="64"/>
      <c r="W55" s="26"/>
      <c r="X55" s="64"/>
      <c r="Y55" s="49"/>
    </row>
    <row r="56" spans="1:25" ht="26.1" customHeight="1">
      <c r="A56" s="58" t="s">
        <v>334</v>
      </c>
      <c r="B56" s="49" t="s">
        <v>332</v>
      </c>
      <c r="C56" s="25"/>
      <c r="D56" s="25"/>
      <c r="E56" s="25"/>
      <c r="F56" s="58"/>
      <c r="G56" s="25"/>
      <c r="H56" s="25"/>
      <c r="I56" s="26" t="s">
        <v>131</v>
      </c>
      <c r="J56" s="26">
        <f>IFERROR(WORKDAY(Table14[[#This Row],[50% IFR - 
AE]],-15), " ")</f>
        <v>45440</v>
      </c>
      <c r="K56" s="26" t="s">
        <v>335</v>
      </c>
      <c r="L56" s="26">
        <v>45461</v>
      </c>
      <c r="M56" s="26"/>
      <c r="N56" s="26"/>
      <c r="O56" s="26"/>
      <c r="P56" s="26"/>
      <c r="Q56" s="26"/>
      <c r="R56" s="26"/>
      <c r="S56" s="26"/>
      <c r="T56" s="26"/>
      <c r="U56" s="64"/>
      <c r="V56" s="64"/>
      <c r="W56" s="26"/>
      <c r="X56" s="64"/>
      <c r="Y56" s="49"/>
    </row>
    <row r="57" spans="1:25" ht="26.1" customHeight="1">
      <c r="A57" s="25" t="s">
        <v>336</v>
      </c>
      <c r="B57" s="49"/>
      <c r="C57" s="25"/>
      <c r="D57" s="25"/>
      <c r="E57" s="25"/>
      <c r="F57" s="58"/>
      <c r="G57" s="25"/>
      <c r="H57" s="25"/>
      <c r="I57" s="26"/>
      <c r="J57" s="26" t="str">
        <f>IFERROR(WORKDAY(Table14[[#This Row],[50% IFR - 
AE]],-15), " ")</f>
        <v xml:space="preserve"> </v>
      </c>
      <c r="K57" s="26" t="s">
        <v>337</v>
      </c>
      <c r="L57" s="26"/>
      <c r="M57" s="26"/>
      <c r="N57" s="26" t="s">
        <v>338</v>
      </c>
      <c r="O57" s="26"/>
      <c r="P57" s="26"/>
      <c r="Q57" s="26"/>
      <c r="R57" s="26"/>
      <c r="S57" s="26"/>
      <c r="T57" s="26"/>
      <c r="U57" s="64"/>
      <c r="V57" s="64"/>
      <c r="W57" s="26"/>
      <c r="X57" s="64"/>
      <c r="Y57" s="49"/>
    </row>
    <row r="58" spans="1:25" ht="26.1" customHeight="1">
      <c r="A58" s="58" t="s">
        <v>339</v>
      </c>
      <c r="B58" s="49" t="s">
        <v>332</v>
      </c>
      <c r="C58" s="25" t="s">
        <v>181</v>
      </c>
      <c r="D58" s="25" t="s">
        <v>77</v>
      </c>
      <c r="E58" s="25" t="s">
        <v>340</v>
      </c>
      <c r="F58" s="58" t="s">
        <v>341</v>
      </c>
      <c r="G58" s="25"/>
      <c r="H58" s="25" t="s">
        <v>118</v>
      </c>
      <c r="I58" s="26" t="s">
        <v>131</v>
      </c>
      <c r="J58" s="26" t="str">
        <f>IFERROR(WORKDAY(Table14[[#This Row],[50% IFR - 
AE]],-15), " ")</f>
        <v xml:space="preserve"> </v>
      </c>
      <c r="K58" s="26"/>
      <c r="L58" s="26"/>
      <c r="M58" s="26"/>
      <c r="N58" s="26"/>
      <c r="O58" s="26"/>
      <c r="P58" s="26"/>
      <c r="Q58" s="26"/>
      <c r="R58" s="26"/>
      <c r="S58" s="26"/>
      <c r="T58" s="26"/>
      <c r="U58" s="64"/>
      <c r="V58" s="64"/>
      <c r="W58" s="26"/>
      <c r="X58" s="64" t="s">
        <v>342</v>
      </c>
      <c r="Y58" s="49"/>
    </row>
    <row r="59" spans="1:25" ht="26.1" customHeight="1">
      <c r="A59" s="25" t="s">
        <v>343</v>
      </c>
      <c r="B59" s="49" t="s">
        <v>332</v>
      </c>
      <c r="C59" s="25" t="s">
        <v>181</v>
      </c>
      <c r="D59" s="25" t="s">
        <v>77</v>
      </c>
      <c r="E59" s="25" t="s">
        <v>340</v>
      </c>
      <c r="F59" s="58" t="s">
        <v>341</v>
      </c>
      <c r="G59" s="25"/>
      <c r="H59" s="25" t="s">
        <v>80</v>
      </c>
      <c r="I59" s="26"/>
      <c r="J59" s="26">
        <f>IFERROR(WORKDAY(Table14[[#This Row],[50% IFR - 
AE]],-15), " ")</f>
        <v>44985</v>
      </c>
      <c r="K59" s="26" t="s">
        <v>82</v>
      </c>
      <c r="L59" s="26">
        <v>45006</v>
      </c>
      <c r="M59" s="26"/>
      <c r="N59" s="26"/>
      <c r="O59" s="26"/>
      <c r="P59" s="26">
        <v>45089</v>
      </c>
      <c r="Q59" s="26"/>
      <c r="R59" s="26"/>
      <c r="S59" s="26"/>
      <c r="T59" s="26"/>
      <c r="U59" s="64"/>
      <c r="V59" s="64"/>
      <c r="W59" s="26"/>
      <c r="X59" s="64" t="s">
        <v>344</v>
      </c>
      <c r="Y59" s="49" t="s">
        <v>345</v>
      </c>
    </row>
    <row r="60" spans="1:25" ht="26.1" customHeight="1">
      <c r="A60" s="25" t="s">
        <v>346</v>
      </c>
      <c r="B60" s="49" t="s">
        <v>332</v>
      </c>
      <c r="C60" s="25"/>
      <c r="D60" s="25"/>
      <c r="E60" s="25"/>
      <c r="F60" s="58"/>
      <c r="G60" s="25"/>
      <c r="H60" s="25"/>
      <c r="I60" s="26"/>
      <c r="J60" s="26">
        <f>IFERROR(WORKDAY(Table14[[#This Row],[50% IFR - 
AE]],-15), " ")</f>
        <v>45141</v>
      </c>
      <c r="K60" s="26" t="s">
        <v>347</v>
      </c>
      <c r="L60" s="26">
        <v>45162</v>
      </c>
      <c r="M60" s="26" t="s">
        <v>83</v>
      </c>
      <c r="N60" s="26">
        <v>45190</v>
      </c>
      <c r="O60" s="26" t="s">
        <v>83</v>
      </c>
      <c r="P60" s="26" t="s">
        <v>348</v>
      </c>
      <c r="Q60" s="26"/>
      <c r="R60" s="26"/>
      <c r="S60" s="26"/>
      <c r="T60" s="26"/>
      <c r="U60" s="64"/>
      <c r="V60" s="64"/>
      <c r="W60" s="26"/>
      <c r="X60" s="64"/>
      <c r="Y60" s="49"/>
    </row>
    <row r="61" spans="1:25" ht="26.1" customHeight="1">
      <c r="A61" s="58" t="s">
        <v>349</v>
      </c>
      <c r="B61" s="49" t="s">
        <v>332</v>
      </c>
      <c r="C61" s="25"/>
      <c r="D61" s="25"/>
      <c r="E61" s="25"/>
      <c r="F61" s="58"/>
      <c r="G61" s="25"/>
      <c r="H61" s="25" t="s">
        <v>80</v>
      </c>
      <c r="I61" s="26" t="s">
        <v>131</v>
      </c>
      <c r="J61" s="26" t="str">
        <f>IFERROR(WORKDAY(Table14[[#This Row],[50% IFR - 
AE]],-15), " ")</f>
        <v xml:space="preserve"> </v>
      </c>
      <c r="K61" s="26" t="s">
        <v>350</v>
      </c>
      <c r="L61" s="26" t="s">
        <v>337</v>
      </c>
      <c r="M61" s="26" t="s">
        <v>351</v>
      </c>
      <c r="N61" s="26">
        <v>45268</v>
      </c>
      <c r="O61" s="26" t="s">
        <v>83</v>
      </c>
      <c r="P61" s="26">
        <v>45301</v>
      </c>
      <c r="Q61" s="26"/>
      <c r="R61" s="26"/>
      <c r="S61" s="26"/>
      <c r="T61" s="26"/>
      <c r="U61" s="64"/>
      <c r="V61" s="64"/>
      <c r="W61" s="26"/>
      <c r="X61" s="64"/>
      <c r="Y61" s="49"/>
    </row>
    <row r="62" spans="1:25" ht="26.1" customHeight="1">
      <c r="A62" s="25" t="s">
        <v>352</v>
      </c>
      <c r="B62" s="49" t="s">
        <v>332</v>
      </c>
      <c r="C62" s="25" t="s">
        <v>181</v>
      </c>
      <c r="D62" s="25" t="s">
        <v>77</v>
      </c>
      <c r="E62" s="25" t="s">
        <v>340</v>
      </c>
      <c r="F62" s="58" t="s">
        <v>341</v>
      </c>
      <c r="G62" s="25"/>
      <c r="H62" s="25" t="s">
        <v>118</v>
      </c>
      <c r="I62" s="26"/>
      <c r="J62" s="26" t="str">
        <f>IFERROR(WORKDAY(Table14[[#This Row],[50% IFR - 
AE]],-15), " ")</f>
        <v xml:space="preserve"> </v>
      </c>
      <c r="K62" s="27" t="s">
        <v>82</v>
      </c>
      <c r="L62" s="27" t="s">
        <v>353</v>
      </c>
      <c r="M62" s="27" t="s">
        <v>82</v>
      </c>
      <c r="N62" s="27" t="s">
        <v>354</v>
      </c>
      <c r="O62" s="27" t="s">
        <v>355</v>
      </c>
      <c r="P62" s="27" t="s">
        <v>356</v>
      </c>
      <c r="Q62" s="26" t="s">
        <v>132</v>
      </c>
      <c r="R62" s="26"/>
      <c r="S62" s="26"/>
      <c r="T62" s="26"/>
      <c r="U62" s="64"/>
      <c r="V62" s="64" t="s">
        <v>83</v>
      </c>
      <c r="W62" s="26"/>
      <c r="X62" s="64" t="s">
        <v>357</v>
      </c>
      <c r="Y62" s="49" t="s">
        <v>358</v>
      </c>
    </row>
    <row r="63" spans="1:25" ht="26.1" customHeight="1">
      <c r="A63" s="25" t="s">
        <v>359</v>
      </c>
      <c r="B63" s="49" t="s">
        <v>332</v>
      </c>
      <c r="C63" s="25"/>
      <c r="D63" s="25" t="s">
        <v>77</v>
      </c>
      <c r="E63" s="25"/>
      <c r="F63" s="58"/>
      <c r="G63" s="25" t="s">
        <v>100</v>
      </c>
      <c r="H63" s="25" t="s">
        <v>80</v>
      </c>
      <c r="I63" s="26"/>
      <c r="J63" s="26">
        <f>IFERROR(WORKDAY(Table14[[#This Row],[50% IFR - 
AE]],-15), " ")</f>
        <v>45022</v>
      </c>
      <c r="K63" s="27"/>
      <c r="L63" s="27">
        <v>45043</v>
      </c>
      <c r="M63" s="27">
        <v>45079</v>
      </c>
      <c r="N63" s="27">
        <v>45083</v>
      </c>
      <c r="O63" s="27"/>
      <c r="P63" s="27">
        <v>45106</v>
      </c>
      <c r="Q63" s="26"/>
      <c r="R63" s="26"/>
      <c r="S63" s="26"/>
      <c r="T63" s="26"/>
      <c r="U63" s="64"/>
      <c r="V63" s="64"/>
      <c r="W63" s="26"/>
      <c r="X63" s="64" t="s">
        <v>360</v>
      </c>
      <c r="Y63" s="49" t="s">
        <v>361</v>
      </c>
    </row>
    <row r="64" spans="1:25" ht="26.1" customHeight="1">
      <c r="A64" s="25" t="s">
        <v>362</v>
      </c>
      <c r="B64" s="49" t="s">
        <v>332</v>
      </c>
      <c r="C64" s="25"/>
      <c r="D64" s="25"/>
      <c r="E64" s="25"/>
      <c r="F64" s="58"/>
      <c r="G64" s="25"/>
      <c r="H64" s="25"/>
      <c r="I64" s="26"/>
      <c r="J64" s="26" t="str">
        <f>IFERROR(WORKDAY(Table14[[#This Row],[50% IFR - 
AE]],-15), " ")</f>
        <v xml:space="preserve"> </v>
      </c>
      <c r="K64" s="27"/>
      <c r="L64" s="27"/>
      <c r="M64" s="27"/>
      <c r="N64" s="27"/>
      <c r="O64" s="27"/>
      <c r="P64" s="27"/>
      <c r="Q64" s="26"/>
      <c r="R64" s="26"/>
      <c r="S64" s="26"/>
      <c r="T64" s="26"/>
      <c r="U64" s="64"/>
      <c r="V64" s="64"/>
      <c r="W64" s="26"/>
      <c r="X64" s="64"/>
      <c r="Y64" s="49"/>
    </row>
    <row r="65" spans="1:25" ht="26.1" customHeight="1">
      <c r="A65" s="25" t="s">
        <v>363</v>
      </c>
      <c r="B65" s="49"/>
      <c r="C65" s="25"/>
      <c r="D65" s="25"/>
      <c r="E65" s="25"/>
      <c r="F65" s="58"/>
      <c r="G65" s="25"/>
      <c r="H65" s="25"/>
      <c r="I65" s="26"/>
      <c r="J65" s="26" t="str">
        <f>IFERROR(WORKDAY(Table14[[#This Row],[50% IFR - 
AE]],-15), " ")</f>
        <v xml:space="preserve"> </v>
      </c>
      <c r="K65" s="27"/>
      <c r="L65" s="27"/>
      <c r="M65" s="27"/>
      <c r="N65" s="27"/>
      <c r="O65" s="27"/>
      <c r="P65" s="27"/>
      <c r="Q65" s="26">
        <v>45428</v>
      </c>
      <c r="R65" s="26"/>
      <c r="S65" s="26"/>
      <c r="T65" s="26"/>
      <c r="U65" s="64"/>
      <c r="V65" s="64"/>
      <c r="W65" s="26"/>
      <c r="X65" s="64"/>
      <c r="Y65" s="49"/>
    </row>
    <row r="66" spans="1:25" ht="26.1" customHeight="1">
      <c r="A66" s="58" t="s">
        <v>364</v>
      </c>
      <c r="B66" s="49" t="s">
        <v>365</v>
      </c>
      <c r="C66" s="25" t="s">
        <v>366</v>
      </c>
      <c r="D66" s="25" t="s">
        <v>77</v>
      </c>
      <c r="E66" s="25" t="s">
        <v>367</v>
      </c>
      <c r="F66" s="58" t="s">
        <v>368</v>
      </c>
      <c r="G66" s="25"/>
      <c r="H66" s="25" t="s">
        <v>80</v>
      </c>
      <c r="I66" s="26" t="s">
        <v>131</v>
      </c>
      <c r="J66" s="26" t="str">
        <f>IFERROR(WORKDAY(Table14[[#This Row],[50% IFR - 
AE]],-15), " ")</f>
        <v xml:space="preserve"> </v>
      </c>
      <c r="K66" s="27" t="s">
        <v>82</v>
      </c>
      <c r="L66" s="27" t="s">
        <v>82</v>
      </c>
      <c r="M66" s="27" t="s">
        <v>82</v>
      </c>
      <c r="N66" s="27" t="s">
        <v>369</v>
      </c>
      <c r="O66" s="27" t="s">
        <v>370</v>
      </c>
      <c r="P66" s="27">
        <v>45428</v>
      </c>
      <c r="Q66" s="26">
        <v>45019</v>
      </c>
      <c r="R66" s="26"/>
      <c r="S66" s="26"/>
      <c r="T66" s="26"/>
      <c r="U66" s="64"/>
      <c r="V66" s="64"/>
      <c r="W66" s="26"/>
      <c r="X66" s="64" t="s">
        <v>371</v>
      </c>
      <c r="Y66" s="49"/>
    </row>
    <row r="67" spans="1:25" ht="29.1" customHeight="1">
      <c r="A67" s="58" t="s">
        <v>372</v>
      </c>
      <c r="B67" s="49"/>
      <c r="C67" s="25"/>
      <c r="D67" s="25"/>
      <c r="E67" s="25"/>
      <c r="F67" s="58"/>
      <c r="G67" s="25"/>
      <c r="H67" s="25"/>
      <c r="I67" s="25" t="s">
        <v>131</v>
      </c>
      <c r="J67" s="26" t="str">
        <f>IFERROR(WORKDAY(Table14[[#This Row],[50% IFR - 
AE]],-15), " ")</f>
        <v xml:space="preserve"> </v>
      </c>
      <c r="K67" s="27"/>
      <c r="L67" s="27" t="s">
        <v>373</v>
      </c>
      <c r="M67" s="26" t="str">
        <f>IFERROR(WORKDAY(Table14[[#This Row],[100% IFR - AE]],-5), " ")</f>
        <v xml:space="preserve"> </v>
      </c>
      <c r="N67" s="27" t="s">
        <v>266</v>
      </c>
      <c r="O67" s="27"/>
      <c r="P67" s="27">
        <v>45449</v>
      </c>
      <c r="Q67" s="26"/>
      <c r="R67" s="26"/>
      <c r="S67" s="26"/>
      <c r="T67" s="26"/>
      <c r="U67" s="64"/>
      <c r="V67" s="64"/>
      <c r="W67" s="26"/>
      <c r="X67" s="64"/>
      <c r="Y67" s="49"/>
    </row>
    <row r="68" spans="1:25" ht="29.1" customHeight="1">
      <c r="A68" s="58" t="s">
        <v>374</v>
      </c>
      <c r="B68" s="49"/>
      <c r="C68" s="25"/>
      <c r="D68" s="25"/>
      <c r="E68" s="25"/>
      <c r="F68" s="58"/>
      <c r="G68" s="25"/>
      <c r="H68" s="25"/>
      <c r="I68" s="25" t="s">
        <v>131</v>
      </c>
      <c r="J68" s="26" t="str">
        <f>IFERROR(WORKDAY(Table14[[#This Row],[50% IFR - 
AE]],-15), " ")</f>
        <v xml:space="preserve"> </v>
      </c>
      <c r="K68" s="27" t="s">
        <v>375</v>
      </c>
      <c r="L68" s="27" t="s">
        <v>376</v>
      </c>
      <c r="M68" s="27"/>
      <c r="N68" s="27" t="s">
        <v>377</v>
      </c>
      <c r="O68" s="27"/>
      <c r="P68" s="26" t="s">
        <v>378</v>
      </c>
      <c r="Q68" s="26"/>
      <c r="R68" s="26"/>
      <c r="S68" s="26"/>
      <c r="T68" s="26"/>
      <c r="U68" s="64"/>
      <c r="V68" s="64"/>
      <c r="W68" s="26"/>
      <c r="X68" s="64"/>
      <c r="Y68" s="49"/>
    </row>
    <row r="69" spans="1:25" ht="26.1" customHeight="1">
      <c r="A69" s="25" t="s">
        <v>379</v>
      </c>
      <c r="B69" s="49" t="s">
        <v>365</v>
      </c>
      <c r="C69" s="25" t="s">
        <v>366</v>
      </c>
      <c r="D69" s="25" t="s">
        <v>77</v>
      </c>
      <c r="E69" s="25" t="s">
        <v>367</v>
      </c>
      <c r="F69" s="58" t="s">
        <v>368</v>
      </c>
      <c r="G69" s="25"/>
      <c r="H69" s="25" t="s">
        <v>80</v>
      </c>
      <c r="I69" s="25"/>
      <c r="J69" s="26" t="str">
        <f>IFERROR(WORKDAY(Table14[[#This Row],[50% IFR - 
AE]],-15), " ")</f>
        <v xml:space="preserve"> </v>
      </c>
      <c r="K69" s="27" t="s">
        <v>82</v>
      </c>
      <c r="L69" s="27" t="s">
        <v>380</v>
      </c>
      <c r="M69" s="27" t="s">
        <v>82</v>
      </c>
      <c r="N69" s="27" t="s">
        <v>381</v>
      </c>
      <c r="O69" s="27" t="s">
        <v>382</v>
      </c>
      <c r="P69" s="27">
        <v>44960</v>
      </c>
      <c r="Q69" s="26" t="s">
        <v>383</v>
      </c>
      <c r="R69" s="26"/>
      <c r="S69" s="26"/>
      <c r="T69" s="26"/>
      <c r="U69" s="64"/>
      <c r="V69" s="64"/>
      <c r="W69" s="26"/>
      <c r="X69" s="64" t="s">
        <v>384</v>
      </c>
      <c r="Y69" s="49"/>
    </row>
    <row r="70" spans="1:25" ht="29.1" customHeight="1">
      <c r="A70" s="25" t="s">
        <v>385</v>
      </c>
      <c r="B70" s="49" t="s">
        <v>365</v>
      </c>
      <c r="C70" s="25" t="s">
        <v>366</v>
      </c>
      <c r="D70" s="25" t="s">
        <v>77</v>
      </c>
      <c r="E70" s="25" t="s">
        <v>386</v>
      </c>
      <c r="F70" s="58" t="s">
        <v>387</v>
      </c>
      <c r="G70" s="25"/>
      <c r="H70" s="25" t="s">
        <v>80</v>
      </c>
      <c r="I70" s="25"/>
      <c r="J70" s="26" t="str">
        <f>IFERROR(WORKDAY(Table14[[#This Row],[50% IFR - 
AE]],-15), " ")</f>
        <v xml:space="preserve"> </v>
      </c>
      <c r="K70" s="27" t="s">
        <v>82</v>
      </c>
      <c r="L70" s="27" t="s">
        <v>82</v>
      </c>
      <c r="M70" s="27" t="s">
        <v>82</v>
      </c>
      <c r="N70" s="27" t="s">
        <v>388</v>
      </c>
      <c r="O70" s="27"/>
      <c r="P70" s="27"/>
      <c r="Q70" s="26"/>
      <c r="R70" s="26"/>
      <c r="S70" s="26"/>
      <c r="T70" s="26"/>
      <c r="U70" s="64"/>
      <c r="V70" s="64"/>
      <c r="W70" s="26"/>
      <c r="X70" s="64" t="s">
        <v>389</v>
      </c>
      <c r="Y70" s="49"/>
    </row>
    <row r="71" spans="1:25" ht="29.1" customHeight="1">
      <c r="A71" s="58" t="s">
        <v>390</v>
      </c>
      <c r="B71" s="49"/>
      <c r="C71" s="25"/>
      <c r="D71" s="25"/>
      <c r="E71" s="25"/>
      <c r="F71" s="58"/>
      <c r="G71" s="25"/>
      <c r="H71" s="25"/>
      <c r="I71" s="25" t="s">
        <v>131</v>
      </c>
      <c r="J71" s="26" t="str">
        <f>IFERROR(WORKDAY(Table14[[#This Row],[50% IFR - 
AE]],-15), " ")</f>
        <v xml:space="preserve"> </v>
      </c>
      <c r="K71" s="27" t="s">
        <v>391</v>
      </c>
      <c r="L71" s="27" t="s">
        <v>392</v>
      </c>
      <c r="M71" s="27"/>
      <c r="N71" s="27" t="s">
        <v>393</v>
      </c>
      <c r="O71" s="27"/>
      <c r="P71" s="27" t="s">
        <v>394</v>
      </c>
      <c r="Q71" s="26">
        <v>44980</v>
      </c>
      <c r="R71" s="26"/>
      <c r="S71" s="26"/>
      <c r="T71" s="26"/>
      <c r="U71" s="64"/>
      <c r="V71" s="64"/>
      <c r="W71" s="26"/>
      <c r="X71" s="64"/>
      <c r="Y71" s="49"/>
    </row>
    <row r="72" spans="1:25" ht="29.1" customHeight="1">
      <c r="A72" s="58" t="s">
        <v>395</v>
      </c>
      <c r="B72" s="49"/>
      <c r="C72" s="25"/>
      <c r="D72" s="25"/>
      <c r="E72" s="25"/>
      <c r="F72" s="58"/>
      <c r="G72" s="25"/>
      <c r="H72" s="25"/>
      <c r="I72" s="25" t="s">
        <v>131</v>
      </c>
      <c r="J72" s="26" t="str">
        <f>IFERROR(WORKDAY(Table14[[#This Row],[50% IFR - 
AE]],-15), " ")</f>
        <v xml:space="preserve"> </v>
      </c>
      <c r="K72" s="27"/>
      <c r="L72" s="27"/>
      <c r="M72" s="27"/>
      <c r="N72" s="27"/>
      <c r="O72" s="27"/>
      <c r="P72" s="27" t="s">
        <v>378</v>
      </c>
      <c r="Q72" s="26"/>
      <c r="R72" s="26"/>
      <c r="S72" s="26"/>
      <c r="T72" s="26"/>
      <c r="U72" s="64"/>
      <c r="V72" s="64"/>
      <c r="W72" s="26"/>
      <c r="X72" s="64"/>
      <c r="Y72" s="49"/>
    </row>
    <row r="73" spans="1:25" ht="27" customHeight="1">
      <c r="A73" s="58" t="s">
        <v>396</v>
      </c>
      <c r="B73" s="49" t="s">
        <v>365</v>
      </c>
      <c r="C73" s="25"/>
      <c r="D73" s="25"/>
      <c r="E73" s="25"/>
      <c r="F73" s="58"/>
      <c r="G73" s="25"/>
      <c r="H73" s="25" t="s">
        <v>80</v>
      </c>
      <c r="I73" s="25" t="s">
        <v>131</v>
      </c>
      <c r="J73" s="26" t="str">
        <f>IFERROR(WORKDAY(Table14[[#This Row],[50% IFR - 
AE]],-15), " ")</f>
        <v xml:space="preserve"> </v>
      </c>
      <c r="K73" s="27" t="s">
        <v>397</v>
      </c>
      <c r="L73" s="27" t="s">
        <v>398</v>
      </c>
      <c r="M73" s="27" t="s">
        <v>399</v>
      </c>
      <c r="N73" s="27" t="s">
        <v>400</v>
      </c>
      <c r="O73" s="27"/>
      <c r="P73" s="27" t="s">
        <v>378</v>
      </c>
      <c r="Q73" s="26"/>
      <c r="R73" s="26"/>
      <c r="S73" s="26"/>
      <c r="T73" s="26"/>
      <c r="U73" s="64"/>
      <c r="V73" s="64"/>
      <c r="W73" s="26"/>
      <c r="X73" s="64"/>
      <c r="Y73" s="49"/>
    </row>
    <row r="74" spans="1:25" ht="42.6" customHeight="1">
      <c r="A74" s="25" t="s">
        <v>401</v>
      </c>
      <c r="B74" s="49" t="s">
        <v>402</v>
      </c>
      <c r="C74" s="25" t="s">
        <v>181</v>
      </c>
      <c r="D74" s="25" t="s">
        <v>77</v>
      </c>
      <c r="E74" s="25" t="s">
        <v>182</v>
      </c>
      <c r="F74" s="58" t="s">
        <v>183</v>
      </c>
      <c r="G74" s="25"/>
      <c r="H74" s="25" t="s">
        <v>80</v>
      </c>
      <c r="I74" s="26"/>
      <c r="J74" s="26" t="str">
        <f>IFERROR(WORKDAY(Table14[[#This Row],[50% IFR - 
AE]],-15), " ")</f>
        <v xml:space="preserve"> </v>
      </c>
      <c r="K74" s="27" t="s">
        <v>82</v>
      </c>
      <c r="L74" s="27" t="s">
        <v>82</v>
      </c>
      <c r="M74" s="27" t="s">
        <v>260</v>
      </c>
      <c r="N74" s="27" t="s">
        <v>403</v>
      </c>
      <c r="O74" s="61" t="s">
        <v>350</v>
      </c>
      <c r="P74" s="26">
        <v>45458</v>
      </c>
      <c r="Q74" s="26"/>
      <c r="R74" s="26"/>
      <c r="S74" s="26"/>
      <c r="T74" s="26"/>
      <c r="U74" s="64"/>
      <c r="V74" s="64"/>
      <c r="W74" s="26"/>
      <c r="X74" s="64"/>
      <c r="Y74" s="49" t="s">
        <v>404</v>
      </c>
    </row>
    <row r="75" spans="1:25" ht="22.5" customHeight="1">
      <c r="A75" s="25" t="s">
        <v>405</v>
      </c>
      <c r="B75" s="49" t="s">
        <v>402</v>
      </c>
      <c r="C75" s="25" t="s">
        <v>181</v>
      </c>
      <c r="D75" s="25" t="s">
        <v>214</v>
      </c>
      <c r="E75" s="25" t="s">
        <v>182</v>
      </c>
      <c r="F75" s="58" t="s">
        <v>183</v>
      </c>
      <c r="G75" s="25"/>
      <c r="H75" s="25" t="s">
        <v>160</v>
      </c>
      <c r="I75" s="26"/>
      <c r="J75" s="26">
        <f>IFERROR(WORKDAY(Table14[[#This Row],[50% IFR - 
AE]],-15), " ")</f>
        <v>45470</v>
      </c>
      <c r="K75" s="27"/>
      <c r="L75" s="27">
        <v>45491</v>
      </c>
      <c r="M75" s="27"/>
      <c r="N75" s="27">
        <v>45547</v>
      </c>
      <c r="O75" s="27"/>
      <c r="P75" s="27"/>
      <c r="Q75" s="26"/>
      <c r="R75" s="26"/>
      <c r="S75" s="26"/>
      <c r="T75" s="26"/>
      <c r="U75" s="64"/>
      <c r="V75" s="64"/>
      <c r="W75" s="26"/>
      <c r="X75" s="64"/>
      <c r="Y75" s="49"/>
    </row>
    <row r="76" spans="1:25" ht="27.6" customHeight="1">
      <c r="A76" s="25" t="s">
        <v>406</v>
      </c>
      <c r="B76" s="49" t="s">
        <v>407</v>
      </c>
      <c r="C76" s="25"/>
      <c r="D76" s="25"/>
      <c r="E76" s="25"/>
      <c r="F76" s="58"/>
      <c r="G76" s="25" t="s">
        <v>100</v>
      </c>
      <c r="H76" s="25" t="s">
        <v>80</v>
      </c>
      <c r="I76" s="26" t="s">
        <v>131</v>
      </c>
      <c r="J76" s="26" t="str">
        <f>IFERROR(WORKDAY(Table14[[#This Row],[50% IFR - 
AE]],-15), " ")</f>
        <v xml:space="preserve"> </v>
      </c>
      <c r="K76" s="27"/>
      <c r="L76" s="27"/>
      <c r="M76" s="27"/>
      <c r="N76" s="27" t="s">
        <v>408</v>
      </c>
      <c r="O76" s="27" t="s">
        <v>409</v>
      </c>
      <c r="P76" s="27" t="s">
        <v>410</v>
      </c>
      <c r="Q76" s="26" t="s">
        <v>411</v>
      </c>
      <c r="R76" s="26"/>
      <c r="S76" s="26"/>
      <c r="T76" s="26"/>
      <c r="U76" s="64"/>
      <c r="V76" s="64"/>
      <c r="W76" s="26"/>
      <c r="X76" s="64"/>
      <c r="Y76" s="49"/>
    </row>
    <row r="77" spans="1:25" ht="27" customHeight="1">
      <c r="A77" s="58" t="s">
        <v>412</v>
      </c>
      <c r="B77" s="49" t="s">
        <v>407</v>
      </c>
      <c r="C77" s="25"/>
      <c r="D77" s="25"/>
      <c r="E77" s="25"/>
      <c r="F77" s="58"/>
      <c r="G77" s="25" t="s">
        <v>100</v>
      </c>
      <c r="H77" s="25" t="s">
        <v>80</v>
      </c>
      <c r="I77" s="26" t="s">
        <v>131</v>
      </c>
      <c r="J77" s="26" t="str">
        <f>IFERROR(WORKDAY(Table14[[#This Row],[50% IFR - 
AE]],-15), " ")</f>
        <v xml:space="preserve"> </v>
      </c>
      <c r="K77" s="27" t="s">
        <v>413</v>
      </c>
      <c r="L77" s="27" t="s">
        <v>413</v>
      </c>
      <c r="M77" s="27" t="s">
        <v>414</v>
      </c>
      <c r="N77" s="27" t="s">
        <v>112</v>
      </c>
      <c r="O77" s="27" t="s">
        <v>415</v>
      </c>
      <c r="P77" s="27" t="s">
        <v>239</v>
      </c>
      <c r="Q77" s="27" t="s">
        <v>416</v>
      </c>
      <c r="R77" s="26"/>
      <c r="S77" s="26"/>
      <c r="T77" s="26"/>
      <c r="U77" s="64"/>
      <c r="V77" s="64"/>
      <c r="W77" s="26"/>
      <c r="X77" s="64"/>
      <c r="Y77" s="49"/>
    </row>
    <row r="78" spans="1:25" ht="27" customHeight="1">
      <c r="A78" s="58" t="s">
        <v>417</v>
      </c>
      <c r="B78" s="49" t="s">
        <v>407</v>
      </c>
      <c r="C78" s="25"/>
      <c r="D78" s="25"/>
      <c r="E78" s="25"/>
      <c r="F78" s="58"/>
      <c r="G78" s="25"/>
      <c r="H78" s="25" t="s">
        <v>80</v>
      </c>
      <c r="I78" s="26" t="s">
        <v>131</v>
      </c>
      <c r="J78" s="26" t="str">
        <f>IFERROR(WORKDAY(Table14[[#This Row],[50% IFR - 
AE]],-15), " ")</f>
        <v xml:space="preserve"> </v>
      </c>
      <c r="K78" s="27" t="s">
        <v>418</v>
      </c>
      <c r="L78" s="27" t="s">
        <v>104</v>
      </c>
      <c r="M78" s="27" t="s">
        <v>419</v>
      </c>
      <c r="N78" s="27" t="s">
        <v>420</v>
      </c>
      <c r="O78" s="27" t="s">
        <v>83</v>
      </c>
      <c r="P78" s="27" t="s">
        <v>421</v>
      </c>
      <c r="Q78" s="26" t="s">
        <v>422</v>
      </c>
      <c r="R78" s="26"/>
      <c r="S78" s="26"/>
      <c r="T78" s="26"/>
      <c r="U78" s="64"/>
      <c r="V78" s="64"/>
      <c r="W78" s="26"/>
      <c r="X78" s="64" t="s">
        <v>423</v>
      </c>
      <c r="Y78" s="49"/>
    </row>
    <row r="79" spans="1:25" ht="24.6" customHeight="1">
      <c r="A79" s="58" t="s">
        <v>424</v>
      </c>
      <c r="B79" s="49" t="s">
        <v>407</v>
      </c>
      <c r="C79" s="25"/>
      <c r="D79" s="25"/>
      <c r="E79" s="25"/>
      <c r="F79" s="58"/>
      <c r="G79" s="25"/>
      <c r="H79" s="25" t="s">
        <v>80</v>
      </c>
      <c r="I79" s="26" t="s">
        <v>131</v>
      </c>
      <c r="J79" s="26" t="str">
        <f>IFERROR(WORKDAY(Table14[[#This Row],[50% IFR - 
AE]],-15), " ")</f>
        <v xml:space="preserve"> </v>
      </c>
      <c r="K79" s="27" t="s">
        <v>425</v>
      </c>
      <c r="L79" s="27" t="s">
        <v>426</v>
      </c>
      <c r="M79" s="27" t="s">
        <v>427</v>
      </c>
      <c r="N79" s="27" t="s">
        <v>428</v>
      </c>
      <c r="O79" s="27">
        <v>45198</v>
      </c>
      <c r="P79" s="27" t="s">
        <v>429</v>
      </c>
      <c r="Q79" s="26" t="s">
        <v>430</v>
      </c>
      <c r="R79" s="26"/>
      <c r="S79" s="26"/>
      <c r="T79" s="26"/>
      <c r="U79" s="64"/>
      <c r="V79" s="64"/>
      <c r="W79" s="26"/>
      <c r="X79" s="64"/>
      <c r="Y79" s="49"/>
    </row>
    <row r="80" spans="1:25" ht="23.1" customHeight="1">
      <c r="A80" s="25" t="s">
        <v>431</v>
      </c>
      <c r="B80" s="49" t="s">
        <v>432</v>
      </c>
      <c r="C80" s="25"/>
      <c r="D80" s="25" t="s">
        <v>214</v>
      </c>
      <c r="E80" s="25" t="s">
        <v>433</v>
      </c>
      <c r="F80" s="58" t="s">
        <v>434</v>
      </c>
      <c r="G80" s="25"/>
      <c r="H80" s="25" t="s">
        <v>80</v>
      </c>
      <c r="I80" s="26"/>
      <c r="J80" s="26" t="str">
        <f>IFERROR(WORKDAY(Table14[[#This Row],[50% IFR - 
AE]],-15), " ")</f>
        <v xml:space="preserve"> </v>
      </c>
      <c r="K80" s="27"/>
      <c r="L80" s="27"/>
      <c r="M80" s="27"/>
      <c r="N80" s="27"/>
      <c r="O80" s="27"/>
      <c r="P80" s="27"/>
      <c r="Q80" s="26"/>
      <c r="R80" s="26"/>
      <c r="S80" s="26"/>
      <c r="T80" s="26"/>
      <c r="U80" s="64"/>
      <c r="V80" s="64"/>
      <c r="W80" s="26"/>
      <c r="X80" s="64"/>
      <c r="Y80" s="49"/>
    </row>
    <row r="81" spans="1:25" ht="19.350000000000001" customHeight="1">
      <c r="A81" s="58" t="s">
        <v>435</v>
      </c>
      <c r="B81" s="49" t="s">
        <v>432</v>
      </c>
      <c r="C81" s="25" t="s">
        <v>256</v>
      </c>
      <c r="D81" s="25" t="s">
        <v>77</v>
      </c>
      <c r="E81" s="25" t="s">
        <v>433</v>
      </c>
      <c r="F81" s="58" t="s">
        <v>434</v>
      </c>
      <c r="G81" s="25"/>
      <c r="H81" s="25" t="s">
        <v>80</v>
      </c>
      <c r="I81" s="25" t="s">
        <v>131</v>
      </c>
      <c r="J81" s="26" t="str">
        <f>IFERROR(WORKDAY(Table14[[#This Row],[50% IFR - 
AE]],-15), " ")</f>
        <v xml:space="preserve"> </v>
      </c>
      <c r="K81" s="27" t="s">
        <v>82</v>
      </c>
      <c r="L81" s="27" t="s">
        <v>436</v>
      </c>
      <c r="M81" s="27" t="s">
        <v>82</v>
      </c>
      <c r="N81" s="27" t="s">
        <v>437</v>
      </c>
      <c r="O81" s="27" t="s">
        <v>82</v>
      </c>
      <c r="P81" s="27" t="s">
        <v>438</v>
      </c>
      <c r="Q81" s="26">
        <v>45338</v>
      </c>
      <c r="R81" s="26"/>
      <c r="S81" s="26"/>
      <c r="T81" s="26"/>
      <c r="U81" s="64"/>
      <c r="V81" s="64" t="s">
        <v>439</v>
      </c>
      <c r="W81" s="26"/>
      <c r="X81" s="64" t="s">
        <v>440</v>
      </c>
      <c r="Y81" s="49" t="s">
        <v>441</v>
      </c>
    </row>
    <row r="82" spans="1:25" ht="19.350000000000001" customHeight="1">
      <c r="A82" s="58" t="s">
        <v>442</v>
      </c>
      <c r="B82" s="49" t="s">
        <v>432</v>
      </c>
      <c r="C82" s="25" t="s">
        <v>256</v>
      </c>
      <c r="D82" s="25" t="s">
        <v>77</v>
      </c>
      <c r="E82" s="25" t="s">
        <v>433</v>
      </c>
      <c r="F82" s="58" t="s">
        <v>434</v>
      </c>
      <c r="G82" s="25" t="s">
        <v>100</v>
      </c>
      <c r="H82" s="25" t="s">
        <v>80</v>
      </c>
      <c r="I82" s="26" t="s">
        <v>131</v>
      </c>
      <c r="J82" s="26" t="str">
        <f>IFERROR(WORKDAY(Table14[[#This Row],[50% IFR - 
AE]],-15), " ")</f>
        <v xml:space="preserve"> </v>
      </c>
      <c r="K82" s="27" t="s">
        <v>215</v>
      </c>
      <c r="L82" s="27" t="s">
        <v>443</v>
      </c>
      <c r="M82" s="27" t="s">
        <v>219</v>
      </c>
      <c r="N82" s="27" t="s">
        <v>444</v>
      </c>
      <c r="O82" s="27"/>
      <c r="P82" s="27"/>
      <c r="Q82" s="26" t="s">
        <v>268</v>
      </c>
      <c r="R82" s="26"/>
      <c r="S82" s="26"/>
      <c r="T82" s="26"/>
      <c r="U82" s="64"/>
      <c r="V82" s="64" t="s">
        <v>439</v>
      </c>
      <c r="W82" s="26"/>
      <c r="X82" s="64" t="s">
        <v>445</v>
      </c>
      <c r="Y82" s="49" t="s">
        <v>446</v>
      </c>
    </row>
    <row r="83" spans="1:25" ht="26.1" customHeight="1">
      <c r="A83" s="58" t="s">
        <v>447</v>
      </c>
      <c r="B83" s="49" t="s">
        <v>432</v>
      </c>
      <c r="C83" s="25" t="s">
        <v>256</v>
      </c>
      <c r="D83" s="25" t="s">
        <v>77</v>
      </c>
      <c r="E83" s="25" t="s">
        <v>433</v>
      </c>
      <c r="F83" s="58" t="s">
        <v>434</v>
      </c>
      <c r="G83" s="25"/>
      <c r="H83" s="25" t="s">
        <v>80</v>
      </c>
      <c r="I83" s="25" t="s">
        <v>131</v>
      </c>
      <c r="J83" s="26" t="str">
        <f>IFERROR(WORKDAY(Table14[[#This Row],[50% IFR - 
AE]],-15), " ")</f>
        <v xml:space="preserve"> </v>
      </c>
      <c r="K83" s="27" t="s">
        <v>82</v>
      </c>
      <c r="L83" s="27" t="s">
        <v>82</v>
      </c>
      <c r="M83" s="27" t="s">
        <v>82</v>
      </c>
      <c r="N83" s="27" t="s">
        <v>448</v>
      </c>
      <c r="O83" s="27" t="s">
        <v>449</v>
      </c>
      <c r="P83" s="27">
        <v>45435</v>
      </c>
      <c r="Q83" s="26" t="s">
        <v>268</v>
      </c>
      <c r="R83" s="26"/>
      <c r="S83" s="26"/>
      <c r="T83" s="26"/>
      <c r="U83" s="64"/>
      <c r="V83" s="64" t="s">
        <v>450</v>
      </c>
      <c r="W83" s="26"/>
      <c r="X83" s="64" t="s">
        <v>451</v>
      </c>
      <c r="Y83" s="49" t="s">
        <v>452</v>
      </c>
    </row>
    <row r="84" spans="1:25" ht="26.1" customHeight="1">
      <c r="A84" s="25"/>
      <c r="B84" s="49"/>
      <c r="C84" s="25"/>
      <c r="D84" s="25"/>
      <c r="E84" s="25"/>
      <c r="F84" s="25"/>
      <c r="G84" s="25"/>
      <c r="H84" s="25"/>
      <c r="I84" s="25"/>
      <c r="J84" s="26" t="str">
        <f>IFERROR(WORKDAY(Table14[[#This Row],[50% IFR - 
AE]],-15), " ")</f>
        <v xml:space="preserve"> </v>
      </c>
      <c r="K84" s="26"/>
      <c r="L84" s="26"/>
      <c r="M84" s="26"/>
      <c r="N84" s="26"/>
      <c r="O84" s="26"/>
      <c r="P84" s="26"/>
      <c r="Q84" s="26"/>
      <c r="R84" s="26"/>
      <c r="S84" s="26"/>
      <c r="T84" s="26"/>
      <c r="U84" s="64"/>
      <c r="V84" s="64"/>
      <c r="W84" s="26"/>
      <c r="X84" s="64"/>
      <c r="Y84" s="49"/>
    </row>
    <row r="85" spans="1:25" ht="26.1" customHeight="1">
      <c r="A85" s="25"/>
      <c r="B85" s="49"/>
      <c r="C85" s="25"/>
      <c r="D85" s="25"/>
      <c r="E85" s="25"/>
      <c r="F85" s="25"/>
      <c r="G85" s="25"/>
      <c r="H85" s="25"/>
      <c r="I85" s="25"/>
      <c r="J85" s="26" t="str">
        <f>IFERROR(WORKDAY(Table14[[#This Row],[50% IFR - 
AE]],-15), " ")</f>
        <v xml:space="preserve"> </v>
      </c>
      <c r="K85" s="26"/>
      <c r="L85" s="26"/>
      <c r="M85" s="26"/>
      <c r="N85" s="26"/>
      <c r="O85" s="26"/>
      <c r="P85" s="26"/>
      <c r="Q85" s="26"/>
      <c r="R85" s="26"/>
      <c r="S85" s="26"/>
      <c r="T85" s="26"/>
      <c r="U85" s="64"/>
      <c r="V85" s="64"/>
      <c r="W85" s="26"/>
      <c r="X85" s="64"/>
      <c r="Y85" s="49"/>
    </row>
    <row r="86" spans="1:25" ht="26.1" customHeight="1">
      <c r="A86" s="25"/>
      <c r="B86" s="49"/>
      <c r="C86" s="25"/>
      <c r="D86" s="25"/>
      <c r="E86" s="25"/>
      <c r="F86" s="25"/>
      <c r="G86" s="25"/>
      <c r="H86" s="25"/>
      <c r="I86" s="25"/>
      <c r="J86" s="26" t="str">
        <f>IFERROR(WORKDAY(Table14[[#This Row],[50% IFR - 
AE]],-15), " ")</f>
        <v xml:space="preserve"> </v>
      </c>
      <c r="K86" s="26"/>
      <c r="L86" s="26"/>
      <c r="M86" s="26"/>
      <c r="N86" s="26"/>
      <c r="O86" s="26"/>
      <c r="P86" s="26"/>
      <c r="Q86" s="26"/>
      <c r="R86" s="26"/>
      <c r="S86" s="26"/>
      <c r="T86" s="26"/>
      <c r="U86" s="64"/>
      <c r="V86" s="64"/>
      <c r="W86" s="26"/>
      <c r="X86" s="64"/>
      <c r="Y86" s="49"/>
    </row>
    <row r="87" spans="1:25" ht="26.1" customHeight="1">
      <c r="A87" s="25"/>
      <c r="B87" s="49"/>
      <c r="C87" s="25"/>
      <c r="D87" s="25"/>
      <c r="E87" s="25"/>
      <c r="F87" s="25"/>
      <c r="G87" s="25"/>
      <c r="H87" s="25"/>
      <c r="I87" s="25"/>
      <c r="J87" s="26" t="str">
        <f>IFERROR(WORKDAY(Table14[[#This Row],[50% IFR - 
AE]],-15), " ")</f>
        <v xml:space="preserve"> </v>
      </c>
      <c r="K87" s="26"/>
      <c r="L87" s="26"/>
      <c r="M87" s="26"/>
      <c r="N87" s="26"/>
      <c r="O87" s="26"/>
      <c r="P87" s="26"/>
      <c r="Q87" s="26"/>
      <c r="R87" s="26"/>
      <c r="S87" s="26"/>
      <c r="T87" s="26"/>
      <c r="U87" s="64"/>
      <c r="V87" s="64"/>
      <c r="W87" s="26"/>
      <c r="X87" s="64"/>
      <c r="Y87" s="49"/>
    </row>
    <row r="88" spans="1:25" ht="26.1" customHeight="1">
      <c r="A88" s="25"/>
      <c r="B88" s="49"/>
      <c r="C88" s="25"/>
      <c r="D88" s="25"/>
      <c r="E88" s="25"/>
      <c r="F88" s="25"/>
      <c r="G88" s="25"/>
      <c r="H88" s="25"/>
      <c r="I88" s="25"/>
      <c r="J88" s="26" t="str">
        <f>IFERROR(WORKDAY(Table14[[#This Row],[50% IFR - 
AE]],-15), " ")</f>
        <v xml:space="preserve"> </v>
      </c>
      <c r="K88" s="26"/>
      <c r="L88" s="26"/>
      <c r="M88" s="26"/>
      <c r="N88" s="26"/>
      <c r="O88" s="26"/>
      <c r="P88" s="26"/>
      <c r="Q88" s="26"/>
      <c r="R88" s="26"/>
      <c r="S88" s="26"/>
      <c r="T88" s="26"/>
      <c r="U88" s="64"/>
      <c r="V88" s="64"/>
      <c r="W88" s="26"/>
      <c r="X88" s="64"/>
      <c r="Y88" s="49"/>
    </row>
    <row r="89" spans="1:25" ht="26.1" customHeight="1">
      <c r="A89" s="25"/>
      <c r="B89" s="49"/>
      <c r="C89" s="25"/>
      <c r="D89" s="25"/>
      <c r="E89" s="25"/>
      <c r="F89" s="25"/>
      <c r="G89" s="25"/>
      <c r="H89" s="25"/>
      <c r="I89" s="25"/>
      <c r="J89" s="26" t="str">
        <f>IFERROR(WORKDAY(Table14[[#This Row],[50% IFR - 
AE]],-15), " ")</f>
        <v xml:space="preserve"> </v>
      </c>
      <c r="K89" s="26"/>
      <c r="L89" s="26"/>
      <c r="M89" s="26"/>
      <c r="N89" s="26"/>
      <c r="O89" s="26"/>
      <c r="P89" s="26"/>
      <c r="Q89" s="26"/>
      <c r="R89" s="26"/>
      <c r="S89" s="26"/>
      <c r="T89" s="26"/>
      <c r="U89" s="64"/>
      <c r="V89" s="64"/>
      <c r="W89" s="26"/>
      <c r="X89" s="64"/>
      <c r="Y89" s="49"/>
    </row>
    <row r="90" spans="1:25" ht="26.1" customHeight="1">
      <c r="A90" s="25"/>
      <c r="B90" s="49"/>
      <c r="C90" s="25"/>
      <c r="D90" s="25"/>
      <c r="E90" s="25"/>
      <c r="F90" s="25"/>
      <c r="G90" s="25"/>
      <c r="H90" s="25"/>
      <c r="I90" s="25"/>
      <c r="J90" s="26" t="str">
        <f>IFERROR(WORKDAY(Table14[[#This Row],[50% IFR - 
AE]],-15), " ")</f>
        <v xml:space="preserve"> </v>
      </c>
      <c r="K90" s="26"/>
      <c r="L90" s="26"/>
      <c r="M90" s="26"/>
      <c r="N90" s="26"/>
      <c r="O90" s="26"/>
      <c r="P90" s="26"/>
      <c r="Q90" s="26"/>
      <c r="R90" s="26"/>
      <c r="S90" s="26"/>
      <c r="T90" s="26"/>
      <c r="U90" s="64"/>
      <c r="V90" s="64"/>
      <c r="W90" s="26"/>
      <c r="X90" s="64"/>
      <c r="Y90" s="49"/>
    </row>
    <row r="91" spans="1:25" ht="26.1" customHeight="1">
      <c r="A91" s="25"/>
      <c r="B91" s="49"/>
      <c r="C91" s="25"/>
      <c r="D91" s="25"/>
      <c r="E91" s="25"/>
      <c r="F91" s="25"/>
      <c r="G91" s="25"/>
      <c r="H91" s="25"/>
      <c r="I91" s="25"/>
      <c r="J91" s="26" t="str">
        <f>IFERROR(WORKDAY(Table14[[#This Row],[50% IFR - 
AE]],-15), " ")</f>
        <v xml:space="preserve"> </v>
      </c>
      <c r="K91" s="26"/>
      <c r="L91" s="26"/>
      <c r="M91" s="26"/>
      <c r="N91" s="26"/>
      <c r="O91" s="26"/>
      <c r="P91" s="26"/>
      <c r="Q91" s="26"/>
      <c r="R91" s="26"/>
      <c r="S91" s="26"/>
      <c r="T91" s="26"/>
      <c r="U91" s="64"/>
      <c r="V91" s="64"/>
      <c r="W91" s="26"/>
      <c r="X91" s="64"/>
      <c r="Y91" s="49"/>
    </row>
    <row r="92" spans="1:25" ht="26.1" customHeight="1">
      <c r="A92" s="25"/>
      <c r="B92" s="49"/>
      <c r="C92" s="25"/>
      <c r="D92" s="25"/>
      <c r="E92" s="25"/>
      <c r="F92" s="25"/>
      <c r="G92" s="25"/>
      <c r="H92" s="25"/>
      <c r="I92" s="25"/>
      <c r="J92" s="26" t="str">
        <f>IFERROR(WORKDAY(Table14[[#This Row],[50% IFR - 
AE]],-15), " ")</f>
        <v xml:space="preserve"> </v>
      </c>
      <c r="K92" s="26"/>
      <c r="L92" s="26"/>
      <c r="M92" s="26"/>
      <c r="N92" s="26"/>
      <c r="O92" s="26"/>
      <c r="P92" s="26"/>
      <c r="Q92" s="26"/>
      <c r="R92" s="26"/>
      <c r="S92" s="26"/>
      <c r="T92" s="26"/>
      <c r="U92" s="64"/>
      <c r="V92" s="64"/>
      <c r="W92" s="26"/>
      <c r="X92" s="64"/>
      <c r="Y92" s="49"/>
    </row>
    <row r="93" spans="1:25" ht="26.1" customHeight="1">
      <c r="A93" s="25"/>
      <c r="B93" s="49"/>
      <c r="C93" s="25"/>
      <c r="D93" s="25"/>
      <c r="E93" s="25"/>
      <c r="F93" s="25"/>
      <c r="G93" s="25"/>
      <c r="H93" s="25"/>
      <c r="I93" s="25"/>
      <c r="J93" s="26" t="str">
        <f>IFERROR(WORKDAY(Table14[[#This Row],[50% IFR - 
AE]],-15), " ")</f>
        <v xml:space="preserve"> </v>
      </c>
      <c r="K93" s="26"/>
      <c r="L93" s="26"/>
      <c r="M93" s="26"/>
      <c r="N93" s="26"/>
      <c r="O93" s="26"/>
      <c r="P93" s="26"/>
      <c r="Q93" s="26"/>
      <c r="R93" s="26"/>
      <c r="S93" s="26"/>
      <c r="T93" s="26"/>
      <c r="U93" s="64"/>
      <c r="V93" s="64"/>
      <c r="W93" s="26"/>
      <c r="X93" s="64"/>
      <c r="Y93" s="49"/>
    </row>
    <row r="94" spans="1:25" ht="26.1" customHeight="1">
      <c r="A94" s="25"/>
      <c r="B94" s="49"/>
      <c r="C94" s="25"/>
      <c r="D94" s="25"/>
      <c r="E94" s="25"/>
      <c r="F94" s="25"/>
      <c r="G94" s="25"/>
      <c r="H94" s="25"/>
      <c r="I94" s="25"/>
      <c r="J94" s="26" t="str">
        <f>IFERROR(WORKDAY(Table14[[#This Row],[50% IFR - 
AE]],-15), " ")</f>
        <v xml:space="preserve"> </v>
      </c>
      <c r="K94" s="26"/>
      <c r="L94" s="26"/>
      <c r="M94" s="26"/>
      <c r="N94" s="26"/>
      <c r="O94" s="26"/>
      <c r="P94" s="26"/>
      <c r="Q94" s="26"/>
      <c r="R94" s="26"/>
      <c r="S94" s="26"/>
      <c r="T94" s="26"/>
      <c r="U94" s="64"/>
      <c r="V94" s="64"/>
      <c r="W94" s="26"/>
      <c r="X94" s="64"/>
      <c r="Y94" s="49"/>
    </row>
    <row r="95" spans="1:25" ht="26.1" customHeight="1">
      <c r="A95" s="25"/>
      <c r="B95" s="49"/>
      <c r="C95" s="25"/>
      <c r="D95" s="25"/>
      <c r="E95" s="25"/>
      <c r="F95" s="25"/>
      <c r="G95" s="25"/>
      <c r="H95" s="25"/>
      <c r="I95" s="25"/>
      <c r="J95" s="26" t="str">
        <f>IFERROR(WORKDAY(Table14[[#This Row],[50% IFR - 
AE]],-15), " ")</f>
        <v xml:space="preserve"> </v>
      </c>
      <c r="K95" s="26"/>
      <c r="L95" s="26"/>
      <c r="M95" s="26"/>
      <c r="N95" s="26"/>
      <c r="O95" s="26"/>
      <c r="P95" s="26"/>
      <c r="Q95" s="26"/>
      <c r="R95" s="26"/>
      <c r="S95" s="26"/>
      <c r="T95" s="26"/>
      <c r="U95" s="64"/>
      <c r="V95" s="64"/>
      <c r="W95" s="26"/>
      <c r="X95" s="64"/>
      <c r="Y95" s="49"/>
    </row>
    <row r="96" spans="1:25" ht="26.1" customHeight="1">
      <c r="A96" s="25"/>
      <c r="B96" s="49"/>
      <c r="C96" s="25"/>
      <c r="D96" s="25"/>
      <c r="E96" s="25"/>
      <c r="F96" s="25"/>
      <c r="G96" s="25"/>
      <c r="H96" s="25"/>
      <c r="I96" s="25"/>
      <c r="J96" s="26" t="str">
        <f>IFERROR(WORKDAY(Table14[[#This Row],[50% IFR - 
AE]],-15), " ")</f>
        <v xml:space="preserve"> </v>
      </c>
      <c r="K96" s="26"/>
      <c r="L96" s="26"/>
      <c r="M96" s="26"/>
      <c r="N96" s="26"/>
      <c r="O96" s="26"/>
      <c r="P96" s="26"/>
      <c r="Q96" s="26"/>
      <c r="R96" s="26"/>
      <c r="S96" s="26"/>
      <c r="T96" s="26"/>
      <c r="U96" s="64"/>
      <c r="V96" s="64"/>
      <c r="W96" s="26"/>
      <c r="X96" s="64"/>
      <c r="Y96" s="49"/>
    </row>
    <row r="97" spans="1:25" ht="26.1" customHeight="1">
      <c r="A97" s="25"/>
      <c r="B97" s="49"/>
      <c r="C97" s="25"/>
      <c r="D97" s="25"/>
      <c r="E97" s="25"/>
      <c r="F97" s="25"/>
      <c r="G97" s="25"/>
      <c r="H97" s="25"/>
      <c r="I97" s="25"/>
      <c r="J97" s="26" t="str">
        <f>IFERROR(WORKDAY(Table14[[#This Row],[50% IFR - 
AE]],-15), " ")</f>
        <v xml:space="preserve"> </v>
      </c>
      <c r="K97" s="26"/>
      <c r="L97" s="26"/>
      <c r="M97" s="26"/>
      <c r="N97" s="26"/>
      <c r="O97" s="26"/>
      <c r="P97" s="26"/>
      <c r="Q97" s="26"/>
      <c r="R97" s="26"/>
      <c r="S97" s="26"/>
      <c r="T97" s="26"/>
      <c r="U97" s="64"/>
      <c r="V97" s="64"/>
      <c r="W97" s="26"/>
      <c r="X97" s="64"/>
      <c r="Y97" s="49"/>
    </row>
    <row r="98" spans="1:25" ht="26.1" customHeight="1">
      <c r="A98" s="25"/>
      <c r="B98" s="49"/>
      <c r="C98" s="25"/>
      <c r="D98" s="25"/>
      <c r="E98" s="25"/>
      <c r="F98" s="25"/>
      <c r="G98" s="25"/>
      <c r="H98" s="25"/>
      <c r="I98" s="25"/>
      <c r="J98" s="26" t="str">
        <f>IFERROR(WORKDAY(Table14[[#This Row],[50% IFR - 
AE]],-15), " ")</f>
        <v xml:space="preserve"> </v>
      </c>
      <c r="K98" s="26"/>
      <c r="L98" s="26"/>
      <c r="M98" s="26"/>
      <c r="N98" s="26"/>
      <c r="O98" s="26"/>
      <c r="P98" s="26"/>
      <c r="Q98" s="26"/>
      <c r="R98" s="26"/>
      <c r="S98" s="26"/>
      <c r="T98" s="26"/>
      <c r="U98" s="64"/>
      <c r="V98" s="64"/>
      <c r="W98" s="26"/>
      <c r="X98" s="64"/>
      <c r="Y98" s="49"/>
    </row>
    <row r="99" spans="1:25" ht="26.1" customHeight="1">
      <c r="A99" s="25"/>
      <c r="B99" s="49"/>
      <c r="C99" s="25"/>
      <c r="D99" s="25"/>
      <c r="E99" s="25"/>
      <c r="F99" s="25"/>
      <c r="G99" s="25"/>
      <c r="H99" s="25"/>
      <c r="I99" s="25"/>
      <c r="J99" s="26" t="str">
        <f>IFERROR(WORKDAY(Table14[[#This Row],[50% IFR - 
AE]],-15), " ")</f>
        <v xml:space="preserve"> </v>
      </c>
      <c r="K99" s="26"/>
      <c r="L99" s="26"/>
      <c r="M99" s="26"/>
      <c r="N99" s="26"/>
      <c r="O99" s="26"/>
      <c r="P99" s="26"/>
      <c r="Q99" s="26"/>
      <c r="R99" s="26"/>
      <c r="S99" s="26"/>
      <c r="T99" s="26"/>
      <c r="U99" s="64"/>
      <c r="V99" s="64"/>
      <c r="W99" s="26"/>
      <c r="X99" s="64"/>
      <c r="Y99" s="49"/>
    </row>
    <row r="100" spans="1:25" ht="26.1" customHeight="1">
      <c r="A100" s="25"/>
      <c r="B100" s="49"/>
      <c r="C100" s="25"/>
      <c r="D100" s="25"/>
      <c r="E100" s="25"/>
      <c r="F100" s="25"/>
      <c r="G100" s="25"/>
      <c r="H100" s="25"/>
      <c r="I100" s="25"/>
      <c r="J100" s="26" t="str">
        <f>IFERROR(WORKDAY(Table14[[#This Row],[50% IFR - 
AE]],-15), " ")</f>
        <v xml:space="preserve"> </v>
      </c>
      <c r="K100" s="26"/>
      <c r="L100" s="26"/>
      <c r="M100" s="26"/>
      <c r="N100" s="26"/>
      <c r="O100" s="26"/>
      <c r="P100" s="26"/>
      <c r="Q100" s="26"/>
      <c r="R100" s="26"/>
      <c r="S100" s="26"/>
      <c r="T100" s="26"/>
      <c r="U100" s="64"/>
      <c r="V100" s="64"/>
      <c r="W100" s="26"/>
      <c r="X100" s="64"/>
      <c r="Y100" s="49"/>
    </row>
    <row r="101" spans="1:25" ht="26.1" customHeight="1">
      <c r="A101" s="25"/>
      <c r="B101" s="49"/>
      <c r="C101" s="25"/>
      <c r="D101" s="25"/>
      <c r="E101" s="25"/>
      <c r="F101" s="25"/>
      <c r="G101" s="25"/>
      <c r="H101" s="25"/>
      <c r="I101" s="25"/>
      <c r="J101" s="26" t="str">
        <f>IFERROR(WORKDAY(Table14[[#This Row],[50% IFR - 
AE]],-15), " ")</f>
        <v xml:space="preserve"> </v>
      </c>
      <c r="K101" s="26"/>
      <c r="L101" s="26"/>
      <c r="M101" s="26"/>
      <c r="N101" s="26"/>
      <c r="O101" s="26"/>
      <c r="P101" s="26"/>
      <c r="Q101" s="26"/>
      <c r="R101" s="26"/>
      <c r="S101" s="26"/>
      <c r="T101" s="26"/>
      <c r="U101" s="64"/>
      <c r="V101" s="64"/>
      <c r="W101" s="26"/>
      <c r="X101" s="64"/>
      <c r="Y101" s="49"/>
    </row>
    <row r="102" spans="1:25" ht="26.1" customHeight="1">
      <c r="A102" s="25"/>
      <c r="B102" s="49"/>
      <c r="C102" s="25"/>
      <c r="D102" s="25"/>
      <c r="E102" s="25"/>
      <c r="F102" s="25"/>
      <c r="G102" s="25"/>
      <c r="H102" s="25"/>
      <c r="I102" s="25"/>
      <c r="J102" s="26" t="str">
        <f>IFERROR(WORKDAY(Table14[[#This Row],[50% IFR - 
AE]],-15), " ")</f>
        <v xml:space="preserve"> </v>
      </c>
      <c r="K102" s="26"/>
      <c r="L102" s="26"/>
      <c r="M102" s="26"/>
      <c r="N102" s="26"/>
      <c r="O102" s="26"/>
      <c r="P102" s="26"/>
      <c r="Q102" s="26"/>
      <c r="R102" s="26"/>
      <c r="S102" s="26"/>
      <c r="T102" s="26"/>
      <c r="U102" s="64"/>
      <c r="V102" s="64"/>
      <c r="W102" s="26"/>
      <c r="X102" s="64"/>
      <c r="Y102" s="49"/>
    </row>
    <row r="103" spans="1:25" ht="26.1" customHeight="1">
      <c r="A103" s="25"/>
      <c r="B103" s="49"/>
      <c r="C103" s="25"/>
      <c r="D103" s="25"/>
      <c r="E103" s="25"/>
      <c r="F103" s="25"/>
      <c r="G103" s="25"/>
      <c r="H103" s="25"/>
      <c r="I103" s="25"/>
      <c r="J103" s="26" t="str">
        <f>IFERROR(WORKDAY(Table14[[#This Row],[50% IFR - 
AE]],-15), " ")</f>
        <v xml:space="preserve"> </v>
      </c>
      <c r="K103" s="26"/>
      <c r="L103" s="26"/>
      <c r="M103" s="26"/>
      <c r="N103" s="26"/>
      <c r="O103" s="26"/>
      <c r="P103" s="26"/>
      <c r="Q103" s="26"/>
      <c r="R103" s="26"/>
      <c r="S103" s="26"/>
      <c r="T103" s="26"/>
      <c r="U103" s="64"/>
      <c r="V103" s="64"/>
      <c r="W103" s="26"/>
      <c r="X103" s="64"/>
      <c r="Y103" s="49"/>
    </row>
    <row r="104" spans="1:25" ht="26.1" customHeight="1">
      <c r="A104" s="25"/>
      <c r="B104" s="49"/>
      <c r="C104" s="25"/>
      <c r="D104" s="25"/>
      <c r="E104" s="25"/>
      <c r="F104" s="25"/>
      <c r="G104" s="25"/>
      <c r="H104" s="25"/>
      <c r="I104" s="25"/>
      <c r="J104" s="26" t="str">
        <f>IFERROR(WORKDAY(Table14[[#This Row],[50% IFR - 
AE]],-15), " ")</f>
        <v xml:space="preserve"> </v>
      </c>
      <c r="K104" s="26"/>
      <c r="L104" s="26"/>
      <c r="M104" s="26"/>
      <c r="N104" s="26"/>
      <c r="O104" s="26"/>
      <c r="P104" s="26"/>
      <c r="Q104" s="26"/>
      <c r="R104" s="26"/>
      <c r="S104" s="26"/>
      <c r="T104" s="26"/>
      <c r="U104" s="64"/>
      <c r="V104" s="64"/>
      <c r="W104" s="26"/>
      <c r="X104" s="64"/>
      <c r="Y104" s="49"/>
    </row>
    <row r="105" spans="1:25" ht="26.1" customHeight="1">
      <c r="A105" s="25"/>
      <c r="B105" s="49"/>
      <c r="C105" s="25"/>
      <c r="D105" s="25"/>
      <c r="E105" s="25"/>
      <c r="F105" s="25"/>
      <c r="G105" s="25"/>
      <c r="H105" s="25"/>
      <c r="I105" s="25"/>
      <c r="J105" s="26" t="str">
        <f>IFERROR(WORKDAY(Table14[[#This Row],[50% IFR - 
AE]],-15), " ")</f>
        <v xml:space="preserve"> </v>
      </c>
      <c r="K105" s="26"/>
      <c r="L105" s="26"/>
      <c r="M105" s="26"/>
      <c r="N105" s="26"/>
      <c r="O105" s="26"/>
      <c r="P105" s="26"/>
      <c r="Q105" s="26"/>
      <c r="R105" s="26"/>
      <c r="S105" s="26"/>
      <c r="T105" s="26"/>
      <c r="U105" s="64"/>
      <c r="V105" s="64"/>
      <c r="W105" s="26"/>
      <c r="X105" s="64"/>
      <c r="Y105" s="49"/>
    </row>
    <row r="106" spans="1:25" ht="26.1" customHeight="1">
      <c r="A106" s="25"/>
      <c r="B106" s="49"/>
      <c r="C106" s="25"/>
      <c r="D106" s="25"/>
      <c r="E106" s="25"/>
      <c r="F106" s="25"/>
      <c r="G106" s="25"/>
      <c r="H106" s="25"/>
      <c r="I106" s="25"/>
      <c r="J106" s="26" t="str">
        <f>IFERROR(WORKDAY(Table14[[#This Row],[50% IFR - 
AE]],-15), " ")</f>
        <v xml:space="preserve"> </v>
      </c>
      <c r="K106" s="26"/>
      <c r="L106" s="26"/>
      <c r="M106" s="26"/>
      <c r="N106" s="26"/>
      <c r="O106" s="26"/>
      <c r="P106" s="26"/>
      <c r="Q106" s="26"/>
      <c r="R106" s="26"/>
      <c r="S106" s="26"/>
      <c r="T106" s="26"/>
      <c r="U106" s="64"/>
      <c r="V106" s="64"/>
      <c r="W106" s="26"/>
      <c r="X106" s="64"/>
      <c r="Y106" s="49"/>
    </row>
    <row r="107" spans="1:25" ht="26.1" customHeight="1">
      <c r="A107" s="25"/>
      <c r="B107" s="49"/>
      <c r="C107" s="25"/>
      <c r="D107" s="25"/>
      <c r="E107" s="25"/>
      <c r="F107" s="25"/>
      <c r="G107" s="25"/>
      <c r="H107" s="25"/>
      <c r="I107" s="25"/>
      <c r="J107" s="26" t="str">
        <f>IFERROR(WORKDAY(Table14[[#This Row],[50% IFR - 
AE]],-15), " ")</f>
        <v xml:space="preserve"> </v>
      </c>
      <c r="K107" s="26"/>
      <c r="L107" s="26"/>
      <c r="M107" s="26"/>
      <c r="N107" s="26"/>
      <c r="O107" s="26"/>
      <c r="P107" s="26"/>
      <c r="Q107" s="26"/>
      <c r="R107" s="26"/>
      <c r="S107" s="26"/>
      <c r="T107" s="26"/>
      <c r="U107" s="64"/>
      <c r="V107" s="64"/>
      <c r="W107" s="26"/>
      <c r="X107" s="64"/>
      <c r="Y107" s="49"/>
    </row>
    <row r="108" spans="1:25" ht="26.1" customHeight="1">
      <c r="A108" s="25"/>
      <c r="B108" s="49"/>
      <c r="C108" s="25"/>
      <c r="D108" s="25"/>
      <c r="E108" s="25"/>
      <c r="F108" s="25"/>
      <c r="G108" s="25"/>
      <c r="H108" s="25"/>
      <c r="I108" s="25"/>
      <c r="J108" s="26" t="str">
        <f>IFERROR(WORKDAY(Table14[[#This Row],[50% IFR - 
AE]],-15), " ")</f>
        <v xml:space="preserve"> </v>
      </c>
      <c r="K108" s="26"/>
      <c r="L108" s="26"/>
      <c r="M108" s="26"/>
      <c r="N108" s="26"/>
      <c r="O108" s="26"/>
      <c r="P108" s="26"/>
      <c r="Q108" s="26"/>
      <c r="R108" s="26"/>
      <c r="S108" s="26"/>
      <c r="T108" s="26"/>
      <c r="U108" s="64"/>
      <c r="V108" s="64"/>
      <c r="W108" s="26"/>
      <c r="X108" s="64"/>
      <c r="Y108" s="49"/>
    </row>
    <row r="109" spans="1:25" ht="26.1" customHeight="1">
      <c r="A109" s="25"/>
      <c r="B109" s="49"/>
      <c r="C109" s="25"/>
      <c r="D109" s="25"/>
      <c r="E109" s="25"/>
      <c r="F109" s="25"/>
      <c r="G109" s="25"/>
      <c r="H109" s="25"/>
      <c r="I109" s="25"/>
      <c r="J109" s="26" t="str">
        <f>IFERROR(WORKDAY(Table14[[#This Row],[50% IFR - 
AE]],-15), " ")</f>
        <v xml:space="preserve"> </v>
      </c>
      <c r="K109" s="26"/>
      <c r="L109" s="26"/>
      <c r="M109" s="26"/>
      <c r="N109" s="26"/>
      <c r="O109" s="26"/>
      <c r="P109" s="26"/>
      <c r="Q109" s="26"/>
      <c r="R109" s="26"/>
      <c r="S109" s="26"/>
      <c r="T109" s="26"/>
      <c r="U109" s="64"/>
      <c r="V109" s="64"/>
      <c r="W109" s="26"/>
      <c r="X109" s="64"/>
      <c r="Y109" s="49"/>
    </row>
    <row r="110" spans="1:25" ht="26.1" customHeight="1">
      <c r="A110" s="25"/>
      <c r="B110" s="49"/>
      <c r="C110" s="25"/>
      <c r="D110" s="25"/>
      <c r="E110" s="25"/>
      <c r="F110" s="25"/>
      <c r="G110" s="25"/>
      <c r="H110" s="25"/>
      <c r="I110" s="25"/>
      <c r="J110" s="26" t="str">
        <f>IFERROR(WORKDAY(Table14[[#This Row],[50% IFR - 
AE]],-15), " ")</f>
        <v xml:space="preserve"> </v>
      </c>
      <c r="K110" s="26"/>
      <c r="L110" s="26"/>
      <c r="M110" s="26"/>
      <c r="N110" s="26"/>
      <c r="O110" s="26"/>
      <c r="P110" s="26"/>
      <c r="Q110" s="26"/>
      <c r="R110" s="26"/>
      <c r="S110" s="26"/>
      <c r="T110" s="26"/>
      <c r="U110" s="64"/>
      <c r="V110" s="64"/>
      <c r="W110" s="26"/>
      <c r="X110" s="64"/>
      <c r="Y110" s="49"/>
    </row>
    <row r="111" spans="1:25" ht="26.1" customHeight="1">
      <c r="A111" s="25"/>
      <c r="B111" s="49"/>
      <c r="C111" s="25"/>
      <c r="D111" s="25"/>
      <c r="E111" s="25"/>
      <c r="F111" s="25"/>
      <c r="G111" s="25"/>
      <c r="H111" s="25"/>
      <c r="I111" s="25"/>
      <c r="J111" s="26" t="str">
        <f>IFERROR(WORKDAY(Table14[[#This Row],[50% IFR - 
AE]],-15), " ")</f>
        <v xml:space="preserve"> </v>
      </c>
      <c r="K111" s="26"/>
      <c r="L111" s="26"/>
      <c r="M111" s="26"/>
      <c r="N111" s="26"/>
      <c r="O111" s="26"/>
      <c r="P111" s="26"/>
      <c r="Q111" s="26"/>
      <c r="R111" s="26"/>
      <c r="S111" s="26"/>
      <c r="T111" s="26"/>
      <c r="U111" s="64"/>
      <c r="V111" s="64"/>
      <c r="W111" s="26"/>
      <c r="X111" s="64"/>
      <c r="Y111" s="49"/>
    </row>
    <row r="112" spans="1:25" ht="26.1" customHeight="1">
      <c r="A112" s="25"/>
      <c r="B112" s="49"/>
      <c r="C112" s="25"/>
      <c r="D112" s="25"/>
      <c r="E112" s="25"/>
      <c r="F112" s="25"/>
      <c r="G112" s="25"/>
      <c r="H112" s="25"/>
      <c r="I112" s="25"/>
      <c r="J112" s="26" t="str">
        <f>IFERROR(WORKDAY(Table14[[#This Row],[50% IFR - 
AE]],-15), " ")</f>
        <v xml:space="preserve"> </v>
      </c>
      <c r="K112" s="26"/>
      <c r="L112" s="26"/>
      <c r="M112" s="26"/>
      <c r="N112" s="26"/>
      <c r="O112" s="26"/>
      <c r="P112" s="26"/>
      <c r="Q112" s="26"/>
      <c r="R112" s="26"/>
      <c r="S112" s="26"/>
      <c r="T112" s="26"/>
      <c r="U112" s="64"/>
      <c r="V112" s="64"/>
      <c r="W112" s="26"/>
      <c r="X112" s="64"/>
      <c r="Y112" s="49"/>
    </row>
    <row r="113" spans="1:25" ht="26.1" customHeight="1">
      <c r="A113" s="25"/>
      <c r="B113" s="49"/>
      <c r="C113" s="25"/>
      <c r="D113" s="25"/>
      <c r="E113" s="25"/>
      <c r="F113" s="25"/>
      <c r="G113" s="25"/>
      <c r="H113" s="25"/>
      <c r="I113" s="25"/>
      <c r="J113" s="26" t="str">
        <f>IFERROR(WORKDAY(Table14[[#This Row],[50% IFR - 
AE]],-15), " ")</f>
        <v xml:space="preserve"> </v>
      </c>
      <c r="K113" s="26"/>
      <c r="L113" s="26"/>
      <c r="M113" s="26"/>
      <c r="N113" s="26"/>
      <c r="O113" s="26"/>
      <c r="P113" s="26"/>
      <c r="Q113" s="26"/>
      <c r="R113" s="26"/>
      <c r="S113" s="26"/>
      <c r="T113" s="26"/>
      <c r="U113" s="64"/>
      <c r="V113" s="64"/>
      <c r="W113" s="26"/>
      <c r="X113" s="64"/>
      <c r="Y113" s="49"/>
    </row>
    <row r="114" spans="1:25" ht="26.1" customHeight="1">
      <c r="A114" s="25"/>
      <c r="B114" s="49"/>
      <c r="C114" s="25"/>
      <c r="D114" s="25"/>
      <c r="E114" s="25"/>
      <c r="F114" s="25"/>
      <c r="G114" s="25"/>
      <c r="H114" s="25"/>
      <c r="I114" s="25"/>
      <c r="J114" s="26" t="str">
        <f>IFERROR(WORKDAY(Table14[[#This Row],[50% IFR - 
AE]],-15), " ")</f>
        <v xml:space="preserve"> </v>
      </c>
      <c r="K114" s="26"/>
      <c r="L114" s="26"/>
      <c r="M114" s="26"/>
      <c r="N114" s="26"/>
      <c r="O114" s="26"/>
      <c r="P114" s="26"/>
      <c r="Q114" s="26"/>
      <c r="R114" s="26"/>
      <c r="S114" s="26"/>
      <c r="T114" s="26"/>
      <c r="U114" s="64"/>
      <c r="V114" s="64"/>
      <c r="W114" s="26"/>
      <c r="X114" s="64"/>
      <c r="Y114" s="49"/>
    </row>
    <row r="115" spans="1:25" ht="26.1" customHeight="1">
      <c r="A115" s="25"/>
      <c r="B115" s="49"/>
      <c r="C115" s="25"/>
      <c r="D115" s="25"/>
      <c r="E115" s="25"/>
      <c r="F115" s="25"/>
      <c r="G115" s="25"/>
      <c r="H115" s="25"/>
      <c r="I115" s="25"/>
      <c r="J115" s="26" t="str">
        <f>IFERROR(WORKDAY(Table14[[#This Row],[50% IFR - 
AE]],-15), " ")</f>
        <v xml:space="preserve"> </v>
      </c>
      <c r="K115" s="26"/>
      <c r="L115" s="26"/>
      <c r="M115" s="26"/>
      <c r="N115" s="26"/>
      <c r="O115" s="26"/>
      <c r="P115" s="26"/>
      <c r="Q115" s="26"/>
      <c r="R115" s="26"/>
      <c r="S115" s="26"/>
      <c r="T115" s="26"/>
      <c r="U115" s="64"/>
      <c r="V115" s="64"/>
      <c r="W115" s="26"/>
      <c r="X115" s="64"/>
      <c r="Y115" s="49"/>
    </row>
    <row r="116" spans="1:25" ht="26.1" customHeight="1">
      <c r="A116" s="25"/>
      <c r="B116" s="49"/>
      <c r="C116" s="25"/>
      <c r="D116" s="25"/>
      <c r="E116" s="25"/>
      <c r="F116" s="25"/>
      <c r="G116" s="25"/>
      <c r="H116" s="25"/>
      <c r="I116" s="25"/>
      <c r="J116" s="26" t="str">
        <f>IFERROR(WORKDAY(Table14[[#This Row],[50% IFR - 
AE]],-15), " ")</f>
        <v xml:space="preserve"> </v>
      </c>
      <c r="K116" s="26"/>
      <c r="L116" s="26"/>
      <c r="M116" s="26"/>
      <c r="N116" s="26"/>
      <c r="O116" s="26"/>
      <c r="P116" s="26"/>
      <c r="Q116" s="26"/>
      <c r="R116" s="26"/>
      <c r="S116" s="26"/>
      <c r="T116" s="26"/>
      <c r="U116" s="64"/>
      <c r="V116" s="64"/>
      <c r="W116" s="26"/>
      <c r="X116" s="64"/>
      <c r="Y116" s="49"/>
    </row>
    <row r="117" spans="1:25" ht="26.1" customHeight="1">
      <c r="A117" s="25"/>
      <c r="B117" s="49"/>
      <c r="C117" s="25"/>
      <c r="D117" s="25"/>
      <c r="E117" s="25"/>
      <c r="F117" s="25"/>
      <c r="G117" s="25"/>
      <c r="H117" s="25"/>
      <c r="I117" s="25"/>
      <c r="J117" s="26" t="str">
        <f>IFERROR(WORKDAY(Table14[[#This Row],[50% IFR - 
AE]],-15), " ")</f>
        <v xml:space="preserve"> </v>
      </c>
      <c r="K117" s="26"/>
      <c r="L117" s="26"/>
      <c r="M117" s="26"/>
      <c r="N117" s="26"/>
      <c r="O117" s="26"/>
      <c r="P117" s="26"/>
      <c r="Q117" s="26"/>
      <c r="R117" s="26"/>
      <c r="S117" s="26"/>
      <c r="T117" s="26"/>
      <c r="U117" s="64"/>
      <c r="V117" s="64"/>
      <c r="W117" s="26"/>
      <c r="X117" s="64"/>
      <c r="Y117" s="49"/>
    </row>
    <row r="118" spans="1:25" ht="26.1" customHeight="1">
      <c r="A118" s="25"/>
      <c r="B118" s="49"/>
      <c r="C118" s="25"/>
      <c r="D118" s="25"/>
      <c r="E118" s="25"/>
      <c r="F118" s="25"/>
      <c r="G118" s="25"/>
      <c r="H118" s="25"/>
      <c r="I118" s="25"/>
      <c r="J118" s="26" t="str">
        <f>IFERROR(WORKDAY(Table14[[#This Row],[50% IFR - 
AE]],-15), " ")</f>
        <v xml:space="preserve"> </v>
      </c>
      <c r="K118" s="26"/>
      <c r="L118" s="26"/>
      <c r="M118" s="26"/>
      <c r="N118" s="26"/>
      <c r="O118" s="26"/>
      <c r="P118" s="26"/>
      <c r="Q118" s="26"/>
      <c r="R118" s="26"/>
      <c r="S118" s="26"/>
      <c r="T118" s="26"/>
      <c r="U118" s="64"/>
      <c r="V118" s="64"/>
      <c r="W118" s="26"/>
      <c r="X118" s="64"/>
      <c r="Y118" s="49"/>
    </row>
    <row r="119" spans="1:25" ht="26.1" customHeight="1">
      <c r="A119" s="19"/>
      <c r="B119" s="55"/>
      <c r="C119" s="19"/>
      <c r="D119" s="19"/>
      <c r="E119" s="19"/>
      <c r="F119" s="19"/>
      <c r="G119" s="19"/>
      <c r="H119" s="19"/>
      <c r="I119" s="25"/>
      <c r="J119" s="26" t="str">
        <f>IFERROR(WORKDAY(Table14[[#This Row],[50% IFR - 
AE]],-15), " ")</f>
        <v xml:space="preserve"> </v>
      </c>
      <c r="K119" s="26"/>
      <c r="L119" s="26"/>
      <c r="M119" s="26"/>
      <c r="N119" s="26"/>
      <c r="O119" s="26"/>
      <c r="P119" s="26"/>
      <c r="Q119" s="26"/>
      <c r="R119" s="26"/>
      <c r="S119" s="26"/>
      <c r="T119" s="26"/>
      <c r="U119" s="64"/>
      <c r="V119" s="64"/>
      <c r="W119" s="26"/>
      <c r="X119" s="64"/>
      <c r="Y119" s="49"/>
    </row>
    <row r="120" spans="1:25" ht="26.1" customHeight="1">
      <c r="A120" s="19"/>
      <c r="B120" s="55"/>
      <c r="C120" s="19"/>
      <c r="D120" s="19"/>
      <c r="E120" s="19"/>
      <c r="F120" s="19"/>
      <c r="G120" s="19"/>
      <c r="H120" s="19"/>
      <c r="I120" s="19"/>
      <c r="J120" s="20" t="str">
        <f>IFERROR(WORKDAY(Table14[[#This Row],[50% IFR - 
AE]],-15), " ")</f>
        <v xml:space="preserve"> </v>
      </c>
      <c r="K120" s="20"/>
      <c r="L120" s="20"/>
      <c r="M120" s="20"/>
      <c r="N120" s="20"/>
      <c r="O120" s="20"/>
      <c r="P120" s="20"/>
      <c r="Q120" s="20"/>
      <c r="R120" s="20"/>
      <c r="S120" s="20"/>
      <c r="T120" s="20"/>
      <c r="U120" s="65"/>
      <c r="V120" s="65"/>
      <c r="W120" s="20"/>
      <c r="X120" s="65"/>
      <c r="Y120" s="55"/>
    </row>
    <row r="121" spans="1:25" ht="26.1" customHeight="1">
      <c r="A121" s="19"/>
      <c r="B121" s="55"/>
      <c r="C121" s="19"/>
      <c r="D121" s="19"/>
      <c r="E121" s="19"/>
      <c r="F121" s="19"/>
      <c r="G121" s="19"/>
      <c r="H121" s="19"/>
      <c r="I121" s="19"/>
      <c r="J121" s="20" t="str">
        <f>IFERROR(WORKDAY(Table14[[#This Row],[50% IFR - 
AE]],-15), " ")</f>
        <v xml:space="preserve"> </v>
      </c>
      <c r="K121" s="20"/>
      <c r="L121" s="20"/>
      <c r="M121" s="20"/>
      <c r="N121" s="20"/>
      <c r="O121" s="20"/>
      <c r="P121" s="20"/>
      <c r="Q121" s="20"/>
      <c r="R121" s="20"/>
      <c r="S121" s="20"/>
      <c r="T121" s="20"/>
      <c r="U121" s="65"/>
      <c r="V121" s="65"/>
      <c r="W121" s="20"/>
      <c r="X121" s="65"/>
      <c r="Y121" s="55"/>
    </row>
    <row r="122" spans="1:25" ht="26.1" customHeight="1">
      <c r="A122" s="19"/>
      <c r="B122" s="55"/>
      <c r="C122" s="19"/>
      <c r="D122" s="19"/>
      <c r="E122" s="19"/>
      <c r="F122" s="19"/>
      <c r="G122" s="19"/>
      <c r="H122" s="19"/>
      <c r="I122" s="19"/>
      <c r="J122" s="20" t="str">
        <f>IFERROR(WORKDAY(Table14[[#This Row],[50% IFR - 
AE]],-15), " ")</f>
        <v xml:space="preserve"> </v>
      </c>
      <c r="K122" s="20"/>
      <c r="L122" s="20"/>
      <c r="M122" s="20"/>
      <c r="N122" s="20"/>
      <c r="O122" s="20"/>
      <c r="P122" s="20"/>
      <c r="Q122" s="20"/>
      <c r="R122" s="20"/>
      <c r="S122" s="20"/>
      <c r="T122" s="20"/>
      <c r="U122" s="65"/>
      <c r="V122" s="65"/>
      <c r="W122" s="20"/>
      <c r="X122" s="65"/>
      <c r="Y122" s="55"/>
    </row>
    <row r="123" spans="1:25" ht="26.1" customHeight="1">
      <c r="A123" s="19"/>
      <c r="B123" s="55"/>
      <c r="C123" s="19"/>
      <c r="D123" s="19"/>
      <c r="E123" s="19"/>
      <c r="F123" s="19"/>
      <c r="G123" s="19"/>
      <c r="H123" s="19"/>
      <c r="I123" s="19"/>
      <c r="J123" s="20" t="str">
        <f>IFERROR(WORKDAY(Table14[[#This Row],[50% IFR - 
AE]],-15), " ")</f>
        <v xml:space="preserve"> </v>
      </c>
      <c r="K123" s="20"/>
      <c r="L123" s="20"/>
      <c r="M123" s="20"/>
      <c r="N123" s="20"/>
      <c r="O123" s="20"/>
      <c r="P123" s="20"/>
      <c r="Q123" s="20"/>
      <c r="R123" s="20"/>
      <c r="S123" s="20"/>
      <c r="T123" s="20"/>
      <c r="U123" s="65"/>
      <c r="V123" s="65"/>
      <c r="W123" s="20"/>
      <c r="X123" s="65"/>
      <c r="Y123" s="55"/>
    </row>
    <row r="124" spans="1:25" ht="26.1" customHeight="1">
      <c r="A124" s="19"/>
      <c r="B124" s="55"/>
      <c r="C124" s="19"/>
      <c r="D124" s="19"/>
      <c r="E124" s="19"/>
      <c r="F124" s="19"/>
      <c r="G124" s="19"/>
      <c r="H124" s="19"/>
      <c r="I124" s="19"/>
      <c r="J124" s="20" t="str">
        <f>IFERROR(WORKDAY(Table14[[#This Row],[50% IFR - 
AE]],-15), " ")</f>
        <v xml:space="preserve"> </v>
      </c>
      <c r="K124" s="20"/>
      <c r="L124" s="20"/>
      <c r="M124" s="20"/>
      <c r="N124" s="20"/>
      <c r="O124" s="20"/>
      <c r="P124" s="20"/>
      <c r="Q124" s="20"/>
      <c r="R124" s="20"/>
      <c r="S124" s="20"/>
      <c r="T124" s="20"/>
      <c r="U124" s="65"/>
      <c r="V124" s="65"/>
      <c r="W124" s="20"/>
      <c r="X124" s="65"/>
      <c r="Y124" s="55"/>
    </row>
    <row r="125" spans="1:25" ht="26.1" customHeight="1">
      <c r="A125" s="19"/>
      <c r="B125" s="55"/>
      <c r="C125" s="19"/>
      <c r="D125" s="19"/>
      <c r="E125" s="19"/>
      <c r="F125" s="19"/>
      <c r="G125" s="19"/>
      <c r="H125" s="19"/>
      <c r="I125" s="19"/>
      <c r="J125" s="20" t="str">
        <f>IFERROR(WORKDAY(Table14[[#This Row],[50% IFR - 
AE]],-15), " ")</f>
        <v xml:space="preserve"> </v>
      </c>
      <c r="K125" s="20"/>
      <c r="L125" s="20"/>
      <c r="M125" s="20"/>
      <c r="N125" s="20"/>
      <c r="O125" s="20"/>
      <c r="P125" s="20"/>
      <c r="Q125" s="20"/>
      <c r="R125" s="20"/>
      <c r="S125" s="20"/>
      <c r="T125" s="20"/>
      <c r="U125" s="65"/>
      <c r="V125" s="65"/>
      <c r="W125" s="20"/>
      <c r="X125" s="65"/>
      <c r="Y125" s="55"/>
    </row>
    <row r="126" spans="1:25" ht="26.1" customHeight="1">
      <c r="A126" s="19"/>
      <c r="B126" s="55"/>
      <c r="C126" s="19"/>
      <c r="D126" s="19"/>
      <c r="E126" s="19"/>
      <c r="F126" s="19"/>
      <c r="G126" s="19"/>
      <c r="H126" s="19"/>
      <c r="I126" s="19"/>
      <c r="J126" s="20" t="str">
        <f>IFERROR(WORKDAY(Table14[[#This Row],[50% IFR - 
AE]],-15), " ")</f>
        <v xml:space="preserve"> </v>
      </c>
      <c r="K126" s="20"/>
      <c r="L126" s="20"/>
      <c r="M126" s="20"/>
      <c r="N126" s="20"/>
      <c r="O126" s="20"/>
      <c r="P126" s="20"/>
      <c r="Q126" s="20"/>
      <c r="R126" s="20"/>
      <c r="S126" s="20"/>
      <c r="T126" s="20"/>
      <c r="U126" s="65"/>
      <c r="V126" s="65"/>
      <c r="W126" s="20"/>
      <c r="X126" s="65"/>
      <c r="Y126" s="55"/>
    </row>
    <row r="127" spans="1:25" ht="26.1" customHeight="1">
      <c r="A127" s="19"/>
      <c r="B127" s="55"/>
      <c r="C127" s="19"/>
      <c r="D127" s="19"/>
      <c r="E127" s="19"/>
      <c r="F127" s="19"/>
      <c r="G127" s="19"/>
      <c r="H127" s="19"/>
      <c r="I127" s="19"/>
      <c r="J127" s="20" t="str">
        <f>IFERROR(WORKDAY(Table14[[#This Row],[50% IFR - 
AE]],-15), " ")</f>
        <v xml:space="preserve"> </v>
      </c>
      <c r="K127" s="20"/>
      <c r="L127" s="20"/>
      <c r="M127" s="20"/>
      <c r="N127" s="20"/>
      <c r="O127" s="20"/>
      <c r="P127" s="20"/>
      <c r="Q127" s="20"/>
      <c r="R127" s="20"/>
      <c r="S127" s="20"/>
      <c r="T127" s="20"/>
      <c r="U127" s="65"/>
      <c r="V127" s="65"/>
      <c r="W127" s="20"/>
      <c r="X127" s="65"/>
      <c r="Y127" s="55"/>
    </row>
    <row r="128" spans="1:25" ht="26.1" customHeight="1">
      <c r="A128" s="19"/>
      <c r="B128" s="55"/>
      <c r="C128" s="19"/>
      <c r="D128" s="19"/>
      <c r="E128" s="19"/>
      <c r="F128" s="19"/>
      <c r="G128" s="19"/>
      <c r="H128" s="19"/>
      <c r="I128" s="19"/>
      <c r="J128" s="20" t="str">
        <f>IFERROR(WORKDAY(Table14[[#This Row],[50% IFR - 
AE]],-15), " ")</f>
        <v xml:space="preserve"> </v>
      </c>
      <c r="K128" s="20"/>
      <c r="L128" s="20"/>
      <c r="M128" s="20"/>
      <c r="N128" s="20"/>
      <c r="O128" s="20"/>
      <c r="P128" s="20"/>
      <c r="Q128" s="20"/>
      <c r="R128" s="20"/>
      <c r="S128" s="20"/>
      <c r="T128" s="20"/>
      <c r="U128" s="65"/>
      <c r="V128" s="65"/>
      <c r="W128" s="20"/>
      <c r="X128" s="65"/>
      <c r="Y128" s="55"/>
    </row>
    <row r="129" spans="1:25" ht="26.1" customHeight="1">
      <c r="A129" s="19"/>
      <c r="B129" s="55"/>
      <c r="C129" s="19"/>
      <c r="D129" s="19"/>
      <c r="E129" s="19"/>
      <c r="F129" s="19"/>
      <c r="G129" s="19"/>
      <c r="H129" s="19"/>
      <c r="I129" s="19"/>
      <c r="J129" s="20" t="str">
        <f>IFERROR(WORKDAY(Table14[[#This Row],[50% IFR - 
AE]],-15), " ")</f>
        <v xml:space="preserve"> </v>
      </c>
      <c r="K129" s="20"/>
      <c r="L129" s="20"/>
      <c r="M129" s="20"/>
      <c r="N129" s="20"/>
      <c r="O129" s="20"/>
      <c r="P129" s="20"/>
      <c r="Q129" s="20"/>
      <c r="R129" s="20"/>
      <c r="S129" s="20"/>
      <c r="T129" s="20"/>
      <c r="U129" s="65"/>
      <c r="V129" s="65"/>
      <c r="W129" s="20"/>
      <c r="X129" s="65"/>
      <c r="Y129" s="55"/>
    </row>
    <row r="130" spans="1:25" ht="26.1" customHeight="1">
      <c r="A130" s="19"/>
      <c r="B130" s="55"/>
      <c r="C130" s="19"/>
      <c r="D130" s="19"/>
      <c r="E130" s="19"/>
      <c r="F130" s="19"/>
      <c r="G130" s="19"/>
      <c r="H130" s="19"/>
      <c r="I130" s="19"/>
      <c r="J130" s="20" t="str">
        <f>IFERROR(WORKDAY(Table14[[#This Row],[50% IFR - 
AE]],-15), " ")</f>
        <v xml:space="preserve"> </v>
      </c>
      <c r="K130" s="20"/>
      <c r="L130" s="20"/>
      <c r="M130" s="20"/>
      <c r="N130" s="20"/>
      <c r="O130" s="20"/>
      <c r="P130" s="20"/>
      <c r="Q130" s="20"/>
      <c r="R130" s="20"/>
      <c r="S130" s="20"/>
      <c r="T130" s="20"/>
      <c r="U130" s="65"/>
      <c r="V130" s="65"/>
      <c r="W130" s="20"/>
      <c r="X130" s="65"/>
      <c r="Y130" s="55"/>
    </row>
    <row r="131" spans="1:25" ht="26.1" customHeight="1">
      <c r="A131" s="19"/>
      <c r="B131" s="55"/>
      <c r="C131" s="19"/>
      <c r="D131" s="19"/>
      <c r="E131" s="19"/>
      <c r="F131" s="19"/>
      <c r="G131" s="19"/>
      <c r="H131" s="19"/>
      <c r="I131" s="19"/>
      <c r="J131" s="20" t="str">
        <f>IFERROR(WORKDAY(Table14[[#This Row],[50% IFR - 
AE]],-15), " ")</f>
        <v xml:space="preserve"> </v>
      </c>
      <c r="K131" s="20"/>
      <c r="L131" s="20"/>
      <c r="M131" s="20"/>
      <c r="N131" s="20"/>
      <c r="O131" s="20"/>
      <c r="P131" s="20"/>
      <c r="Q131" s="20"/>
      <c r="R131" s="20"/>
      <c r="S131" s="20"/>
      <c r="T131" s="20"/>
      <c r="U131" s="65"/>
      <c r="V131" s="65"/>
      <c r="W131" s="20"/>
      <c r="X131" s="65"/>
      <c r="Y131" s="55"/>
    </row>
    <row r="132" spans="1:25" ht="26.1" customHeight="1">
      <c r="A132" s="19"/>
      <c r="B132" s="55"/>
      <c r="C132" s="19"/>
      <c r="D132" s="19"/>
      <c r="E132" s="19"/>
      <c r="F132" s="19"/>
      <c r="G132" s="19"/>
      <c r="H132" s="19"/>
      <c r="I132" s="19"/>
      <c r="J132" s="20" t="str">
        <f>IFERROR(WORKDAY(Table14[[#This Row],[50% IFR - 
AE]],-15), " ")</f>
        <v xml:space="preserve"> </v>
      </c>
      <c r="K132" s="20"/>
      <c r="L132" s="20"/>
      <c r="M132" s="20"/>
      <c r="N132" s="20"/>
      <c r="O132" s="20"/>
      <c r="P132" s="20"/>
      <c r="Q132" s="20"/>
      <c r="R132" s="20"/>
      <c r="S132" s="20"/>
      <c r="T132" s="20"/>
      <c r="U132" s="65"/>
      <c r="V132" s="65"/>
      <c r="W132" s="20"/>
      <c r="X132" s="65"/>
      <c r="Y132" s="55"/>
    </row>
    <row r="133" spans="1:25" ht="26.1" customHeight="1">
      <c r="A133" s="19"/>
      <c r="B133" s="55"/>
      <c r="C133" s="19"/>
      <c r="D133" s="19"/>
      <c r="E133" s="19"/>
      <c r="F133" s="19"/>
      <c r="G133" s="19"/>
      <c r="H133" s="19"/>
      <c r="I133" s="19"/>
      <c r="J133" s="20" t="str">
        <f>IFERROR(WORKDAY(Table14[[#This Row],[50% IFR - 
AE]],-15), " ")</f>
        <v xml:space="preserve"> </v>
      </c>
      <c r="K133" s="20"/>
      <c r="L133" s="20"/>
      <c r="M133" s="20"/>
      <c r="N133" s="20"/>
      <c r="O133" s="20"/>
      <c r="P133" s="20"/>
      <c r="Q133" s="20"/>
      <c r="R133" s="20"/>
      <c r="S133" s="20"/>
      <c r="T133" s="20"/>
      <c r="U133" s="65"/>
      <c r="V133" s="65"/>
      <c r="W133" s="20"/>
      <c r="X133" s="65"/>
      <c r="Y133" s="55"/>
    </row>
    <row r="134" spans="1:25" ht="26.1" customHeight="1">
      <c r="A134" s="53"/>
      <c r="B134" s="56"/>
      <c r="C134" s="53"/>
      <c r="D134" s="53"/>
      <c r="E134" s="53"/>
      <c r="F134" s="53"/>
      <c r="G134" s="53"/>
      <c r="H134" s="53"/>
      <c r="I134" s="53"/>
      <c r="J134" s="54" t="str">
        <f>IFERROR(WORKDAY(Table14[[#This Row],[50% IFR - 
AE]],-15), " ")</f>
        <v xml:space="preserve"> </v>
      </c>
      <c r="K134" s="54"/>
      <c r="L134" s="54"/>
      <c r="M134" s="54"/>
      <c r="N134" s="54"/>
      <c r="O134" s="54"/>
      <c r="P134" s="54"/>
      <c r="Q134" s="54"/>
      <c r="R134" s="54"/>
      <c r="S134" s="54"/>
      <c r="T134" s="54"/>
      <c r="U134" s="66"/>
      <c r="V134" s="66"/>
      <c r="W134" s="54"/>
      <c r="X134" s="66"/>
      <c r="Y134" s="56"/>
    </row>
  </sheetData>
  <conditionalFormatting sqref="J2:Q199">
    <cfRule type="timePeriod" dxfId="69" priority="1" timePeriod="lastWeek">
      <formula>AND(TODAY()-ROUNDDOWN(J2,0)&gt;=(WEEKDAY(TODAY())),TODAY()-ROUNDDOWN(J2,0)&lt;(WEEKDAY(TODAY())+7))</formula>
    </cfRule>
    <cfRule type="timePeriod" dxfId="68" priority="2" timePeriod="lastMonth">
      <formula>AND(MONTH(J2)=MONTH(EDATE(TODAY(),0-1)),YEAR(J2)=YEAR(EDATE(TODAY(),0-1)))</formula>
    </cfRule>
    <cfRule type="timePeriod" dxfId="67" priority="3" timePeriod="nextWeek">
      <formula>AND(ROUNDDOWN(J2,0)-TODAY()&gt;(7-WEEKDAY(TODAY())),ROUNDDOWN(J2,0)-TODAY()&lt;(15-WEEKDAY(TODAY())))</formula>
    </cfRule>
    <cfRule type="timePeriod" dxfId="66" priority="4" timePeriod="thisWeek">
      <formula>AND(TODAY()-ROUNDDOWN(J2,0)&lt;=WEEKDAY(TODAY())-1,ROUNDDOWN(J2,0)-TODAY()&lt;=7-WEEKDAY(TODAY()))</formula>
    </cfRule>
    <cfRule type="containsText" dxfId="65" priority="5" operator="containsText" text="complete">
      <formula>NOT(ISERROR(SEARCH("complete",J2)))</formula>
    </cfRule>
  </conditionalFormatting>
  <hyperlinks>
    <hyperlink ref="F74" r:id="rId1" xr:uid="{76E4B091-FC90-4D8C-A7A5-EA4D87856207}"/>
    <hyperlink ref="F81" r:id="rId2" xr:uid="{1616F239-872E-4AF2-9DD0-ABC536B89227}"/>
    <hyperlink ref="F82" r:id="rId3" xr:uid="{A2EFF212-C428-4CBF-A550-29659C0BCB8E}"/>
    <hyperlink ref="F83" r:id="rId4" xr:uid="{3188A1E7-0DBE-48D5-B670-9CD2A7B09D70}"/>
    <hyperlink ref="F70" r:id="rId5" xr:uid="{B69A1618-EF89-4F07-BD7C-00680774C388}"/>
    <hyperlink ref="F58" r:id="rId6" xr:uid="{F100F26B-0952-414A-AFC0-7A601F52BB0E}"/>
    <hyperlink ref="F59" r:id="rId7" xr:uid="{660407F2-FB68-45F0-B55C-0D7CBD8DFD53}"/>
    <hyperlink ref="F62" r:id="rId8" xr:uid="{67A55736-7158-46DE-BAAA-1EB2C83FEEB7}"/>
    <hyperlink ref="F27" r:id="rId9" xr:uid="{B897E730-620A-4D42-8D55-FBF40C767B51}"/>
    <hyperlink ref="F49" r:id="rId10" xr:uid="{9AEE220B-91D4-49C3-A6B0-871FC440D5E5}"/>
    <hyperlink ref="F16" r:id="rId11" xr:uid="{F1BB895D-79C1-48F1-85F6-7A6EFA02F797}"/>
    <hyperlink ref="F17" r:id="rId12" xr:uid="{0231182F-F218-480B-B186-A2DBDC894788}"/>
    <hyperlink ref="F19" r:id="rId13" xr:uid="{40EABB71-6B1C-4073-B7F6-97BA0004DBC3}"/>
    <hyperlink ref="F22" r:id="rId14" xr:uid="{5AE023A3-E6C8-4E02-9075-B238AAE79947}"/>
    <hyperlink ref="F23" r:id="rId15" xr:uid="{1DC6922A-B226-4889-9B6F-E1BD4BED2BFC}"/>
    <hyperlink ref="F24" r:id="rId16" xr:uid="{EF0A8815-D55E-46AD-87FC-5A73C4E86A7B}"/>
    <hyperlink ref="F25" r:id="rId17" xr:uid="{59700776-6479-4C34-851B-6A43A63DEE6B}"/>
    <hyperlink ref="F26" r:id="rId18" xr:uid="{52DD7CBE-561B-409E-A2EA-09D5E174DAE1}"/>
    <hyperlink ref="F69" r:id="rId19" xr:uid="{FEA7DFB4-0E73-447D-BDCB-1EDE67F281F0}"/>
    <hyperlink ref="F38" r:id="rId20" xr:uid="{605F585B-1897-4D6A-9686-AC2E984B0985}"/>
    <hyperlink ref="F39" r:id="rId21" xr:uid="{421CC080-1FA8-40E8-8EA3-BCCCA5F213FB}"/>
    <hyperlink ref="F7" r:id="rId22" xr:uid="{B0A0E647-6252-4EA6-86E7-E787DA9054AB}"/>
    <hyperlink ref="F43" r:id="rId23" xr:uid="{CC8B74AA-3761-4D5B-9FF0-C5979DF4D9FC}"/>
    <hyperlink ref="F20" r:id="rId24" xr:uid="{5C88AB7D-5E62-4687-80E8-B828E6E8B7B8}"/>
    <hyperlink ref="F47" r:id="rId25" xr:uid="{AA7D217E-66DB-46B9-AC75-12423398C856}"/>
    <hyperlink ref="F5" r:id="rId26" xr:uid="{78476A2E-5FA0-4184-BA46-31A07902A78D}"/>
    <hyperlink ref="F75" r:id="rId27" display="mailto:Kristin.McCue@jacobs.com" xr:uid="{4A3EFCA5-EE7D-486D-8EA8-D2AFA2576E2A}"/>
    <hyperlink ref="F80" r:id="rId28" display="mailto:SAkbari@morrisonhershfield.com" xr:uid="{F2EFBBC6-81D3-4980-9222-737F0CABE476}"/>
    <hyperlink ref="F46" r:id="rId29" display="mailto:hhernandez@ha-ny.com" xr:uid="{FD54C22A-5926-4E8E-8B4B-467FE9E17449}"/>
    <hyperlink ref="F28" r:id="rId30" display="mailto:cmendell@esdglobal.com" xr:uid="{152B9054-491C-413B-8636-FE9E8D59B30D}"/>
    <hyperlink ref="F35" r:id="rId31" display="mailto:LPercy@morrisonhershfield.com" xr:uid="{104E7D94-A672-437C-A7D0-639FB328AA84}"/>
    <hyperlink ref="F12" r:id="rId32" xr:uid="{5619B764-9343-4B2E-993F-5A547F8CCCBB}"/>
    <hyperlink ref="F14" r:id="rId33" xr:uid="{2F1880D4-55E5-46ED-8030-6C3F752E69C6}"/>
    <hyperlink ref="F15" r:id="rId34" xr:uid="{8AF79ADD-323F-4536-A65A-9DCC5C3C2380}"/>
    <hyperlink ref="F31" r:id="rId35" xr:uid="{A341DE15-B1DA-4FB1-875A-D42CCFAFF10D}"/>
    <hyperlink ref="F48" r:id="rId36" xr:uid="{B0E4AE05-B751-4357-8C38-D067F52D868B}"/>
    <hyperlink ref="F6" r:id="rId37" xr:uid="{9A7B492D-D340-48E2-BC73-0AEB2D745E42}"/>
    <hyperlink ref="F2" r:id="rId38" xr:uid="{FADE199C-DD23-4D02-9E09-8B178BE3AD09}"/>
    <hyperlink ref="F32" r:id="rId39" xr:uid="{677237EA-0E7E-4C90-9C9F-10694615A155}"/>
    <hyperlink ref="F13" r:id="rId40" xr:uid="{C0966EA7-7873-45DB-A5A7-BCE6AD54B9B8}"/>
    <hyperlink ref="F66" r:id="rId41" xr:uid="{93F7709F-37C8-463D-AC98-208C9801E70C}"/>
    <hyperlink ref="A33" r:id="rId42" xr:uid="{7D1C85DA-EF79-440F-BB37-300F7FCC21F0}"/>
    <hyperlink ref="A10" r:id="rId43" xr:uid="{388AB061-246F-44B7-BB98-710E8EE1C457}"/>
    <hyperlink ref="A13" r:id="rId44" xr:uid="{BB978E14-3FB4-47F7-963F-361A5333FCFC}"/>
    <hyperlink ref="A15" r:id="rId45" xr:uid="{C06DBFE7-1E91-4251-931C-269CA01C0ECC}"/>
    <hyperlink ref="A17" r:id="rId46" xr:uid="{0D91BCAA-36C6-4B0E-96BC-251B887D0933}"/>
    <hyperlink ref="A19" r:id="rId47" xr:uid="{2719723E-5BF7-49CE-9F7D-C8873A588832}"/>
    <hyperlink ref="A32" r:id="rId48" xr:uid="{98E45867-BFD6-4159-AB91-3E79425BD060}"/>
    <hyperlink ref="A44" r:id="rId49" xr:uid="{4019477E-1D61-4F57-91BB-CC8A4BBEDA68}"/>
    <hyperlink ref="A48" r:id="rId50" xr:uid="{CCE86057-3492-4D5C-8A6E-C49D80A3A662}"/>
    <hyperlink ref="A52" r:id="rId51" xr:uid="{2DB2E6E3-EA6A-4EAE-ADED-ED8B0BE1EB87}"/>
    <hyperlink ref="A54" r:id="rId52" xr:uid="{BF811C7A-35C0-4FDA-BB8F-9FD6F1DF7140}"/>
    <hyperlink ref="A55" r:id="rId53" xr:uid="{28C62700-4FDF-463E-A3DF-9A797F726697}"/>
    <hyperlink ref="A56" r:id="rId54" xr:uid="{69DD79E0-C605-44EA-A74D-4F6783310325}"/>
    <hyperlink ref="A58" r:id="rId55" xr:uid="{9B791A8E-3C34-4D66-90DB-15E7BCAA0336}"/>
    <hyperlink ref="A61" r:id="rId56" xr:uid="{523A92C9-9384-4665-BAD5-17E9C9841F24}"/>
    <hyperlink ref="A66" r:id="rId57" xr:uid="{ED367CF0-9804-4BB0-97F6-9FD94E6C6F6A}"/>
    <hyperlink ref="A67" r:id="rId58" xr:uid="{E6A6D97C-DF83-4A79-9EE5-6D7CDA2F945B}"/>
    <hyperlink ref="A68" r:id="rId59" xr:uid="{72C5ECA8-8204-4434-820A-57EF0B4028CF}"/>
    <hyperlink ref="A71" r:id="rId60" xr:uid="{284C02F4-3457-4680-AA52-56EAB00EE89E}"/>
    <hyperlink ref="A73" r:id="rId61" xr:uid="{7F527737-528F-4971-B976-65AEEF966CF5}"/>
    <hyperlink ref="A72" r:id="rId62" xr:uid="{21C5617A-07C1-4F78-AB1D-5AD944400468}"/>
    <hyperlink ref="A77" r:id="rId63" xr:uid="{F827FFF5-D15B-4D4B-845A-49D2FAC0FC88}"/>
    <hyperlink ref="A78" r:id="rId64" xr:uid="{0112AD03-A5AB-4837-A793-AA7963F009E0}"/>
    <hyperlink ref="A79" r:id="rId65" xr:uid="{75EDC22F-DF5B-4069-93AC-F4037D1AE942}"/>
    <hyperlink ref="A81" r:id="rId66" xr:uid="{53E0E3C8-7262-4729-A5E0-9D93E1603B94}"/>
    <hyperlink ref="A82" r:id="rId67" xr:uid="{6CA1E940-C809-48D2-BD67-F56D949DEAAD}"/>
    <hyperlink ref="A83" r:id="rId68" xr:uid="{4BBF9945-DDF7-4340-A6E4-7CF1FF54F7FB}"/>
  </hyperlinks>
  <pageMargins left="0.7" right="0.7" top="0.75" bottom="0.75" header="0.3" footer="0.3"/>
  <pageSetup scale="35" fitToHeight="0" orientation="landscape" r:id="rId69"/>
  <legacyDrawing r:id="rId70"/>
  <tableParts count="1">
    <tablePart r:id="rId71"/>
  </tablePar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D9728A-2BB6-47D4-A2FF-20971B4756F1}">
  <dimension ref="A1:Y186"/>
  <sheetViews>
    <sheetView topLeftCell="A7" zoomScale="60" zoomScaleNormal="60" workbookViewId="0">
      <pane xSplit="1" topLeftCell="K1" activePane="topRight" state="frozen"/>
      <selection pane="topRight" activeCell="B26" sqref="B26"/>
    </sheetView>
  </sheetViews>
  <sheetFormatPr defaultRowHeight="26.1" customHeight="1" outlineLevelCol="1"/>
  <cols>
    <col min="1" max="1" width="20.5703125" customWidth="1"/>
    <col min="2" max="2" width="15.5703125" style="57" customWidth="1"/>
    <col min="3" max="3" width="25.42578125" hidden="1" customWidth="1" outlineLevel="1"/>
    <col min="4" max="4" width="16" hidden="1" customWidth="1" outlineLevel="1"/>
    <col min="5" max="5" width="19" hidden="1" customWidth="1" outlineLevel="1"/>
    <col min="6" max="6" width="28.5703125" hidden="1" customWidth="1" outlineLevel="1"/>
    <col min="7" max="7" width="19" hidden="1" customWidth="1" outlineLevel="1"/>
    <col min="8" max="8" width="7.140625" customWidth="1" collapsed="1"/>
    <col min="9" max="9" width="33.140625" customWidth="1"/>
    <col min="10" max="10" width="23.140625" bestFit="1" customWidth="1"/>
    <col min="11" max="11" width="21" style="1" bestFit="1" customWidth="1"/>
    <col min="12" max="12" width="20.42578125" style="1" bestFit="1" customWidth="1"/>
    <col min="13" max="13" width="22.5703125" style="1" customWidth="1"/>
    <col min="14" max="14" width="20.5703125" style="1" bestFit="1" customWidth="1"/>
    <col min="15" max="16" width="22.42578125" style="1" bestFit="1" customWidth="1"/>
    <col min="17" max="17" width="20.5703125" style="1" bestFit="1" customWidth="1"/>
    <col min="18" max="20" width="12.140625" style="1" hidden="1" customWidth="1"/>
    <col min="21" max="21" width="16.42578125" style="1" customWidth="1"/>
    <col min="22" max="22" width="32.42578125" style="1" hidden="1" customWidth="1"/>
    <col min="23" max="23" width="17" style="1" hidden="1" customWidth="1"/>
    <col min="24" max="24" width="55.42578125" style="67" customWidth="1"/>
    <col min="25" max="25" width="166.85546875" style="117" customWidth="1"/>
  </cols>
  <sheetData>
    <row r="1" spans="1:25" ht="26.1" customHeight="1">
      <c r="A1" s="9" t="s">
        <v>50</v>
      </c>
      <c r="B1" s="12" t="s">
        <v>51</v>
      </c>
      <c r="C1" s="9" t="s">
        <v>52</v>
      </c>
      <c r="D1" s="21" t="s">
        <v>53</v>
      </c>
      <c r="E1" s="9" t="s">
        <v>54</v>
      </c>
      <c r="F1" s="9" t="s">
        <v>55</v>
      </c>
      <c r="G1" s="9" t="s">
        <v>56</v>
      </c>
      <c r="H1" s="9" t="s">
        <v>57</v>
      </c>
      <c r="I1" s="22" t="s">
        <v>58</v>
      </c>
      <c r="J1" s="22" t="s">
        <v>59</v>
      </c>
      <c r="K1" s="23" t="s">
        <v>60</v>
      </c>
      <c r="L1" s="23" t="s">
        <v>61</v>
      </c>
      <c r="M1" s="23" t="s">
        <v>62</v>
      </c>
      <c r="N1" s="23" t="s">
        <v>63</v>
      </c>
      <c r="O1" s="23" t="s">
        <v>64</v>
      </c>
      <c r="P1" s="23" t="s">
        <v>65</v>
      </c>
      <c r="Q1" s="24" t="s">
        <v>6</v>
      </c>
      <c r="R1" s="24" t="s">
        <v>66</v>
      </c>
      <c r="S1" s="24" t="s">
        <v>67</v>
      </c>
      <c r="T1" s="24" t="s">
        <v>68</v>
      </c>
      <c r="U1" s="24" t="s">
        <v>69</v>
      </c>
      <c r="V1" s="24" t="s">
        <v>70</v>
      </c>
      <c r="W1" s="24" t="s">
        <v>71</v>
      </c>
      <c r="X1" s="12" t="s">
        <v>72</v>
      </c>
      <c r="Y1" s="108" t="s">
        <v>73</v>
      </c>
    </row>
    <row r="2" spans="1:25" ht="26.1" customHeight="1">
      <c r="A2" s="28" t="s">
        <v>74</v>
      </c>
      <c r="B2" s="48" t="s">
        <v>75</v>
      </c>
      <c r="C2" s="28" t="s">
        <v>76</v>
      </c>
      <c r="D2" s="28" t="s">
        <v>77</v>
      </c>
      <c r="E2" s="28" t="s">
        <v>78</v>
      </c>
      <c r="F2" s="30" t="s">
        <v>79</v>
      </c>
      <c r="G2" s="28"/>
      <c r="H2" s="28" t="s">
        <v>118</v>
      </c>
      <c r="I2" s="38" t="s">
        <v>81</v>
      </c>
      <c r="J2" s="34" t="str">
        <f>IFERROR(WORKDAY(Table1[[#This Row],[50% IFR - 
AE]],-15), " ")</f>
        <v xml:space="preserve"> </v>
      </c>
      <c r="K2" s="31" t="s">
        <v>82</v>
      </c>
      <c r="L2" s="31"/>
      <c r="M2" s="31" t="s">
        <v>83</v>
      </c>
      <c r="N2" s="31" t="s">
        <v>84</v>
      </c>
      <c r="O2" s="31" t="s">
        <v>83</v>
      </c>
      <c r="P2" s="31" t="s">
        <v>85</v>
      </c>
      <c r="Q2" s="31" t="s">
        <v>86</v>
      </c>
      <c r="R2" s="31"/>
      <c r="S2" s="31"/>
      <c r="T2" s="31"/>
      <c r="U2" s="31"/>
      <c r="V2" s="31"/>
      <c r="W2" s="31"/>
      <c r="X2" s="89" t="s">
        <v>87</v>
      </c>
      <c r="Y2" s="109" t="s">
        <v>88</v>
      </c>
    </row>
    <row r="3" spans="1:25" ht="26.1" customHeight="1">
      <c r="A3" s="28" t="s">
        <v>89</v>
      </c>
      <c r="B3" s="48"/>
      <c r="C3" s="28"/>
      <c r="D3" s="28"/>
      <c r="E3" s="28"/>
      <c r="F3" s="30"/>
      <c r="G3" s="28"/>
      <c r="H3" s="28" t="s">
        <v>118</v>
      </c>
      <c r="I3" s="38"/>
      <c r="J3" s="34" t="s">
        <v>90</v>
      </c>
      <c r="K3" s="31" t="s">
        <v>453</v>
      </c>
      <c r="L3" s="31" t="s">
        <v>454</v>
      </c>
      <c r="M3" s="31"/>
      <c r="N3" s="31"/>
      <c r="O3" s="31"/>
      <c r="P3" s="31"/>
      <c r="Q3" s="31"/>
      <c r="R3" s="31"/>
      <c r="S3" s="31"/>
      <c r="T3" s="31"/>
      <c r="U3" s="31"/>
      <c r="V3" s="31"/>
      <c r="W3" s="31"/>
      <c r="X3" s="89"/>
      <c r="Y3" s="109" t="s">
        <v>455</v>
      </c>
    </row>
    <row r="4" spans="1:25" ht="26.1" customHeight="1">
      <c r="A4" s="28" t="s">
        <v>456</v>
      </c>
      <c r="B4" s="48" t="s">
        <v>97</v>
      </c>
      <c r="C4" s="28"/>
      <c r="D4" s="28"/>
      <c r="E4" s="28"/>
      <c r="F4" s="30"/>
      <c r="G4" s="28"/>
      <c r="H4" s="28" t="s">
        <v>118</v>
      </c>
      <c r="I4" s="38"/>
      <c r="J4" s="34" t="s">
        <v>457</v>
      </c>
      <c r="K4" s="31"/>
      <c r="L4" s="31"/>
      <c r="M4" s="31" t="s">
        <v>458</v>
      </c>
      <c r="N4" s="31" t="s">
        <v>459</v>
      </c>
      <c r="O4" s="31"/>
      <c r="P4" s="31" t="s">
        <v>460</v>
      </c>
      <c r="Q4" s="31" t="s">
        <v>461</v>
      </c>
      <c r="R4" s="31"/>
      <c r="S4" s="31"/>
      <c r="T4" s="31"/>
      <c r="U4" s="31"/>
      <c r="V4" s="31"/>
      <c r="W4" s="31"/>
      <c r="X4" s="89"/>
      <c r="Y4" s="109"/>
    </row>
    <row r="5" spans="1:25" ht="26.1" customHeight="1">
      <c r="A5" s="28" t="s">
        <v>91</v>
      </c>
      <c r="B5" s="48" t="s">
        <v>97</v>
      </c>
      <c r="C5" s="28"/>
      <c r="D5" s="28"/>
      <c r="E5" s="28"/>
      <c r="F5" s="30"/>
      <c r="G5" s="28"/>
      <c r="H5" s="28" t="s">
        <v>118</v>
      </c>
      <c r="I5" s="38"/>
      <c r="J5" s="34" t="str">
        <f>IFERROR(WORKDAY(Table1[[#This Row],[50% IFR - 
AE]],-15), " ")</f>
        <v xml:space="preserve"> </v>
      </c>
      <c r="K5" s="31"/>
      <c r="L5" s="87" t="s">
        <v>92</v>
      </c>
      <c r="M5" s="31"/>
      <c r="N5" s="31" t="s">
        <v>93</v>
      </c>
      <c r="O5" s="31"/>
      <c r="P5" s="31" t="s">
        <v>462</v>
      </c>
      <c r="Q5" s="31" t="s">
        <v>463</v>
      </c>
      <c r="R5" s="31"/>
      <c r="S5" s="31"/>
      <c r="T5" s="31"/>
      <c r="U5" s="31"/>
      <c r="V5" s="31" t="s">
        <v>94</v>
      </c>
      <c r="W5" s="31"/>
      <c r="X5" s="89" t="s">
        <v>95</v>
      </c>
      <c r="Y5" s="109" t="s">
        <v>464</v>
      </c>
    </row>
    <row r="6" spans="1:25" ht="26.1" customHeight="1">
      <c r="A6" s="28" t="s">
        <v>465</v>
      </c>
      <c r="B6" s="48" t="s">
        <v>97</v>
      </c>
      <c r="C6" s="28"/>
      <c r="D6" s="28"/>
      <c r="E6" s="28"/>
      <c r="F6" s="30"/>
      <c r="G6" s="28"/>
      <c r="H6" s="28" t="s">
        <v>118</v>
      </c>
      <c r="I6" s="38"/>
      <c r="J6" s="34" t="s">
        <v>457</v>
      </c>
      <c r="K6" s="31"/>
      <c r="L6" s="31"/>
      <c r="M6" s="31" t="s">
        <v>466</v>
      </c>
      <c r="N6" s="31" t="s">
        <v>467</v>
      </c>
      <c r="O6" s="31"/>
      <c r="P6" s="31" t="s">
        <v>460</v>
      </c>
      <c r="Q6" s="31" t="s">
        <v>461</v>
      </c>
      <c r="R6" s="31"/>
      <c r="S6" s="31"/>
      <c r="T6" s="31"/>
      <c r="U6" s="31"/>
      <c r="V6" s="31"/>
      <c r="W6" s="31"/>
      <c r="X6" s="89"/>
      <c r="Y6" s="109"/>
    </row>
    <row r="7" spans="1:25" ht="26.1" customHeight="1">
      <c r="A7" s="28" t="s">
        <v>468</v>
      </c>
      <c r="B7" s="48" t="s">
        <v>97</v>
      </c>
      <c r="C7" s="28" t="s">
        <v>76</v>
      </c>
      <c r="D7" s="28" t="s">
        <v>77</v>
      </c>
      <c r="E7" s="28" t="s">
        <v>469</v>
      </c>
      <c r="F7" s="30" t="s">
        <v>470</v>
      </c>
      <c r="G7" s="28"/>
      <c r="H7" s="28" t="s">
        <v>118</v>
      </c>
      <c r="I7" s="38"/>
      <c r="J7" s="34" t="s">
        <v>471</v>
      </c>
      <c r="K7" s="31"/>
      <c r="L7" s="31" t="s">
        <v>472</v>
      </c>
      <c r="M7" s="31"/>
      <c r="N7" s="31" t="s">
        <v>473</v>
      </c>
      <c r="O7" s="31"/>
      <c r="P7" s="31" t="s">
        <v>474</v>
      </c>
      <c r="Q7" s="31" t="s">
        <v>475</v>
      </c>
      <c r="R7" s="31"/>
      <c r="S7" s="31"/>
      <c r="T7" s="31"/>
      <c r="U7" s="31"/>
      <c r="V7" s="31"/>
      <c r="W7" s="31"/>
      <c r="X7" s="89" t="s">
        <v>476</v>
      </c>
      <c r="Y7" s="110" t="s">
        <v>477</v>
      </c>
    </row>
    <row r="8" spans="1:25" ht="26.1" customHeight="1">
      <c r="A8" s="28" t="s">
        <v>96</v>
      </c>
      <c r="B8" s="48" t="s">
        <v>97</v>
      </c>
      <c r="C8" s="28" t="s">
        <v>76</v>
      </c>
      <c r="D8" s="28" t="s">
        <v>77</v>
      </c>
      <c r="E8" s="28" t="s">
        <v>98</v>
      </c>
      <c r="F8" s="30" t="s">
        <v>99</v>
      </c>
      <c r="G8" s="28" t="s">
        <v>100</v>
      </c>
      <c r="H8" s="28" t="s">
        <v>118</v>
      </c>
      <c r="I8" s="38" t="s">
        <v>478</v>
      </c>
      <c r="J8" s="34" t="str">
        <f>IFERROR(WORKDAY(Table1[[#This Row],[50% IFR - 
AE]],-15), " ")</f>
        <v xml:space="preserve"> </v>
      </c>
      <c r="K8" s="31" t="s">
        <v>101</v>
      </c>
      <c r="L8" s="31" t="s">
        <v>102</v>
      </c>
      <c r="M8" s="31" t="s">
        <v>103</v>
      </c>
      <c r="N8" s="31" t="s">
        <v>104</v>
      </c>
      <c r="O8" s="31" t="s">
        <v>105</v>
      </c>
      <c r="P8" s="31" t="s">
        <v>106</v>
      </c>
      <c r="Q8" s="31" t="s">
        <v>107</v>
      </c>
      <c r="R8" s="31"/>
      <c r="S8" s="31"/>
      <c r="T8" s="31"/>
      <c r="U8" s="31"/>
      <c r="V8" s="31"/>
      <c r="W8" s="31"/>
      <c r="X8" s="89" t="s">
        <v>108</v>
      </c>
      <c r="Y8" s="110" t="s">
        <v>109</v>
      </c>
    </row>
    <row r="9" spans="1:25" ht="26.1" customHeight="1">
      <c r="A9" s="28" t="s">
        <v>110</v>
      </c>
      <c r="B9" s="48" t="s">
        <v>97</v>
      </c>
      <c r="C9" s="28" t="s">
        <v>76</v>
      </c>
      <c r="D9" s="28" t="s">
        <v>77</v>
      </c>
      <c r="E9" s="28" t="s">
        <v>98</v>
      </c>
      <c r="F9" s="30" t="s">
        <v>99</v>
      </c>
      <c r="G9" s="28" t="s">
        <v>100</v>
      </c>
      <c r="H9" s="28" t="s">
        <v>118</v>
      </c>
      <c r="I9" s="38" t="s">
        <v>413</v>
      </c>
      <c r="J9" s="34" t="str">
        <f>IFERROR(WORKDAY(Table1[[#This Row],[50% IFR - 
AE]],-15), " ")</f>
        <v xml:space="preserve"> </v>
      </c>
      <c r="K9" s="31" t="s">
        <v>111</v>
      </c>
      <c r="L9" s="31" t="s">
        <v>112</v>
      </c>
      <c r="M9" s="31" t="s">
        <v>103</v>
      </c>
      <c r="N9" s="31" t="s">
        <v>104</v>
      </c>
      <c r="O9" s="31" t="s">
        <v>105</v>
      </c>
      <c r="P9" s="31" t="s">
        <v>106</v>
      </c>
      <c r="Q9" s="31" t="s">
        <v>107</v>
      </c>
      <c r="R9" s="31"/>
      <c r="S9" s="31"/>
      <c r="T9" s="31"/>
      <c r="U9" s="31"/>
      <c r="V9" s="31"/>
      <c r="W9" s="31"/>
      <c r="X9" s="89" t="s">
        <v>108</v>
      </c>
      <c r="Y9" s="110" t="s">
        <v>113</v>
      </c>
    </row>
    <row r="10" spans="1:25" ht="26.1" customHeight="1">
      <c r="A10" s="28" t="s">
        <v>479</v>
      </c>
      <c r="B10" s="48" t="s">
        <v>97</v>
      </c>
      <c r="C10" s="28" t="s">
        <v>76</v>
      </c>
      <c r="D10" s="28" t="s">
        <v>77</v>
      </c>
      <c r="E10" s="28" t="s">
        <v>98</v>
      </c>
      <c r="F10" s="30" t="s">
        <v>99</v>
      </c>
      <c r="G10" s="28" t="s">
        <v>100</v>
      </c>
      <c r="H10" s="28" t="s">
        <v>80</v>
      </c>
      <c r="I10" s="38"/>
      <c r="J10" s="34" t="str">
        <f>IFERROR(WORKDAY(Table1[[#This Row],[50% IFR - 
AE]],-15), " ")</f>
        <v xml:space="preserve"> </v>
      </c>
      <c r="K10" s="31" t="s">
        <v>480</v>
      </c>
      <c r="L10" s="31" t="s">
        <v>481</v>
      </c>
      <c r="M10" s="31"/>
      <c r="N10" s="31" t="s">
        <v>482</v>
      </c>
      <c r="O10" s="31" t="s">
        <v>483</v>
      </c>
      <c r="P10" s="31"/>
      <c r="Q10" s="31" t="s">
        <v>484</v>
      </c>
      <c r="R10" s="31"/>
      <c r="S10" s="31"/>
      <c r="T10" s="31"/>
      <c r="U10" s="31"/>
      <c r="V10" s="31"/>
      <c r="W10" s="31"/>
      <c r="X10" s="110" t="s">
        <v>485</v>
      </c>
      <c r="Y10" s="110" t="s">
        <v>485</v>
      </c>
    </row>
    <row r="11" spans="1:25" ht="26.1" customHeight="1">
      <c r="A11" s="28" t="s">
        <v>486</v>
      </c>
      <c r="B11" s="48" t="s">
        <v>97</v>
      </c>
      <c r="C11" s="28" t="s">
        <v>76</v>
      </c>
      <c r="D11" s="28" t="s">
        <v>77</v>
      </c>
      <c r="E11" s="28" t="s">
        <v>98</v>
      </c>
      <c r="F11" s="30" t="s">
        <v>99</v>
      </c>
      <c r="G11" s="28" t="s">
        <v>100</v>
      </c>
      <c r="H11" s="28" t="s">
        <v>118</v>
      </c>
      <c r="I11" s="38"/>
      <c r="J11" s="34" t="s">
        <v>487</v>
      </c>
      <c r="K11" s="31" t="s">
        <v>488</v>
      </c>
      <c r="L11" s="31" t="s">
        <v>489</v>
      </c>
      <c r="M11" s="31" t="s">
        <v>490</v>
      </c>
      <c r="N11" s="31" t="s">
        <v>491</v>
      </c>
      <c r="O11" s="31"/>
      <c r="P11" s="31" t="s">
        <v>492</v>
      </c>
      <c r="Q11" s="31"/>
      <c r="R11" s="31"/>
      <c r="S11" s="31"/>
      <c r="T11" s="31"/>
      <c r="U11" s="31"/>
      <c r="V11" s="31"/>
      <c r="W11" s="31"/>
      <c r="X11" s="89"/>
      <c r="Y11" s="110"/>
    </row>
    <row r="12" spans="1:25" ht="26.1" customHeight="1">
      <c r="A12" s="28" t="s">
        <v>493</v>
      </c>
      <c r="B12" s="48" t="s">
        <v>97</v>
      </c>
      <c r="C12" s="28" t="s">
        <v>76</v>
      </c>
      <c r="D12" s="28" t="s">
        <v>77</v>
      </c>
      <c r="E12" s="28" t="s">
        <v>98</v>
      </c>
      <c r="F12" s="30" t="s">
        <v>99</v>
      </c>
      <c r="G12" s="28" t="s">
        <v>100</v>
      </c>
      <c r="H12" s="28" t="s">
        <v>118</v>
      </c>
      <c r="I12" s="38"/>
      <c r="J12" s="34" t="s">
        <v>494</v>
      </c>
      <c r="K12" s="31" t="s">
        <v>495</v>
      </c>
      <c r="L12" s="31" t="s">
        <v>491</v>
      </c>
      <c r="M12" s="31"/>
      <c r="N12" s="31"/>
      <c r="O12" s="31"/>
      <c r="P12" s="31"/>
      <c r="Q12" s="31"/>
      <c r="R12" s="31"/>
      <c r="S12" s="31"/>
      <c r="T12" s="31"/>
      <c r="U12" s="31"/>
      <c r="V12" s="31"/>
      <c r="W12" s="31"/>
      <c r="X12" s="89"/>
      <c r="Y12" s="110"/>
    </row>
    <row r="13" spans="1:25" ht="26.1" customHeight="1">
      <c r="A13" s="28" t="s">
        <v>496</v>
      </c>
      <c r="B13" s="48" t="s">
        <v>97</v>
      </c>
      <c r="C13" s="28" t="s">
        <v>76</v>
      </c>
      <c r="D13" s="28" t="s">
        <v>77</v>
      </c>
      <c r="E13" s="28" t="s">
        <v>98</v>
      </c>
      <c r="F13" s="30" t="s">
        <v>99</v>
      </c>
      <c r="G13" s="28" t="s">
        <v>100</v>
      </c>
      <c r="H13" s="28" t="s">
        <v>118</v>
      </c>
      <c r="I13" s="38"/>
      <c r="J13" s="34" t="s">
        <v>497</v>
      </c>
      <c r="K13" s="31" t="s">
        <v>498</v>
      </c>
      <c r="L13" s="31" t="s">
        <v>499</v>
      </c>
      <c r="M13" s="31"/>
      <c r="N13" s="31"/>
      <c r="O13" s="31"/>
      <c r="P13" s="31"/>
      <c r="Q13" s="31"/>
      <c r="R13" s="31"/>
      <c r="S13" s="31"/>
      <c r="T13" s="31"/>
      <c r="U13" s="31"/>
      <c r="V13" s="31"/>
      <c r="W13" s="31"/>
      <c r="X13" s="89"/>
      <c r="Y13" s="110"/>
    </row>
    <row r="14" spans="1:25" ht="26.1" customHeight="1">
      <c r="A14" s="28" t="s">
        <v>114</v>
      </c>
      <c r="B14" s="48" t="s">
        <v>97</v>
      </c>
      <c r="C14" s="28" t="s">
        <v>115</v>
      </c>
      <c r="D14" s="28" t="s">
        <v>77</v>
      </c>
      <c r="E14" s="28" t="s">
        <v>116</v>
      </c>
      <c r="F14" s="30" t="s">
        <v>117</v>
      </c>
      <c r="G14" s="28"/>
      <c r="H14" s="28" t="s">
        <v>118</v>
      </c>
      <c r="I14" s="31">
        <v>44874</v>
      </c>
      <c r="J14" s="31" t="str">
        <f>IFERROR(WORKDAY(Table1[[#This Row],[50% IFR - 
AE]],-15), " ")</f>
        <v xml:space="preserve"> </v>
      </c>
      <c r="K14" s="34" t="s">
        <v>82</v>
      </c>
      <c r="L14" s="34" t="s">
        <v>119</v>
      </c>
      <c r="M14" s="34" t="s">
        <v>82</v>
      </c>
      <c r="N14" s="34"/>
      <c r="O14" s="31"/>
      <c r="P14" s="31" t="s">
        <v>82</v>
      </c>
      <c r="Q14" s="31"/>
      <c r="R14" s="31"/>
      <c r="S14" s="31"/>
      <c r="T14" s="31"/>
      <c r="U14" s="31"/>
      <c r="V14" s="31"/>
      <c r="W14" s="31"/>
      <c r="X14" s="90" t="s">
        <v>120</v>
      </c>
      <c r="Y14" s="111"/>
    </row>
    <row r="15" spans="1:25" ht="26.1" customHeight="1">
      <c r="A15" s="28" t="s">
        <v>500</v>
      </c>
      <c r="B15" s="48" t="s">
        <v>97</v>
      </c>
      <c r="C15" s="28" t="s">
        <v>115</v>
      </c>
      <c r="D15" s="28" t="s">
        <v>77</v>
      </c>
      <c r="E15" s="28" t="s">
        <v>116</v>
      </c>
      <c r="F15" s="30" t="s">
        <v>117</v>
      </c>
      <c r="G15" s="28"/>
      <c r="H15" s="28" t="s">
        <v>118</v>
      </c>
      <c r="I15" s="31"/>
      <c r="J15" s="31" t="s">
        <v>457</v>
      </c>
      <c r="K15" s="34"/>
      <c r="L15" s="34"/>
      <c r="M15" s="34" t="s">
        <v>501</v>
      </c>
      <c r="N15" s="34" t="s">
        <v>502</v>
      </c>
      <c r="O15" s="31"/>
      <c r="P15" s="31" t="s">
        <v>460</v>
      </c>
      <c r="Q15" s="31" t="s">
        <v>503</v>
      </c>
      <c r="R15" s="31"/>
      <c r="S15" s="31"/>
      <c r="T15" s="31"/>
      <c r="U15" s="31"/>
      <c r="V15" s="31"/>
      <c r="W15" s="31"/>
      <c r="X15" s="90"/>
      <c r="Y15" s="111"/>
    </row>
    <row r="16" spans="1:25" ht="26.1" customHeight="1">
      <c r="A16" s="28" t="s">
        <v>504</v>
      </c>
      <c r="B16" s="48" t="s">
        <v>505</v>
      </c>
      <c r="C16" s="28"/>
      <c r="D16" s="28"/>
      <c r="E16" s="28"/>
      <c r="F16" s="30"/>
      <c r="G16" s="28"/>
      <c r="H16" s="28" t="s">
        <v>118</v>
      </c>
      <c r="I16" s="31"/>
      <c r="J16" s="31" t="str">
        <f>IFERROR(WORKDAY(Table1[[#This Row],[50% IFR - 
AE]],-15), " ")</f>
        <v xml:space="preserve"> </v>
      </c>
      <c r="K16" s="34"/>
      <c r="L16" s="34"/>
      <c r="M16" s="34"/>
      <c r="N16" s="34"/>
      <c r="O16" s="31" t="s">
        <v>506</v>
      </c>
      <c r="P16" s="31" t="s">
        <v>507</v>
      </c>
      <c r="Q16" s="31"/>
      <c r="R16" s="31"/>
      <c r="S16" s="31"/>
      <c r="T16" s="31"/>
      <c r="U16" s="31"/>
      <c r="V16" s="31"/>
      <c r="W16" s="31"/>
      <c r="X16" s="89" t="s">
        <v>508</v>
      </c>
      <c r="Y16" s="111"/>
    </row>
    <row r="17" spans="1:25" ht="26.1" customHeight="1">
      <c r="A17" s="28" t="s">
        <v>509</v>
      </c>
      <c r="B17" s="48" t="s">
        <v>505</v>
      </c>
      <c r="C17" s="28"/>
      <c r="D17" s="28"/>
      <c r="E17" s="28"/>
      <c r="F17" s="30"/>
      <c r="G17" s="28"/>
      <c r="H17" s="28" t="s">
        <v>118</v>
      </c>
      <c r="I17" s="31"/>
      <c r="J17" s="31" t="str">
        <f>IFERROR(WORKDAY(Table1[[#This Row],[50% IFR - 
AE]],-15), " ")</f>
        <v xml:space="preserve"> </v>
      </c>
      <c r="K17" s="34"/>
      <c r="L17" s="34"/>
      <c r="M17" s="34"/>
      <c r="N17" s="34"/>
      <c r="O17" s="31" t="s">
        <v>510</v>
      </c>
      <c r="P17" s="31"/>
      <c r="Q17" s="31"/>
      <c r="R17" s="31"/>
      <c r="S17" s="31"/>
      <c r="T17" s="31"/>
      <c r="U17" s="31"/>
      <c r="V17" s="31"/>
      <c r="W17" s="31"/>
      <c r="X17" s="89" t="s">
        <v>508</v>
      </c>
      <c r="Y17" s="111"/>
    </row>
    <row r="18" spans="1:25" ht="26.1" customHeight="1">
      <c r="A18" s="28" t="s">
        <v>511</v>
      </c>
      <c r="B18" s="31"/>
      <c r="C18" s="31"/>
      <c r="D18" s="31"/>
      <c r="E18" s="31"/>
      <c r="F18" s="31"/>
      <c r="G18" s="31"/>
      <c r="H18" s="31" t="s">
        <v>118</v>
      </c>
      <c r="I18" s="31"/>
      <c r="J18" s="31" t="str">
        <f>IFERROR(WORKDAY(Table1[[#This Row],[50% IFR - 
AE]],-15), " ")</f>
        <v xml:space="preserve"> </v>
      </c>
      <c r="K18" s="31"/>
      <c r="L18" s="31"/>
      <c r="M18" s="31" t="s">
        <v>512</v>
      </c>
      <c r="N18" s="31" t="s">
        <v>513</v>
      </c>
      <c r="O18" s="31"/>
      <c r="P18" s="31"/>
      <c r="Q18" s="31" t="s">
        <v>514</v>
      </c>
      <c r="R18" s="31"/>
      <c r="S18" s="31"/>
      <c r="T18" s="31"/>
      <c r="U18" s="31"/>
      <c r="V18" s="31"/>
      <c r="W18" s="31"/>
      <c r="X18" s="89"/>
      <c r="Y18" s="112"/>
    </row>
    <row r="19" spans="1:25" ht="26.1" customHeight="1">
      <c r="A19" s="28" t="s">
        <v>121</v>
      </c>
      <c r="B19" s="48" t="s">
        <v>515</v>
      </c>
      <c r="C19" s="28"/>
      <c r="D19" s="28"/>
      <c r="E19" s="28"/>
      <c r="F19" s="30"/>
      <c r="G19" s="28"/>
      <c r="H19" s="28" t="s">
        <v>118</v>
      </c>
      <c r="I19" s="31"/>
      <c r="J19" s="31" t="str">
        <f>IFERROR(WORKDAY(Table1[[#This Row],[50% IFR - 
AE]],-15), " ")</f>
        <v xml:space="preserve"> </v>
      </c>
      <c r="K19" s="34" t="s">
        <v>122</v>
      </c>
      <c r="L19" s="34" t="s">
        <v>123</v>
      </c>
      <c r="M19" s="34" t="s">
        <v>83</v>
      </c>
      <c r="N19" s="34" t="s">
        <v>124</v>
      </c>
      <c r="O19" s="31" t="s">
        <v>83</v>
      </c>
      <c r="P19" s="31" t="s">
        <v>125</v>
      </c>
      <c r="Q19" s="31"/>
      <c r="R19" s="31"/>
      <c r="S19" s="31"/>
      <c r="T19" s="31"/>
      <c r="U19" s="31"/>
      <c r="V19" s="31"/>
      <c r="W19" s="31"/>
      <c r="X19" s="90"/>
      <c r="Y19" s="111"/>
    </row>
    <row r="20" spans="1:25" ht="26.1" customHeight="1">
      <c r="A20" s="28" t="s">
        <v>516</v>
      </c>
      <c r="B20" s="48" t="s">
        <v>515</v>
      </c>
      <c r="C20" s="28"/>
      <c r="D20" s="28"/>
      <c r="E20" s="28"/>
      <c r="F20" s="30" t="s">
        <v>517</v>
      </c>
      <c r="G20" s="28"/>
      <c r="H20" s="28" t="s">
        <v>118</v>
      </c>
      <c r="I20" s="31"/>
      <c r="J20" s="31" t="str">
        <f>IFERROR(WORKDAY(Table1[[#This Row],[50% IFR - 
AE]],-15), " ")</f>
        <v xml:space="preserve"> </v>
      </c>
      <c r="K20" s="34"/>
      <c r="L20" s="34"/>
      <c r="M20" s="34"/>
      <c r="N20" s="34"/>
      <c r="O20" s="31" t="s">
        <v>518</v>
      </c>
      <c r="P20" s="31" t="s">
        <v>519</v>
      </c>
      <c r="Q20" s="31" t="s">
        <v>520</v>
      </c>
      <c r="R20" s="31"/>
      <c r="S20" s="31"/>
      <c r="T20" s="31"/>
      <c r="U20" s="31"/>
      <c r="V20" s="31"/>
      <c r="W20" s="31"/>
      <c r="X20" s="90"/>
      <c r="Y20" s="111"/>
    </row>
    <row r="21" spans="1:25" ht="26.1" customHeight="1">
      <c r="A21" s="28" t="s">
        <v>521</v>
      </c>
      <c r="B21" s="48" t="s">
        <v>515</v>
      </c>
      <c r="C21" s="28" t="s">
        <v>181</v>
      </c>
      <c r="D21" s="28" t="s">
        <v>77</v>
      </c>
      <c r="E21" s="28" t="s">
        <v>522</v>
      </c>
      <c r="F21" s="30" t="s">
        <v>523</v>
      </c>
      <c r="G21" s="28"/>
      <c r="H21" s="28" t="s">
        <v>118</v>
      </c>
      <c r="I21" s="31" t="s">
        <v>524</v>
      </c>
      <c r="J21" s="31" t="s">
        <v>524</v>
      </c>
      <c r="K21" s="34" t="s">
        <v>525</v>
      </c>
      <c r="L21" s="34" t="s">
        <v>526</v>
      </c>
      <c r="M21" s="34" t="s">
        <v>527</v>
      </c>
      <c r="N21" s="34" t="s">
        <v>528</v>
      </c>
      <c r="O21" s="31" t="s">
        <v>529</v>
      </c>
      <c r="P21" s="31" t="s">
        <v>530</v>
      </c>
      <c r="Q21" s="31" t="s">
        <v>268</v>
      </c>
      <c r="R21" s="31"/>
      <c r="S21" s="31"/>
      <c r="T21" s="31"/>
      <c r="U21" s="31"/>
      <c r="V21" s="31" t="s">
        <v>531</v>
      </c>
      <c r="W21" s="31"/>
      <c r="X21" s="90" t="s">
        <v>532</v>
      </c>
      <c r="Y21" s="111"/>
    </row>
    <row r="22" spans="1:25" ht="26.1" customHeight="1">
      <c r="A22" s="28" t="s">
        <v>533</v>
      </c>
      <c r="B22" s="48" t="s">
        <v>515</v>
      </c>
      <c r="C22" s="28"/>
      <c r="D22" s="28"/>
      <c r="E22" s="28"/>
      <c r="F22" s="30"/>
      <c r="G22" s="28"/>
      <c r="H22" s="28" t="s">
        <v>80</v>
      </c>
      <c r="I22" s="31"/>
      <c r="J22" s="31" t="str">
        <f>IFERROR(WORKDAY(Table1[[#This Row],[50% IFR - 
AE]],-15), " ")</f>
        <v xml:space="preserve"> </v>
      </c>
      <c r="K22" s="34" t="s">
        <v>534</v>
      </c>
      <c r="L22" s="34"/>
      <c r="M22" s="34"/>
      <c r="N22" s="34"/>
      <c r="O22" s="31" t="s">
        <v>535</v>
      </c>
      <c r="P22" s="31" t="s">
        <v>536</v>
      </c>
      <c r="Q22" s="31"/>
      <c r="R22" s="31"/>
      <c r="S22" s="31"/>
      <c r="T22" s="31"/>
      <c r="U22" s="31"/>
      <c r="V22" s="31"/>
      <c r="W22" s="31"/>
      <c r="X22" s="90" t="s">
        <v>537</v>
      </c>
      <c r="Y22" s="111"/>
    </row>
    <row r="23" spans="1:25" ht="26.1" customHeight="1">
      <c r="A23" s="28" t="s">
        <v>126</v>
      </c>
      <c r="B23" s="48" t="s">
        <v>127</v>
      </c>
      <c r="C23" s="28"/>
      <c r="D23" s="28"/>
      <c r="E23" s="28"/>
      <c r="F23" s="30"/>
      <c r="G23" s="28"/>
      <c r="H23" s="28" t="s">
        <v>118</v>
      </c>
      <c r="I23" s="31" t="s">
        <v>217</v>
      </c>
      <c r="J23" s="31" t="str">
        <f>IFERROR(WORKDAY(Table1[[#This Row],[50% IFR - 
AE]],-15), " ")</f>
        <v xml:space="preserve"> </v>
      </c>
      <c r="K23" s="34" t="s">
        <v>128</v>
      </c>
      <c r="L23" s="34"/>
      <c r="M23" s="34"/>
      <c r="N23" s="34"/>
      <c r="O23" s="31"/>
      <c r="P23" s="31"/>
      <c r="Q23" s="31" t="s">
        <v>538</v>
      </c>
      <c r="R23" s="31"/>
      <c r="S23" s="31"/>
      <c r="T23" s="31"/>
      <c r="U23" s="31" t="s">
        <v>83</v>
      </c>
      <c r="V23" s="31"/>
      <c r="W23" s="31"/>
      <c r="X23" s="90"/>
      <c r="Y23" s="111" t="s">
        <v>129</v>
      </c>
    </row>
    <row r="24" spans="1:25" ht="26.1" customHeight="1">
      <c r="A24" s="28" t="s">
        <v>130</v>
      </c>
      <c r="B24" s="48" t="s">
        <v>127</v>
      </c>
      <c r="C24" s="28"/>
      <c r="D24" s="28"/>
      <c r="E24" s="28"/>
      <c r="F24" s="30"/>
      <c r="G24" s="28"/>
      <c r="H24" s="28" t="s">
        <v>118</v>
      </c>
      <c r="I24" s="31" t="s">
        <v>131</v>
      </c>
      <c r="J24" s="31" t="str">
        <f>IFERROR(WORKDAY(Table1[[#This Row],[50% IFR - 
AE]],-15), " ")</f>
        <v xml:space="preserve"> </v>
      </c>
      <c r="K24" s="34" t="s">
        <v>128</v>
      </c>
      <c r="L24" s="34"/>
      <c r="M24" s="34"/>
      <c r="N24" s="34"/>
      <c r="O24" s="31"/>
      <c r="P24" s="31" t="s">
        <v>132</v>
      </c>
      <c r="Q24" s="31"/>
      <c r="R24" s="31"/>
      <c r="S24" s="31"/>
      <c r="T24" s="31"/>
      <c r="U24" s="31"/>
      <c r="V24" s="31"/>
      <c r="W24" s="31"/>
      <c r="X24" s="90"/>
      <c r="Y24" s="111" t="s">
        <v>129</v>
      </c>
    </row>
    <row r="25" spans="1:25" ht="26.1" customHeight="1">
      <c r="A25" s="28" t="s">
        <v>133</v>
      </c>
      <c r="B25" s="48" t="s">
        <v>127</v>
      </c>
      <c r="C25" s="28"/>
      <c r="D25" s="28"/>
      <c r="E25" s="28"/>
      <c r="F25" s="30"/>
      <c r="G25" s="28"/>
      <c r="H25" s="28" t="s">
        <v>118</v>
      </c>
      <c r="I25" s="31"/>
      <c r="J25" s="31" t="str">
        <f>IFERROR(WORKDAY(Table1[[#This Row],[50% IFR - 
AE]],-15), " ")</f>
        <v xml:space="preserve"> </v>
      </c>
      <c r="K25" s="34"/>
      <c r="L25" s="34"/>
      <c r="M25" s="34"/>
      <c r="N25" s="34"/>
      <c r="O25" s="31"/>
      <c r="P25" s="31" t="s">
        <v>134</v>
      </c>
      <c r="Q25" s="31" t="s">
        <v>135</v>
      </c>
      <c r="R25" s="31"/>
      <c r="S25" s="31"/>
      <c r="T25" s="31"/>
      <c r="U25" s="31"/>
      <c r="V25" s="31"/>
      <c r="W25" s="31"/>
      <c r="X25" s="90"/>
      <c r="Y25" s="111" t="s">
        <v>136</v>
      </c>
    </row>
    <row r="26" spans="1:25" ht="26.1" customHeight="1">
      <c r="A26" s="28" t="s">
        <v>137</v>
      </c>
      <c r="B26" s="48" t="s">
        <v>138</v>
      </c>
      <c r="C26" s="28" t="s">
        <v>139</v>
      </c>
      <c r="D26" s="28" t="s">
        <v>77</v>
      </c>
      <c r="E26" s="28" t="s">
        <v>140</v>
      </c>
      <c r="F26" s="30" t="s">
        <v>141</v>
      </c>
      <c r="G26" s="28" t="s">
        <v>100</v>
      </c>
      <c r="H26" s="28" t="s">
        <v>118</v>
      </c>
      <c r="I26" s="31" t="s">
        <v>539</v>
      </c>
      <c r="J26" s="31" t="str">
        <f>IFERROR(WORKDAY(Table1[[#This Row],[50% IFR - 
AE]],-15), " ")</f>
        <v xml:space="preserve"> </v>
      </c>
      <c r="K26" s="34" t="s">
        <v>142</v>
      </c>
      <c r="L26" s="34" t="s">
        <v>142</v>
      </c>
      <c r="M26" s="34" t="s">
        <v>143</v>
      </c>
      <c r="N26" s="34" t="s">
        <v>144</v>
      </c>
      <c r="O26" s="31" t="s">
        <v>145</v>
      </c>
      <c r="P26" s="31" t="s">
        <v>146</v>
      </c>
      <c r="Q26" s="31" t="s">
        <v>458</v>
      </c>
      <c r="R26" s="31"/>
      <c r="S26" s="31"/>
      <c r="T26" s="31"/>
      <c r="U26" s="31"/>
      <c r="V26" s="31"/>
      <c r="W26" s="31"/>
      <c r="X26" s="90" t="s">
        <v>147</v>
      </c>
      <c r="Y26" s="111" t="s">
        <v>148</v>
      </c>
    </row>
    <row r="27" spans="1:25" ht="26.1" customHeight="1">
      <c r="A27" s="28" t="s">
        <v>540</v>
      </c>
      <c r="B27" s="48" t="s">
        <v>138</v>
      </c>
      <c r="C27" s="28"/>
      <c r="D27" s="28"/>
      <c r="E27" s="28"/>
      <c r="F27" s="30"/>
      <c r="G27" s="28"/>
      <c r="H27" s="28" t="s">
        <v>118</v>
      </c>
      <c r="I27" s="31"/>
      <c r="J27" s="31" t="s">
        <v>541</v>
      </c>
      <c r="K27" s="34" t="s">
        <v>542</v>
      </c>
      <c r="L27" s="34" t="s">
        <v>543</v>
      </c>
      <c r="M27" s="34" t="s">
        <v>544</v>
      </c>
      <c r="N27" s="34" t="s">
        <v>545</v>
      </c>
      <c r="O27" s="31"/>
      <c r="P27" s="31"/>
      <c r="Q27" s="31"/>
      <c r="R27" s="31"/>
      <c r="S27" s="31"/>
      <c r="T27" s="31"/>
      <c r="U27" s="31"/>
      <c r="V27" s="31"/>
      <c r="W27" s="31"/>
      <c r="X27" s="90"/>
      <c r="Y27" s="111" t="s">
        <v>546</v>
      </c>
    </row>
    <row r="28" spans="1:25" ht="26.1" customHeight="1">
      <c r="A28" s="28" t="s">
        <v>149</v>
      </c>
      <c r="B28" s="48" t="s">
        <v>138</v>
      </c>
      <c r="C28" s="28" t="s">
        <v>150</v>
      </c>
      <c r="D28" s="28" t="s">
        <v>77</v>
      </c>
      <c r="E28" s="28" t="s">
        <v>151</v>
      </c>
      <c r="F28" s="30" t="s">
        <v>152</v>
      </c>
      <c r="G28" s="28"/>
      <c r="H28" s="28" t="s">
        <v>118</v>
      </c>
      <c r="I28" s="31" t="s">
        <v>131</v>
      </c>
      <c r="J28" s="31" t="str">
        <f>IFERROR(WORKDAY(Table1[[#This Row],[50% IFR - 
AE]],-15), " ")</f>
        <v xml:space="preserve"> </v>
      </c>
      <c r="K28" s="34" t="s">
        <v>153</v>
      </c>
      <c r="L28" s="34" t="s">
        <v>154</v>
      </c>
      <c r="M28" s="34" t="s">
        <v>155</v>
      </c>
      <c r="N28" s="34" t="s">
        <v>156</v>
      </c>
      <c r="O28" s="31" t="s">
        <v>145</v>
      </c>
      <c r="P28" s="31" t="s">
        <v>146</v>
      </c>
      <c r="Q28" s="31" t="s">
        <v>458</v>
      </c>
      <c r="R28" s="31"/>
      <c r="S28" s="31"/>
      <c r="T28" s="31"/>
      <c r="U28" s="31"/>
      <c r="V28" s="31"/>
      <c r="W28" s="31"/>
      <c r="X28" s="90" t="s">
        <v>157</v>
      </c>
      <c r="Y28" s="111" t="s">
        <v>158</v>
      </c>
    </row>
    <row r="29" spans="1:25" ht="26.1" customHeight="1">
      <c r="A29" s="28" t="s">
        <v>159</v>
      </c>
      <c r="B29" s="48" t="s">
        <v>138</v>
      </c>
      <c r="C29" s="28"/>
      <c r="D29" s="28"/>
      <c r="E29" s="28"/>
      <c r="F29" s="30"/>
      <c r="G29" s="28"/>
      <c r="H29" s="28" t="s">
        <v>118</v>
      </c>
      <c r="I29" s="31"/>
      <c r="J29" s="31" t="s">
        <v>547</v>
      </c>
      <c r="K29" s="34" t="s">
        <v>548</v>
      </c>
      <c r="L29" s="34" t="s">
        <v>549</v>
      </c>
      <c r="M29" s="34" t="s">
        <v>550</v>
      </c>
      <c r="N29" s="34" t="s">
        <v>551</v>
      </c>
      <c r="O29" s="31"/>
      <c r="P29" s="31" t="s">
        <v>552</v>
      </c>
      <c r="Q29" s="31"/>
      <c r="R29" s="31"/>
      <c r="S29" s="31"/>
      <c r="T29" s="31"/>
      <c r="U29" s="31"/>
      <c r="V29" s="31"/>
      <c r="W29" s="31"/>
      <c r="X29" s="90"/>
      <c r="Y29" s="111"/>
    </row>
    <row r="30" spans="1:25" ht="26.1" customHeight="1">
      <c r="A30" s="28" t="s">
        <v>161</v>
      </c>
      <c r="B30" s="48" t="s">
        <v>138</v>
      </c>
      <c r="C30" s="28" t="s">
        <v>139</v>
      </c>
      <c r="D30" s="28" t="s">
        <v>77</v>
      </c>
      <c r="E30" s="28" t="s">
        <v>140</v>
      </c>
      <c r="F30" s="30" t="s">
        <v>141</v>
      </c>
      <c r="G30" s="28" t="s">
        <v>100</v>
      </c>
      <c r="H30" s="28" t="s">
        <v>118</v>
      </c>
      <c r="I30" s="31" t="s">
        <v>131</v>
      </c>
      <c r="J30" s="31" t="str">
        <f>IFERROR(WORKDAY(Table1[[#This Row],[50% IFR - 
AE]],-15), " ")</f>
        <v xml:space="preserve"> </v>
      </c>
      <c r="K30" s="34" t="s">
        <v>553</v>
      </c>
      <c r="L30" s="34" t="s">
        <v>162</v>
      </c>
      <c r="M30" s="34" t="s">
        <v>554</v>
      </c>
      <c r="N30" s="34" t="s">
        <v>163</v>
      </c>
      <c r="O30" s="31"/>
      <c r="P30" s="31" t="s">
        <v>164</v>
      </c>
      <c r="Q30" s="31" t="s">
        <v>458</v>
      </c>
      <c r="R30" s="31"/>
      <c r="S30" s="31"/>
      <c r="T30" s="31"/>
      <c r="U30" s="31"/>
      <c r="V30" s="31"/>
      <c r="W30" s="31"/>
      <c r="X30" s="90"/>
      <c r="Y30" s="111" t="s">
        <v>165</v>
      </c>
    </row>
    <row r="31" spans="1:25" ht="26.1" customHeight="1">
      <c r="A31" s="28" t="s">
        <v>555</v>
      </c>
      <c r="B31" s="48" t="s">
        <v>138</v>
      </c>
      <c r="C31" s="28"/>
      <c r="D31" s="28"/>
      <c r="E31" s="28"/>
      <c r="F31" s="30"/>
      <c r="G31" s="28"/>
      <c r="H31" s="28" t="s">
        <v>118</v>
      </c>
      <c r="I31" s="31"/>
      <c r="J31" s="31" t="s">
        <v>556</v>
      </c>
      <c r="K31" s="34" t="s">
        <v>557</v>
      </c>
      <c r="L31" s="34" t="s">
        <v>558</v>
      </c>
      <c r="M31" s="34" t="s">
        <v>559</v>
      </c>
      <c r="N31" s="34" t="s">
        <v>560</v>
      </c>
      <c r="O31" s="31"/>
      <c r="P31" s="31" t="s">
        <v>561</v>
      </c>
      <c r="Q31" s="31"/>
      <c r="R31" s="31"/>
      <c r="S31" s="31"/>
      <c r="T31" s="31"/>
      <c r="U31" s="31"/>
      <c r="V31" s="31"/>
      <c r="W31" s="31"/>
      <c r="X31" s="90"/>
      <c r="Y31" s="111"/>
    </row>
    <row r="32" spans="1:25" ht="26.1" customHeight="1">
      <c r="A32" s="28" t="s">
        <v>166</v>
      </c>
      <c r="B32" s="48" t="s">
        <v>167</v>
      </c>
      <c r="C32" s="28" t="s">
        <v>168</v>
      </c>
      <c r="D32" s="28" t="s">
        <v>77</v>
      </c>
      <c r="E32" s="28" t="s">
        <v>169</v>
      </c>
      <c r="F32" s="30" t="s">
        <v>170</v>
      </c>
      <c r="G32" s="28"/>
      <c r="H32" s="28" t="s">
        <v>118</v>
      </c>
      <c r="I32" s="31"/>
      <c r="J32" s="31" t="str">
        <f>IFERROR(WORKDAY(Table1[[#This Row],[50% IFR - 
AE]],-15), " ")</f>
        <v xml:space="preserve"> </v>
      </c>
      <c r="K32" s="34"/>
      <c r="L32" s="34"/>
      <c r="M32" s="34"/>
      <c r="N32" s="34"/>
      <c r="O32" s="31"/>
      <c r="P32" s="31"/>
      <c r="Q32" s="31" t="s">
        <v>562</v>
      </c>
      <c r="R32" s="31"/>
      <c r="S32" s="31"/>
      <c r="T32" s="31"/>
      <c r="U32" s="31"/>
      <c r="V32" s="31"/>
      <c r="W32" s="31"/>
      <c r="X32" s="90"/>
      <c r="Y32" s="111"/>
    </row>
    <row r="33" spans="1:25" ht="26.1" customHeight="1">
      <c r="A33" s="28" t="s">
        <v>563</v>
      </c>
      <c r="B33" s="48" t="s">
        <v>167</v>
      </c>
      <c r="C33" s="28"/>
      <c r="D33" s="28"/>
      <c r="E33" s="28"/>
      <c r="F33" s="30"/>
      <c r="G33" s="28"/>
      <c r="H33" s="28" t="s">
        <v>118</v>
      </c>
      <c r="I33" s="31"/>
      <c r="J33" s="31" t="s">
        <v>564</v>
      </c>
      <c r="K33" s="34" t="s">
        <v>565</v>
      </c>
      <c r="L33" s="34" t="s">
        <v>566</v>
      </c>
      <c r="M33" s="34" t="s">
        <v>567</v>
      </c>
      <c r="N33" s="34" t="s">
        <v>568</v>
      </c>
      <c r="O33" s="31"/>
      <c r="P33" s="31"/>
      <c r="Q33" s="31"/>
      <c r="R33" s="31"/>
      <c r="S33" s="31"/>
      <c r="T33" s="31"/>
      <c r="U33" s="31"/>
      <c r="V33" s="31"/>
      <c r="W33" s="31"/>
      <c r="X33" s="90"/>
      <c r="Y33" s="111" t="s">
        <v>569</v>
      </c>
    </row>
    <row r="34" spans="1:25" ht="26.1" customHeight="1">
      <c r="A34" s="28" t="s">
        <v>171</v>
      </c>
      <c r="B34" s="48" t="s">
        <v>167</v>
      </c>
      <c r="C34" s="28" t="s">
        <v>168</v>
      </c>
      <c r="D34" s="28" t="s">
        <v>77</v>
      </c>
      <c r="E34" s="28" t="s">
        <v>169</v>
      </c>
      <c r="F34" s="30" t="s">
        <v>170</v>
      </c>
      <c r="G34" s="28"/>
      <c r="H34" s="28" t="s">
        <v>118</v>
      </c>
      <c r="I34" s="31" t="s">
        <v>131</v>
      </c>
      <c r="J34" s="31" t="str">
        <f>IFERROR(WORKDAY(Table1[[#This Row],[50% IFR - 
AE]],-15), " ")</f>
        <v xml:space="preserve"> </v>
      </c>
      <c r="K34" s="34" t="s">
        <v>172</v>
      </c>
      <c r="L34" s="34" t="s">
        <v>173</v>
      </c>
      <c r="M34" s="34"/>
      <c r="N34" s="34"/>
      <c r="O34" s="31"/>
      <c r="P34" s="31"/>
      <c r="Q34" s="31"/>
      <c r="R34" s="31"/>
      <c r="S34" s="31"/>
      <c r="T34" s="31"/>
      <c r="U34" s="31"/>
      <c r="V34" s="31"/>
      <c r="W34" s="31"/>
      <c r="X34" s="90" t="s">
        <v>174</v>
      </c>
      <c r="Y34" s="111" t="s">
        <v>175</v>
      </c>
    </row>
    <row r="35" spans="1:25" ht="26.1" customHeight="1">
      <c r="A35" s="28" t="s">
        <v>176</v>
      </c>
      <c r="B35" s="48" t="s">
        <v>167</v>
      </c>
      <c r="C35" s="28"/>
      <c r="D35" s="28"/>
      <c r="E35" s="28"/>
      <c r="F35" s="30"/>
      <c r="G35" s="28"/>
      <c r="H35" s="28" t="s">
        <v>118</v>
      </c>
      <c r="I35" s="31"/>
      <c r="J35" s="31" t="str">
        <f>IFERROR(WORKDAY(Table1[[#This Row],[50% IFR - 
AE]],-15), " ")</f>
        <v xml:space="preserve"> </v>
      </c>
      <c r="K35" s="34"/>
      <c r="L35" s="34" t="s">
        <v>177</v>
      </c>
      <c r="M35" s="34"/>
      <c r="N35" s="34"/>
      <c r="O35" s="31"/>
      <c r="P35" s="31"/>
      <c r="Q35" s="31"/>
      <c r="R35" s="31"/>
      <c r="S35" s="31"/>
      <c r="T35" s="31"/>
      <c r="U35" s="31"/>
      <c r="V35" s="31"/>
      <c r="W35" s="31"/>
      <c r="X35" s="90"/>
      <c r="Y35" s="111"/>
    </row>
    <row r="36" spans="1:25" ht="26.1" customHeight="1">
      <c r="A36" s="28" t="s">
        <v>178</v>
      </c>
      <c r="B36" s="48" t="s">
        <v>167</v>
      </c>
      <c r="C36" s="28" t="s">
        <v>168</v>
      </c>
      <c r="D36" s="28" t="s">
        <v>77</v>
      </c>
      <c r="E36" s="28" t="s">
        <v>169</v>
      </c>
      <c r="F36" s="30" t="s">
        <v>170</v>
      </c>
      <c r="G36" s="28"/>
      <c r="H36" s="28" t="s">
        <v>118</v>
      </c>
      <c r="I36" s="31" t="s">
        <v>131</v>
      </c>
      <c r="J36" s="31" t="str">
        <f>IFERROR(WORKDAY(Table1[[#This Row],[50% IFR - 
AE]],-15), " ")</f>
        <v xml:space="preserve"> </v>
      </c>
      <c r="K36" s="34" t="s">
        <v>82</v>
      </c>
      <c r="L36" s="34"/>
      <c r="M36" s="34"/>
      <c r="N36" s="34"/>
      <c r="O36" s="31"/>
      <c r="P36" s="31"/>
      <c r="Q36" s="31"/>
      <c r="R36" s="31"/>
      <c r="S36" s="31"/>
      <c r="T36" s="31"/>
      <c r="U36" s="31"/>
      <c r="V36" s="31"/>
      <c r="W36" s="31"/>
      <c r="X36" s="90"/>
      <c r="Y36" s="111"/>
    </row>
    <row r="37" spans="1:25" ht="26.1" customHeight="1">
      <c r="A37" s="28" t="s">
        <v>570</v>
      </c>
      <c r="B37" s="48" t="s">
        <v>180</v>
      </c>
      <c r="C37" s="28"/>
      <c r="D37" s="28"/>
      <c r="E37" s="28"/>
      <c r="F37" s="30"/>
      <c r="G37" s="28"/>
      <c r="H37" s="28" t="s">
        <v>118</v>
      </c>
      <c r="I37" s="31"/>
      <c r="J37" s="31" t="str">
        <f>IFERROR(WORKDAY(Table1[[#This Row],[50% IFR - 
AE]],-15), " ")</f>
        <v xml:space="preserve"> </v>
      </c>
      <c r="K37" s="34"/>
      <c r="L37" s="34"/>
      <c r="M37" s="34"/>
      <c r="N37" s="34"/>
      <c r="O37" s="31"/>
      <c r="P37" s="31"/>
      <c r="Q37" s="31"/>
      <c r="R37" s="31"/>
      <c r="S37" s="31"/>
      <c r="T37" s="31"/>
      <c r="U37" s="90" t="s">
        <v>571</v>
      </c>
      <c r="V37" s="31"/>
      <c r="W37" s="31"/>
      <c r="X37" s="90" t="s">
        <v>572</v>
      </c>
      <c r="Y37" s="111" t="s">
        <v>573</v>
      </c>
    </row>
    <row r="38" spans="1:25" ht="26.1" customHeight="1">
      <c r="A38" s="28" t="s">
        <v>179</v>
      </c>
      <c r="B38" s="48" t="s">
        <v>180</v>
      </c>
      <c r="C38" s="28" t="s">
        <v>181</v>
      </c>
      <c r="D38" s="28" t="s">
        <v>77</v>
      </c>
      <c r="E38" s="28" t="s">
        <v>182</v>
      </c>
      <c r="F38" s="30" t="s">
        <v>183</v>
      </c>
      <c r="G38" s="28"/>
      <c r="H38" s="28" t="s">
        <v>80</v>
      </c>
      <c r="I38" s="31"/>
      <c r="J38" s="31" t="str">
        <f>IFERROR(WORKDAY(Table1[[#This Row],[50% IFR - 
AE]],-15), " ")</f>
        <v xml:space="preserve"> </v>
      </c>
      <c r="K38" s="34"/>
      <c r="L38" s="34"/>
      <c r="M38" s="34" t="s">
        <v>82</v>
      </c>
      <c r="N38" s="34" t="s">
        <v>184</v>
      </c>
      <c r="O38" s="31" t="s">
        <v>185</v>
      </c>
      <c r="P38" s="31" t="s">
        <v>185</v>
      </c>
      <c r="Q38" s="31"/>
      <c r="R38" s="31"/>
      <c r="S38" s="31"/>
      <c r="T38" s="31"/>
      <c r="U38" s="31" t="s">
        <v>574</v>
      </c>
      <c r="V38" s="31"/>
      <c r="W38" s="31"/>
      <c r="X38" s="90" t="s">
        <v>575</v>
      </c>
      <c r="Y38" s="111" t="s">
        <v>187</v>
      </c>
    </row>
    <row r="39" spans="1:25" ht="26.1" customHeight="1">
      <c r="A39" s="28" t="s">
        <v>188</v>
      </c>
      <c r="B39" s="48" t="s">
        <v>576</v>
      </c>
      <c r="C39" s="28"/>
      <c r="D39" s="28"/>
      <c r="E39" s="28"/>
      <c r="F39" s="30"/>
      <c r="G39" s="28"/>
      <c r="H39" s="28" t="s">
        <v>118</v>
      </c>
      <c r="I39" s="31"/>
      <c r="J39" s="31" t="str">
        <f>IFERROR(WORKDAY(Table1[[#This Row],[50% IFR - 
AE]],-15), " ")</f>
        <v xml:space="preserve"> </v>
      </c>
      <c r="K39" s="34"/>
      <c r="L39" s="34"/>
      <c r="M39" s="34"/>
      <c r="N39" s="34"/>
      <c r="O39" s="31"/>
      <c r="P39" s="31"/>
      <c r="Q39" s="31" t="s">
        <v>189</v>
      </c>
      <c r="R39" s="31"/>
      <c r="S39" s="31"/>
      <c r="T39" s="31"/>
      <c r="U39" s="31"/>
      <c r="V39" s="31"/>
      <c r="W39" s="31"/>
      <c r="X39" s="90"/>
      <c r="Y39" s="111"/>
    </row>
    <row r="40" spans="1:25" ht="26.1" customHeight="1">
      <c r="A40" s="28" t="s">
        <v>190</v>
      </c>
      <c r="B40" s="48" t="s">
        <v>191</v>
      </c>
      <c r="C40" s="28" t="s">
        <v>192</v>
      </c>
      <c r="D40" s="28" t="s">
        <v>77</v>
      </c>
      <c r="E40" s="28" t="s">
        <v>193</v>
      </c>
      <c r="F40" s="30" t="s">
        <v>194</v>
      </c>
      <c r="G40" s="28"/>
      <c r="H40" s="28" t="s">
        <v>118</v>
      </c>
      <c r="I40" s="31"/>
      <c r="J40" s="31" t="str">
        <f>IFERROR(WORKDAY(Table1[[#This Row],[50% IFR - 
AE]],-15), " ")</f>
        <v xml:space="preserve"> </v>
      </c>
      <c r="K40" s="34"/>
      <c r="L40" s="34"/>
      <c r="M40" s="34"/>
      <c r="N40" s="34"/>
      <c r="O40" s="31"/>
      <c r="P40" s="31"/>
      <c r="Q40" s="31"/>
      <c r="R40" s="31"/>
      <c r="S40" s="31"/>
      <c r="T40" s="31"/>
      <c r="U40" s="31"/>
      <c r="V40" s="31"/>
      <c r="W40" s="31"/>
      <c r="X40" s="90" t="s">
        <v>195</v>
      </c>
      <c r="Y40" s="111"/>
    </row>
    <row r="41" spans="1:25" ht="26.1" customHeight="1">
      <c r="A41" s="28" t="s">
        <v>196</v>
      </c>
      <c r="B41" s="48" t="s">
        <v>191</v>
      </c>
      <c r="C41" s="28" t="s">
        <v>192</v>
      </c>
      <c r="D41" s="28" t="s">
        <v>77</v>
      </c>
      <c r="E41" s="28" t="s">
        <v>193</v>
      </c>
      <c r="F41" s="30" t="s">
        <v>194</v>
      </c>
      <c r="G41" s="28"/>
      <c r="H41" s="28" t="s">
        <v>118</v>
      </c>
      <c r="I41" s="31"/>
      <c r="J41" s="31" t="str">
        <f>IFERROR(WORKDAY(Table1[[#This Row],[50% IFR - 
AE]],-15), " ")</f>
        <v xml:space="preserve"> </v>
      </c>
      <c r="K41" s="34"/>
      <c r="L41" s="34"/>
      <c r="M41" s="34"/>
      <c r="N41" s="34"/>
      <c r="O41" s="31"/>
      <c r="P41" s="31"/>
      <c r="Q41" s="31"/>
      <c r="R41" s="31"/>
      <c r="S41" s="31"/>
      <c r="T41" s="31"/>
      <c r="U41" s="31"/>
      <c r="V41" s="31"/>
      <c r="W41" s="31"/>
      <c r="X41" s="90" t="s">
        <v>195</v>
      </c>
      <c r="Y41" s="111"/>
    </row>
    <row r="42" spans="1:25" ht="26.1" customHeight="1">
      <c r="A42" s="28" t="s">
        <v>197</v>
      </c>
      <c r="B42" s="48" t="s">
        <v>191</v>
      </c>
      <c r="C42" s="28" t="s">
        <v>192</v>
      </c>
      <c r="D42" s="28" t="s">
        <v>77</v>
      </c>
      <c r="E42" s="28" t="s">
        <v>193</v>
      </c>
      <c r="F42" s="30" t="s">
        <v>194</v>
      </c>
      <c r="G42" s="28"/>
      <c r="H42" s="28" t="s">
        <v>118</v>
      </c>
      <c r="I42" s="31"/>
      <c r="J42" s="31" t="str">
        <f>IFERROR(WORKDAY(Table1[[#This Row],[50% IFR - 
AE]],-15), " ")</f>
        <v xml:space="preserve"> </v>
      </c>
      <c r="K42" s="34"/>
      <c r="L42" s="34"/>
      <c r="M42" s="34"/>
      <c r="N42" s="34"/>
      <c r="O42" s="31"/>
      <c r="P42" s="31"/>
      <c r="Q42" s="31"/>
      <c r="R42" s="31"/>
      <c r="S42" s="31"/>
      <c r="T42" s="31"/>
      <c r="U42" s="31"/>
      <c r="V42" s="31"/>
      <c r="W42" s="31"/>
      <c r="X42" s="90" t="s">
        <v>198</v>
      </c>
      <c r="Y42" s="111"/>
    </row>
    <row r="43" spans="1:25" ht="26.1" customHeight="1">
      <c r="A43" s="28" t="s">
        <v>199</v>
      </c>
      <c r="B43" s="48" t="s">
        <v>191</v>
      </c>
      <c r="C43" s="28" t="s">
        <v>192</v>
      </c>
      <c r="D43" s="28" t="s">
        <v>77</v>
      </c>
      <c r="E43" s="28" t="s">
        <v>193</v>
      </c>
      <c r="F43" s="30" t="s">
        <v>194</v>
      </c>
      <c r="G43" s="28"/>
      <c r="H43" s="28" t="s">
        <v>118</v>
      </c>
      <c r="I43" s="31"/>
      <c r="J43" s="31" t="str">
        <f>IFERROR(WORKDAY(Table1[[#This Row],[50% IFR - 
AE]],-15), " ")</f>
        <v xml:space="preserve"> </v>
      </c>
      <c r="K43" s="34"/>
      <c r="L43" s="34"/>
      <c r="M43" s="34"/>
      <c r="N43" s="34"/>
      <c r="O43" s="31"/>
      <c r="P43" s="31"/>
      <c r="Q43" s="31" t="s">
        <v>200</v>
      </c>
      <c r="R43" s="31"/>
      <c r="S43" s="31"/>
      <c r="T43" s="31"/>
      <c r="U43" s="31" t="s">
        <v>577</v>
      </c>
      <c r="V43" s="31"/>
      <c r="W43" s="31"/>
      <c r="X43" s="90" t="s">
        <v>195</v>
      </c>
      <c r="Y43" s="111"/>
    </row>
    <row r="44" spans="1:25" ht="26.1" customHeight="1">
      <c r="A44" s="28" t="s">
        <v>201</v>
      </c>
      <c r="B44" s="48" t="s">
        <v>191</v>
      </c>
      <c r="C44" s="28" t="s">
        <v>192</v>
      </c>
      <c r="D44" s="28" t="s">
        <v>77</v>
      </c>
      <c r="E44" s="28" t="s">
        <v>193</v>
      </c>
      <c r="F44" s="30" t="s">
        <v>194</v>
      </c>
      <c r="G44" s="28"/>
      <c r="H44" s="28" t="s">
        <v>118</v>
      </c>
      <c r="I44" s="31"/>
      <c r="J44" s="31" t="str">
        <f>IFERROR(WORKDAY(Table1[[#This Row],[50% IFR - 
AE]],-15), " ")</f>
        <v xml:space="preserve"> </v>
      </c>
      <c r="K44" s="34"/>
      <c r="L44" s="34"/>
      <c r="M44" s="34"/>
      <c r="N44" s="34"/>
      <c r="O44" s="31"/>
      <c r="P44" s="31"/>
      <c r="Q44" s="31"/>
      <c r="R44" s="31"/>
      <c r="S44" s="31"/>
      <c r="T44" s="31"/>
      <c r="U44" s="31"/>
      <c r="V44" s="31"/>
      <c r="W44" s="31"/>
      <c r="X44" s="90" t="s">
        <v>195</v>
      </c>
      <c r="Y44" s="111"/>
    </row>
    <row r="45" spans="1:25" ht="26.1" customHeight="1">
      <c r="A45" s="28" t="s">
        <v>578</v>
      </c>
      <c r="B45" s="48" t="s">
        <v>191</v>
      </c>
      <c r="C45" s="28" t="s">
        <v>192</v>
      </c>
      <c r="D45" s="28" t="s">
        <v>77</v>
      </c>
      <c r="E45" s="28" t="s">
        <v>579</v>
      </c>
      <c r="F45" s="30" t="s">
        <v>580</v>
      </c>
      <c r="G45" s="28"/>
      <c r="H45" s="28" t="s">
        <v>80</v>
      </c>
      <c r="I45" s="31"/>
      <c r="J45" s="31" t="str">
        <f>IFERROR(WORKDAY(Table1[[#This Row],[50% IFR - 
AE]],-15), " ")</f>
        <v xml:space="preserve"> </v>
      </c>
      <c r="K45" s="34" t="s">
        <v>581</v>
      </c>
      <c r="L45" s="34" t="s">
        <v>581</v>
      </c>
      <c r="M45" s="34" t="s">
        <v>370</v>
      </c>
      <c r="N45" s="34" t="s">
        <v>582</v>
      </c>
      <c r="O45" s="31" t="s">
        <v>370</v>
      </c>
      <c r="P45" s="31" t="s">
        <v>583</v>
      </c>
      <c r="Q45" s="31"/>
      <c r="R45" s="31"/>
      <c r="S45" s="31"/>
      <c r="T45" s="31"/>
      <c r="U45" s="31"/>
      <c r="V45" s="31"/>
      <c r="W45" s="31"/>
      <c r="X45" s="90" t="s">
        <v>584</v>
      </c>
      <c r="Y45" s="111" t="s">
        <v>585</v>
      </c>
    </row>
    <row r="46" spans="1:25" ht="26.1" customHeight="1">
      <c r="A46" s="28" t="s">
        <v>202</v>
      </c>
      <c r="B46" s="48" t="s">
        <v>586</v>
      </c>
      <c r="C46" s="28" t="s">
        <v>204</v>
      </c>
      <c r="D46" s="28" t="s">
        <v>77</v>
      </c>
      <c r="E46" s="28" t="s">
        <v>205</v>
      </c>
      <c r="F46" s="30" t="s">
        <v>206</v>
      </c>
      <c r="G46" s="28"/>
      <c r="H46" s="28" t="s">
        <v>118</v>
      </c>
      <c r="I46" s="31"/>
      <c r="J46" s="31" t="str">
        <f>IFERROR(WORKDAY(Table1[[#This Row],[50% IFR - 
AE]],-15), " ")</f>
        <v xml:space="preserve"> </v>
      </c>
      <c r="K46" s="34" t="s">
        <v>82</v>
      </c>
      <c r="L46" s="34" t="s">
        <v>207</v>
      </c>
      <c r="M46" s="34" t="s">
        <v>82</v>
      </c>
      <c r="N46" s="34" t="s">
        <v>208</v>
      </c>
      <c r="O46" s="31" t="s">
        <v>209</v>
      </c>
      <c r="P46" s="31" t="s">
        <v>210</v>
      </c>
      <c r="Q46" s="31" t="s">
        <v>211</v>
      </c>
      <c r="R46" s="31"/>
      <c r="S46" s="31"/>
      <c r="T46" s="31"/>
      <c r="U46" s="31"/>
      <c r="V46" s="31"/>
      <c r="W46" s="31"/>
      <c r="X46" s="90"/>
      <c r="Y46" s="111" t="s">
        <v>212</v>
      </c>
    </row>
    <row r="47" spans="1:25" ht="26.1" customHeight="1">
      <c r="A47" s="28" t="s">
        <v>213</v>
      </c>
      <c r="B47" s="48" t="s">
        <v>586</v>
      </c>
      <c r="C47" s="28" t="s">
        <v>204</v>
      </c>
      <c r="D47" s="28" t="s">
        <v>214</v>
      </c>
      <c r="E47" s="28" t="s">
        <v>205</v>
      </c>
      <c r="F47" s="30" t="s">
        <v>206</v>
      </c>
      <c r="G47" s="28"/>
      <c r="H47" s="28" t="s">
        <v>118</v>
      </c>
      <c r="I47" s="31" t="s">
        <v>103</v>
      </c>
      <c r="J47" s="31" t="str">
        <f>IFERROR(WORKDAY(Table1[[#This Row],[50% IFR - 
AE]],-15), " ")</f>
        <v xml:space="preserve"> </v>
      </c>
      <c r="K47" s="34" t="s">
        <v>215</v>
      </c>
      <c r="L47" s="34" t="s">
        <v>216</v>
      </c>
      <c r="M47" s="34" t="s">
        <v>217</v>
      </c>
      <c r="N47" s="34" t="s">
        <v>218</v>
      </c>
      <c r="O47" s="31" t="s">
        <v>185</v>
      </c>
      <c r="P47" s="31" t="s">
        <v>219</v>
      </c>
      <c r="Q47" s="31" t="s">
        <v>220</v>
      </c>
      <c r="R47" s="31"/>
      <c r="S47" s="31"/>
      <c r="T47" s="31"/>
      <c r="U47" s="31"/>
      <c r="V47" s="31"/>
      <c r="W47" s="31"/>
      <c r="X47" s="90" t="s">
        <v>221</v>
      </c>
      <c r="Y47" s="111" t="s">
        <v>222</v>
      </c>
    </row>
    <row r="48" spans="1:25" ht="26.1" customHeight="1">
      <c r="A48" s="28" t="s">
        <v>223</v>
      </c>
      <c r="B48" s="48" t="s">
        <v>586</v>
      </c>
      <c r="C48" s="28"/>
      <c r="D48" s="28"/>
      <c r="E48" s="28"/>
      <c r="F48" s="30"/>
      <c r="G48" s="28"/>
      <c r="H48" s="28" t="s">
        <v>118</v>
      </c>
      <c r="I48" s="31"/>
      <c r="J48" s="31" t="str">
        <f>IFERROR(WORKDAY(Table1[[#This Row],[50% IFR - 
AE]],-15), " ")</f>
        <v xml:space="preserve"> </v>
      </c>
      <c r="K48" s="34" t="s">
        <v>224</v>
      </c>
      <c r="L48" s="34" t="s">
        <v>225</v>
      </c>
      <c r="M48" s="34"/>
      <c r="N48" s="34" t="s">
        <v>123</v>
      </c>
      <c r="O48" s="31"/>
      <c r="P48" s="31" t="s">
        <v>226</v>
      </c>
      <c r="Q48" s="31" t="s">
        <v>566</v>
      </c>
      <c r="R48" s="31"/>
      <c r="S48" s="31"/>
      <c r="T48" s="31"/>
      <c r="U48" s="31"/>
      <c r="V48" s="31"/>
      <c r="W48" s="31"/>
      <c r="X48" s="90"/>
      <c r="Y48" s="111"/>
    </row>
    <row r="49" spans="1:25" ht="26.1" customHeight="1">
      <c r="A49" s="28" t="s">
        <v>227</v>
      </c>
      <c r="B49" s="48" t="s">
        <v>586</v>
      </c>
      <c r="C49" s="28"/>
      <c r="D49" s="28"/>
      <c r="E49" s="28"/>
      <c r="F49" s="30"/>
      <c r="G49" s="28"/>
      <c r="H49" s="28" t="s">
        <v>118</v>
      </c>
      <c r="I49" s="31" t="s">
        <v>587</v>
      </c>
      <c r="J49" s="31" t="str">
        <f>IFERROR(WORKDAY(Table1[[#This Row],[50% IFR - 
AE]],-15), " ")</f>
        <v xml:space="preserve"> </v>
      </c>
      <c r="K49" s="34"/>
      <c r="L49" s="34"/>
      <c r="M49" s="34"/>
      <c r="N49" s="34" t="s">
        <v>123</v>
      </c>
      <c r="O49" s="31"/>
      <c r="P49" s="31" t="s">
        <v>226</v>
      </c>
      <c r="Q49" s="31" t="s">
        <v>566</v>
      </c>
      <c r="R49" s="31"/>
      <c r="S49" s="31"/>
      <c r="T49" s="31"/>
      <c r="U49" s="31"/>
      <c r="V49" s="31"/>
      <c r="W49" s="31"/>
      <c r="X49" s="90"/>
      <c r="Y49" s="111"/>
    </row>
    <row r="50" spans="1:25" ht="26.1" customHeight="1">
      <c r="A50" s="98" t="s">
        <v>588</v>
      </c>
      <c r="B50" s="48" t="s">
        <v>586</v>
      </c>
      <c r="C50" s="28" t="s">
        <v>589</v>
      </c>
      <c r="D50" s="28"/>
      <c r="E50" s="28" t="s">
        <v>590</v>
      </c>
      <c r="F50" s="30" t="s">
        <v>591</v>
      </c>
      <c r="G50" s="28"/>
      <c r="H50" s="28" t="s">
        <v>80</v>
      </c>
      <c r="I50" s="31">
        <v>45804</v>
      </c>
      <c r="J50" s="31" t="s">
        <v>592</v>
      </c>
      <c r="K50" s="34"/>
      <c r="L50" s="34" t="s">
        <v>593</v>
      </c>
      <c r="M50" s="34"/>
      <c r="N50" s="34"/>
      <c r="O50" s="31"/>
      <c r="P50" s="31"/>
      <c r="Q50" s="31"/>
      <c r="R50" s="31"/>
      <c r="S50" s="31"/>
      <c r="T50" s="31"/>
      <c r="U50" s="31"/>
      <c r="V50" s="31"/>
      <c r="W50" s="31"/>
      <c r="X50" s="90"/>
      <c r="Y50" s="111"/>
    </row>
    <row r="51" spans="1:25" ht="21.75" customHeight="1">
      <c r="A51" s="28" t="s">
        <v>229</v>
      </c>
      <c r="B51" s="48" t="s">
        <v>586</v>
      </c>
      <c r="C51" s="28" t="s">
        <v>204</v>
      </c>
      <c r="D51" s="28" t="s">
        <v>77</v>
      </c>
      <c r="E51" s="28" t="s">
        <v>205</v>
      </c>
      <c r="F51" s="30" t="s">
        <v>206</v>
      </c>
      <c r="G51" s="28"/>
      <c r="H51" s="28" t="s">
        <v>118</v>
      </c>
      <c r="I51" s="31"/>
      <c r="J51" s="31" t="str">
        <f>IFERROR(WORKDAY(Table1[[#This Row],[50% IFR - 
AE]],-15), " ")</f>
        <v xml:space="preserve"> </v>
      </c>
      <c r="K51" s="34" t="s">
        <v>230</v>
      </c>
      <c r="L51" s="34" t="s">
        <v>231</v>
      </c>
      <c r="M51" s="34" t="s">
        <v>112</v>
      </c>
      <c r="N51" s="34" t="s">
        <v>232</v>
      </c>
      <c r="O51" s="31" t="s">
        <v>185</v>
      </c>
      <c r="P51" s="31" t="s">
        <v>233</v>
      </c>
      <c r="Q51" s="31" t="s">
        <v>234</v>
      </c>
      <c r="R51" s="31"/>
      <c r="S51" s="31"/>
      <c r="T51" s="31"/>
      <c r="U51" s="31"/>
      <c r="V51" s="31"/>
      <c r="W51" s="31"/>
      <c r="X51" s="90" t="s">
        <v>235</v>
      </c>
      <c r="Y51" s="111" t="s">
        <v>236</v>
      </c>
    </row>
    <row r="52" spans="1:25" ht="21.75" customHeight="1">
      <c r="A52" s="31" t="s">
        <v>594</v>
      </c>
      <c r="B52" s="48"/>
      <c r="C52" s="28"/>
      <c r="D52" s="28"/>
      <c r="E52" s="28"/>
      <c r="F52" s="30"/>
      <c r="G52" s="28"/>
      <c r="H52" s="28" t="s">
        <v>80</v>
      </c>
      <c r="I52" s="31"/>
      <c r="J52" s="31" t="str">
        <f>IFERROR(WORKDAY(Table1[[#This Row],[50% IFR - 
AE]],-15), " ")</f>
        <v xml:space="preserve"> </v>
      </c>
      <c r="K52" s="34"/>
      <c r="L52" s="34"/>
      <c r="M52" s="34"/>
      <c r="N52" s="34"/>
      <c r="O52" s="31"/>
      <c r="P52" s="31"/>
      <c r="Q52" s="31"/>
      <c r="R52" s="31"/>
      <c r="S52" s="31"/>
      <c r="T52" s="31"/>
      <c r="U52" s="31"/>
      <c r="V52" s="31"/>
      <c r="W52" s="31"/>
      <c r="X52" s="90" t="s">
        <v>595</v>
      </c>
      <c r="Y52" s="111"/>
    </row>
    <row r="53" spans="1:25" ht="26.1" customHeight="1">
      <c r="A53" s="28" t="s">
        <v>237</v>
      </c>
      <c r="B53" s="48" t="s">
        <v>586</v>
      </c>
      <c r="C53" s="28" t="s">
        <v>204</v>
      </c>
      <c r="D53" s="28" t="s">
        <v>77</v>
      </c>
      <c r="E53" s="28" t="s">
        <v>205</v>
      </c>
      <c r="F53" s="30" t="s">
        <v>206</v>
      </c>
      <c r="G53" s="28"/>
      <c r="H53" s="28" t="s">
        <v>118</v>
      </c>
      <c r="I53" s="31" t="s">
        <v>131</v>
      </c>
      <c r="J53" s="31" t="str">
        <f>IFERROR(WORKDAY(Table1[[#This Row],[50% IFR - 
AE]],-15), " ")</f>
        <v xml:space="preserve"> </v>
      </c>
      <c r="K53" s="34" t="s">
        <v>238</v>
      </c>
      <c r="L53" s="34" t="s">
        <v>239</v>
      </c>
      <c r="M53" s="34" t="s">
        <v>240</v>
      </c>
      <c r="N53" s="34" t="s">
        <v>241</v>
      </c>
      <c r="O53" s="31" t="s">
        <v>225</v>
      </c>
      <c r="P53" s="31" t="s">
        <v>242</v>
      </c>
      <c r="Q53" s="31" t="s">
        <v>243</v>
      </c>
      <c r="R53" s="31"/>
      <c r="S53" s="31"/>
      <c r="T53" s="31"/>
      <c r="U53" s="31"/>
      <c r="V53" s="31"/>
      <c r="W53" s="31"/>
      <c r="X53" s="90"/>
      <c r="Y53" s="111" t="s">
        <v>244</v>
      </c>
    </row>
    <row r="54" spans="1:25" ht="26.1" customHeight="1">
      <c r="A54" s="28" t="s">
        <v>245</v>
      </c>
      <c r="B54" s="48" t="s">
        <v>586</v>
      </c>
      <c r="C54" s="28"/>
      <c r="D54" s="28"/>
      <c r="E54" s="28"/>
      <c r="F54" s="30"/>
      <c r="G54" s="28"/>
      <c r="H54" s="28" t="s">
        <v>118</v>
      </c>
      <c r="I54" s="31" t="s">
        <v>131</v>
      </c>
      <c r="J54" s="31" t="str">
        <f>IFERROR(WORKDAY(Table1[[#This Row],[50% IFR - 
AE]],-15), " ")</f>
        <v xml:space="preserve"> </v>
      </c>
      <c r="K54" s="34" t="s">
        <v>246</v>
      </c>
      <c r="L54" s="34" t="s">
        <v>247</v>
      </c>
      <c r="M54" s="34" t="s">
        <v>248</v>
      </c>
      <c r="N54" s="34" t="s">
        <v>249</v>
      </c>
      <c r="O54" s="31"/>
      <c r="P54" s="31" t="s">
        <v>250</v>
      </c>
      <c r="Q54" s="31" t="s">
        <v>528</v>
      </c>
      <c r="R54" s="31"/>
      <c r="S54" s="31"/>
      <c r="T54" s="31"/>
      <c r="U54" s="31"/>
      <c r="V54" s="31"/>
      <c r="W54" s="31"/>
      <c r="X54" s="90" t="s">
        <v>251</v>
      </c>
      <c r="Y54" s="111"/>
    </row>
    <row r="55" spans="1:25" ht="26.1" customHeight="1">
      <c r="A55" s="28" t="s">
        <v>252</v>
      </c>
      <c r="B55" s="48" t="s">
        <v>596</v>
      </c>
      <c r="C55" s="28"/>
      <c r="D55" s="28"/>
      <c r="E55" s="28"/>
      <c r="F55" s="30"/>
      <c r="G55" s="28"/>
      <c r="H55" s="28" t="s">
        <v>118</v>
      </c>
      <c r="I55" s="31"/>
      <c r="J55" s="31" t="str">
        <f>IFERROR(WORKDAY(Table1[[#This Row],[50% IFR - 
AE]],-15), " ")</f>
        <v xml:space="preserve"> </v>
      </c>
      <c r="K55" s="34"/>
      <c r="L55" s="34"/>
      <c r="M55" s="34"/>
      <c r="N55" s="34"/>
      <c r="O55" s="31"/>
      <c r="P55" s="31"/>
      <c r="Q55" s="31" t="s">
        <v>253</v>
      </c>
      <c r="R55" s="31"/>
      <c r="S55" s="31"/>
      <c r="T55" s="31"/>
      <c r="U55" s="31"/>
      <c r="V55" s="31"/>
      <c r="W55" s="31"/>
      <c r="X55" s="90"/>
      <c r="Y55" s="111"/>
    </row>
    <row r="56" spans="1:25" ht="25.5" customHeight="1">
      <c r="A56" s="28" t="s">
        <v>254</v>
      </c>
      <c r="B56" s="48" t="s">
        <v>255</v>
      </c>
      <c r="C56" s="28" t="s">
        <v>256</v>
      </c>
      <c r="D56" s="28" t="s">
        <v>214</v>
      </c>
      <c r="E56" s="28" t="s">
        <v>257</v>
      </c>
      <c r="F56" s="30" t="s">
        <v>258</v>
      </c>
      <c r="G56" s="28"/>
      <c r="H56" s="28" t="s">
        <v>118</v>
      </c>
      <c r="I56" s="31"/>
      <c r="J56" s="31" t="str">
        <f>IFERROR(WORKDAY(Table1[[#This Row],[50% IFR - 
AE]],-15), " ")</f>
        <v xml:space="preserve"> </v>
      </c>
      <c r="K56" s="34" t="s">
        <v>259</v>
      </c>
      <c r="L56" s="34" t="s">
        <v>597</v>
      </c>
      <c r="M56" s="34" t="s">
        <v>260</v>
      </c>
      <c r="N56" s="34" t="s">
        <v>261</v>
      </c>
      <c r="O56" s="31" t="s">
        <v>262</v>
      </c>
      <c r="P56" s="31" t="s">
        <v>263</v>
      </c>
      <c r="Q56" s="31" t="s">
        <v>453</v>
      </c>
      <c r="R56" s="31"/>
      <c r="S56" s="31"/>
      <c r="T56" s="31"/>
      <c r="U56" s="31"/>
      <c r="V56" s="31"/>
      <c r="W56" s="31"/>
      <c r="X56" s="90" t="s">
        <v>264</v>
      </c>
      <c r="Y56" s="111"/>
    </row>
    <row r="57" spans="1:25" ht="26.25" customHeight="1">
      <c r="A57" s="28" t="s">
        <v>265</v>
      </c>
      <c r="B57" s="48" t="s">
        <v>598</v>
      </c>
      <c r="C57" s="28"/>
      <c r="D57" s="28"/>
      <c r="E57" s="28"/>
      <c r="F57" s="30"/>
      <c r="G57" s="28"/>
      <c r="H57" s="28" t="s">
        <v>118</v>
      </c>
      <c r="I57" s="31"/>
      <c r="J57" s="31" t="str">
        <f>IFERROR(WORKDAY(Table1[[#This Row],[50% IFR - 
AE]],-15), " ")</f>
        <v xml:space="preserve"> </v>
      </c>
      <c r="K57" s="34"/>
      <c r="L57" s="34" t="s">
        <v>266</v>
      </c>
      <c r="M57" s="34"/>
      <c r="N57" s="34" t="s">
        <v>599</v>
      </c>
      <c r="O57" s="31"/>
      <c r="P57" s="31" t="s">
        <v>600</v>
      </c>
      <c r="Q57" s="31"/>
      <c r="R57" s="31"/>
      <c r="S57" s="31"/>
      <c r="T57" s="31"/>
      <c r="U57" s="31"/>
      <c r="V57" s="31"/>
      <c r="W57" s="31"/>
      <c r="X57" s="90"/>
      <c r="Y57" s="111"/>
    </row>
    <row r="58" spans="1:25" ht="27.75" customHeight="1">
      <c r="A58" s="28" t="s">
        <v>601</v>
      </c>
      <c r="B58" s="48" t="s">
        <v>598</v>
      </c>
      <c r="C58" s="28"/>
      <c r="D58" s="28"/>
      <c r="E58" s="28"/>
      <c r="F58" s="30"/>
      <c r="G58" s="28"/>
      <c r="H58" s="28" t="s">
        <v>118</v>
      </c>
      <c r="I58" s="31"/>
      <c r="J58" s="31" t="s">
        <v>602</v>
      </c>
      <c r="K58" s="34" t="s">
        <v>603</v>
      </c>
      <c r="L58" s="34" t="s">
        <v>603</v>
      </c>
      <c r="M58" s="34" t="s">
        <v>604</v>
      </c>
      <c r="N58" s="34" t="s">
        <v>605</v>
      </c>
      <c r="O58" s="31" t="s">
        <v>566</v>
      </c>
      <c r="P58" s="31" t="s">
        <v>606</v>
      </c>
      <c r="Q58" s="31"/>
      <c r="R58" s="31"/>
      <c r="S58" s="31"/>
      <c r="T58" s="31"/>
      <c r="U58" s="31"/>
      <c r="V58" s="31"/>
      <c r="W58" s="31"/>
      <c r="X58" s="90" t="s">
        <v>607</v>
      </c>
      <c r="Y58" s="111" t="s">
        <v>608</v>
      </c>
    </row>
    <row r="59" spans="1:25" ht="27.75" customHeight="1">
      <c r="A59" s="28" t="s">
        <v>609</v>
      </c>
      <c r="B59" s="48" t="s">
        <v>270</v>
      </c>
      <c r="C59" s="28"/>
      <c r="D59" s="28"/>
      <c r="E59" s="28"/>
      <c r="F59" s="30"/>
      <c r="G59" s="28"/>
      <c r="H59" s="28" t="s">
        <v>80</v>
      </c>
      <c r="I59" s="31"/>
      <c r="J59" s="31" t="str">
        <f>IFERROR(WORKDAY(Table1[[#This Row],[50% IFR - 
AE]],-15), " ")</f>
        <v xml:space="preserve"> </v>
      </c>
      <c r="K59" s="34"/>
      <c r="L59" s="34"/>
      <c r="M59" s="34"/>
      <c r="N59" s="34"/>
      <c r="O59" s="31"/>
      <c r="P59" s="31"/>
      <c r="Q59" s="31" t="s">
        <v>610</v>
      </c>
      <c r="R59" s="31"/>
      <c r="S59" s="31"/>
      <c r="T59" s="31"/>
      <c r="U59" s="31"/>
      <c r="V59" s="31"/>
      <c r="W59" s="31"/>
      <c r="X59" s="90"/>
      <c r="Y59" s="111"/>
    </row>
    <row r="60" spans="1:25" ht="23.25" customHeight="1">
      <c r="A60" s="28" t="s">
        <v>267</v>
      </c>
      <c r="B60" s="48" t="s">
        <v>270</v>
      </c>
      <c r="C60" s="28"/>
      <c r="D60" s="28"/>
      <c r="E60" s="28"/>
      <c r="F60" s="30"/>
      <c r="G60" s="28"/>
      <c r="H60" s="28" t="s">
        <v>118</v>
      </c>
      <c r="I60" s="31"/>
      <c r="J60" s="31" t="str">
        <f>IFERROR(WORKDAY(Table1[[#This Row],[50% IFR - 
AE]],-15), " ")</f>
        <v xml:space="preserve"> </v>
      </c>
      <c r="K60" s="34"/>
      <c r="L60" s="34"/>
      <c r="M60" s="34"/>
      <c r="N60" s="34"/>
      <c r="O60" s="31"/>
      <c r="P60" s="31" t="s">
        <v>611</v>
      </c>
      <c r="Q60" s="31" t="s">
        <v>612</v>
      </c>
      <c r="R60" s="31"/>
      <c r="S60" s="31"/>
      <c r="T60" s="31"/>
      <c r="U60" s="31"/>
      <c r="V60" s="31"/>
      <c r="W60" s="31"/>
      <c r="X60" s="90" t="s">
        <v>613</v>
      </c>
      <c r="Y60" s="111"/>
    </row>
    <row r="61" spans="1:25" ht="26.1" customHeight="1">
      <c r="A61" s="28" t="s">
        <v>614</v>
      </c>
      <c r="B61" s="48" t="s">
        <v>270</v>
      </c>
      <c r="C61" s="28"/>
      <c r="D61" s="28"/>
      <c r="E61" s="28"/>
      <c r="F61" s="30"/>
      <c r="G61" s="28"/>
      <c r="H61" s="28" t="s">
        <v>118</v>
      </c>
      <c r="I61" s="31"/>
      <c r="J61" s="31" t="str">
        <f>IFERROR(WORKDAY(Table1[[#This Row],[50% IFR - 
AE]],-15), " ")</f>
        <v xml:space="preserve"> </v>
      </c>
      <c r="K61" s="34"/>
      <c r="L61" s="34"/>
      <c r="M61" s="34"/>
      <c r="N61" s="34" t="s">
        <v>615</v>
      </c>
      <c r="O61" s="31"/>
      <c r="P61" s="31"/>
      <c r="Q61" s="31"/>
      <c r="R61" s="31"/>
      <c r="S61" s="31"/>
      <c r="T61" s="31"/>
      <c r="U61" s="31" t="s">
        <v>616</v>
      </c>
      <c r="V61" s="31"/>
      <c r="W61" s="31"/>
      <c r="X61" s="90" t="s">
        <v>617</v>
      </c>
      <c r="Y61" s="111"/>
    </row>
    <row r="62" spans="1:25" ht="26.1" customHeight="1">
      <c r="A62" s="28" t="s">
        <v>269</v>
      </c>
      <c r="B62" s="48" t="s">
        <v>270</v>
      </c>
      <c r="C62" s="28" t="s">
        <v>271</v>
      </c>
      <c r="D62" s="28" t="s">
        <v>77</v>
      </c>
      <c r="E62" s="28" t="s">
        <v>272</v>
      </c>
      <c r="F62" s="30" t="s">
        <v>273</v>
      </c>
      <c r="G62" s="28"/>
      <c r="H62" s="28" t="s">
        <v>118</v>
      </c>
      <c r="I62" s="31"/>
      <c r="J62" s="31" t="str">
        <f>IFERROR(WORKDAY(Table1[[#This Row],[50% IFR - 
AE]],-15), " ")</f>
        <v xml:space="preserve"> </v>
      </c>
      <c r="K62" s="34" t="s">
        <v>82</v>
      </c>
      <c r="L62" s="34" t="s">
        <v>274</v>
      </c>
      <c r="M62" s="34"/>
      <c r="N62" s="34" t="s">
        <v>275</v>
      </c>
      <c r="O62" s="34"/>
      <c r="P62" s="31" t="s">
        <v>618</v>
      </c>
      <c r="Q62" s="31" t="s">
        <v>619</v>
      </c>
      <c r="R62" s="31"/>
      <c r="S62" s="31"/>
      <c r="T62" s="31"/>
      <c r="U62" s="31"/>
      <c r="V62" s="31"/>
      <c r="W62" s="31"/>
      <c r="X62" s="90"/>
      <c r="Y62" s="111"/>
    </row>
    <row r="63" spans="1:25" ht="26.1" customHeight="1">
      <c r="A63" s="28" t="s">
        <v>620</v>
      </c>
      <c r="B63" s="48" t="s">
        <v>270</v>
      </c>
      <c r="C63" s="28"/>
      <c r="D63" s="28"/>
      <c r="E63" s="28"/>
      <c r="F63" s="30"/>
      <c r="G63" s="28"/>
      <c r="H63" s="28" t="s">
        <v>80</v>
      </c>
      <c r="I63" s="31"/>
      <c r="J63" s="31" t="s">
        <v>185</v>
      </c>
      <c r="K63" s="34"/>
      <c r="L63" s="34" t="s">
        <v>621</v>
      </c>
      <c r="M63" s="34" t="s">
        <v>622</v>
      </c>
      <c r="N63" s="34" t="s">
        <v>623</v>
      </c>
      <c r="O63" s="34"/>
      <c r="P63" s="31"/>
      <c r="Q63" s="31"/>
      <c r="R63" s="31"/>
      <c r="S63" s="31"/>
      <c r="T63" s="31"/>
      <c r="U63" s="31"/>
      <c r="V63" s="31"/>
      <c r="W63" s="31"/>
      <c r="X63" s="90"/>
      <c r="Y63" s="111"/>
    </row>
    <row r="64" spans="1:25" ht="26.1" customHeight="1">
      <c r="A64" s="28" t="s">
        <v>624</v>
      </c>
      <c r="B64" s="48" t="s">
        <v>270</v>
      </c>
      <c r="C64" s="28"/>
      <c r="D64" s="28"/>
      <c r="E64" s="28"/>
      <c r="F64" s="30"/>
      <c r="G64" s="28"/>
      <c r="H64" s="28" t="s">
        <v>80</v>
      </c>
      <c r="I64" s="31"/>
      <c r="J64" s="31"/>
      <c r="K64" s="34" t="s">
        <v>625</v>
      </c>
      <c r="L64" s="34"/>
      <c r="M64" s="34"/>
      <c r="N64" s="34"/>
      <c r="O64" s="34" t="s">
        <v>626</v>
      </c>
      <c r="P64" s="31"/>
      <c r="Q64" s="31" t="s">
        <v>518</v>
      </c>
      <c r="R64" s="31"/>
      <c r="S64" s="31"/>
      <c r="T64" s="31"/>
      <c r="U64" s="31"/>
      <c r="V64" s="31"/>
      <c r="W64" s="31"/>
      <c r="X64" s="90"/>
      <c r="Y64" s="111"/>
    </row>
    <row r="65" spans="1:25" ht="26.1" customHeight="1">
      <c r="A65" s="98" t="s">
        <v>627</v>
      </c>
      <c r="B65" s="48"/>
      <c r="C65" s="28"/>
      <c r="D65" s="28"/>
      <c r="E65" s="28"/>
      <c r="F65" s="30"/>
      <c r="G65" s="28"/>
      <c r="H65" s="28"/>
      <c r="I65" s="31"/>
      <c r="J65" s="31" t="str">
        <f>IFERROR(WORKDAY(Table1[[#This Row],[50% IFR - 
AE]],-15), " ")</f>
        <v xml:space="preserve"> </v>
      </c>
      <c r="K65" s="34"/>
      <c r="L65" s="34"/>
      <c r="M65" s="34"/>
      <c r="N65" s="34"/>
      <c r="O65" s="34"/>
      <c r="P65" s="31"/>
      <c r="Q65" s="31"/>
      <c r="R65" s="31"/>
      <c r="S65" s="31"/>
      <c r="T65" s="31"/>
      <c r="U65" s="31"/>
      <c r="V65" s="31"/>
      <c r="W65" s="31"/>
      <c r="X65" s="90"/>
      <c r="Y65" s="111"/>
    </row>
    <row r="66" spans="1:25" ht="26.1" customHeight="1">
      <c r="A66" s="28" t="s">
        <v>276</v>
      </c>
      <c r="B66" s="48" t="s">
        <v>270</v>
      </c>
      <c r="C66" s="28" t="s">
        <v>271</v>
      </c>
      <c r="D66" s="28" t="s">
        <v>77</v>
      </c>
      <c r="E66" s="28" t="s">
        <v>272</v>
      </c>
      <c r="F66" s="30" t="s">
        <v>273</v>
      </c>
      <c r="G66" s="28"/>
      <c r="H66" s="28" t="s">
        <v>118</v>
      </c>
      <c r="I66" s="31"/>
      <c r="J66" s="31" t="str">
        <f>IFERROR(WORKDAY(Table1[[#This Row],[50% IFR - 
AE]],-15), " ")</f>
        <v xml:space="preserve"> </v>
      </c>
      <c r="K66" s="34" t="s">
        <v>82</v>
      </c>
      <c r="L66" s="34" t="s">
        <v>82</v>
      </c>
      <c r="M66" s="34" t="s">
        <v>82</v>
      </c>
      <c r="N66" s="34" t="s">
        <v>277</v>
      </c>
      <c r="O66" s="34" t="s">
        <v>82</v>
      </c>
      <c r="P66" s="31" t="s">
        <v>278</v>
      </c>
      <c r="Q66" s="31" t="s">
        <v>628</v>
      </c>
      <c r="R66" s="31"/>
      <c r="S66" s="31"/>
      <c r="T66" s="31"/>
      <c r="U66" s="31"/>
      <c r="V66" s="31"/>
      <c r="W66" s="31"/>
      <c r="X66" s="90" t="s">
        <v>279</v>
      </c>
      <c r="Y66" s="111"/>
    </row>
    <row r="67" spans="1:25" ht="26.1" customHeight="1">
      <c r="A67" s="28" t="s">
        <v>280</v>
      </c>
      <c r="B67" s="48" t="s">
        <v>270</v>
      </c>
      <c r="C67" s="28"/>
      <c r="D67" s="28" t="s">
        <v>214</v>
      </c>
      <c r="E67" s="28" t="s">
        <v>268</v>
      </c>
      <c r="F67" s="28"/>
      <c r="G67" s="28"/>
      <c r="H67" s="28" t="s">
        <v>118</v>
      </c>
      <c r="I67" s="31"/>
      <c r="J67" s="31" t="str">
        <f>IFERROR(WORKDAY(Table1[[#This Row],[50% IFR - 
AE]],-15), " ")</f>
        <v xml:space="preserve"> </v>
      </c>
      <c r="K67" s="34"/>
      <c r="L67" s="34"/>
      <c r="M67" s="34"/>
      <c r="N67" s="34"/>
      <c r="O67" s="34"/>
      <c r="P67" s="31"/>
      <c r="Q67" s="31"/>
      <c r="R67" s="31"/>
      <c r="S67" s="31"/>
      <c r="T67" s="31"/>
      <c r="U67" s="31"/>
      <c r="V67" s="31"/>
      <c r="W67" s="31"/>
      <c r="X67" s="90"/>
      <c r="Y67" s="111"/>
    </row>
    <row r="68" spans="1:25" ht="26.1" customHeight="1">
      <c r="A68" s="28" t="s">
        <v>629</v>
      </c>
      <c r="B68" s="48" t="s">
        <v>294</v>
      </c>
      <c r="C68" s="28"/>
      <c r="D68" s="28"/>
      <c r="E68" s="28"/>
      <c r="F68" s="28"/>
      <c r="G68" s="28"/>
      <c r="H68" s="28" t="s">
        <v>118</v>
      </c>
      <c r="I68" s="31"/>
      <c r="J68" s="31" t="str">
        <f>IFERROR(WORKDAY(Table1[[#This Row],[50% IFR - 
AE]],-15), " ")</f>
        <v xml:space="preserve"> </v>
      </c>
      <c r="K68" s="34"/>
      <c r="L68" s="34"/>
      <c r="M68" s="34" t="s">
        <v>501</v>
      </c>
      <c r="N68" s="34" t="s">
        <v>488</v>
      </c>
      <c r="O68" s="34"/>
      <c r="P68" s="31" t="s">
        <v>460</v>
      </c>
      <c r="Q68" s="31" t="s">
        <v>503</v>
      </c>
      <c r="R68" s="31"/>
      <c r="S68" s="31"/>
      <c r="T68" s="31"/>
      <c r="U68" s="31"/>
      <c r="V68" s="31"/>
      <c r="W68" s="31"/>
      <c r="X68" s="90"/>
      <c r="Y68" s="111"/>
    </row>
    <row r="69" spans="1:25" ht="26.1" customHeight="1">
      <c r="A69" s="28" t="s">
        <v>630</v>
      </c>
      <c r="B69" s="48" t="s">
        <v>294</v>
      </c>
      <c r="C69" s="28"/>
      <c r="D69" s="28"/>
      <c r="E69" s="28"/>
      <c r="F69" s="28"/>
      <c r="G69" s="28"/>
      <c r="H69" s="28" t="s">
        <v>118</v>
      </c>
      <c r="I69" s="31"/>
      <c r="J69" s="31" t="str">
        <f>IFERROR(WORKDAY(Table1[[#This Row],[50% IFR - 
AE]],-15), " ")</f>
        <v xml:space="preserve"> </v>
      </c>
      <c r="K69" s="34"/>
      <c r="L69" s="34"/>
      <c r="M69" s="34"/>
      <c r="N69" s="34"/>
      <c r="O69" s="34"/>
      <c r="P69" s="31"/>
      <c r="Q69" s="31"/>
      <c r="R69" s="31"/>
      <c r="S69" s="31"/>
      <c r="T69" s="31"/>
      <c r="U69" s="31" t="s">
        <v>631</v>
      </c>
      <c r="V69" s="31"/>
      <c r="W69" s="31"/>
      <c r="X69" s="94"/>
      <c r="Y69" s="111"/>
    </row>
    <row r="70" spans="1:25" ht="26.1" customHeight="1">
      <c r="A70" s="28" t="s">
        <v>281</v>
      </c>
      <c r="B70" s="48" t="s">
        <v>294</v>
      </c>
      <c r="C70" s="28"/>
      <c r="D70" s="28" t="s">
        <v>77</v>
      </c>
      <c r="E70" s="28" t="s">
        <v>283</v>
      </c>
      <c r="F70" s="28" t="s">
        <v>284</v>
      </c>
      <c r="G70" s="28"/>
      <c r="H70" s="28" t="s">
        <v>118</v>
      </c>
      <c r="I70" s="31" t="s">
        <v>632</v>
      </c>
      <c r="J70" s="31" t="str">
        <f>IFERROR(WORKDAY(Table1[[#This Row],[50% IFR - 
AE]],-15), " ")</f>
        <v xml:space="preserve"> </v>
      </c>
      <c r="K70" s="34" t="s">
        <v>285</v>
      </c>
      <c r="L70" s="34" t="s">
        <v>286</v>
      </c>
      <c r="M70" s="34"/>
      <c r="N70" s="34" t="s">
        <v>633</v>
      </c>
      <c r="O70" s="34" t="s">
        <v>634</v>
      </c>
      <c r="P70" s="31" t="s">
        <v>635</v>
      </c>
      <c r="Q70" s="31"/>
      <c r="R70" s="31"/>
      <c r="S70" s="31"/>
      <c r="T70" s="31"/>
      <c r="U70" s="31"/>
      <c r="V70" s="31"/>
      <c r="W70" s="31"/>
      <c r="X70" s="90" t="s">
        <v>287</v>
      </c>
      <c r="Y70" s="111" t="s">
        <v>288</v>
      </c>
    </row>
    <row r="71" spans="1:25" ht="26.1" customHeight="1">
      <c r="A71" s="28" t="s">
        <v>636</v>
      </c>
      <c r="B71" s="48"/>
      <c r="C71" s="28"/>
      <c r="D71" s="28"/>
      <c r="E71" s="28"/>
      <c r="F71" s="28"/>
      <c r="G71" s="28"/>
      <c r="H71" s="28" t="s">
        <v>118</v>
      </c>
      <c r="I71" s="31"/>
      <c r="J71" s="31" t="str">
        <f>IFERROR(WORKDAY(Table1[[#This Row],[50% IFR - 
AE]],-15), " ")</f>
        <v xml:space="preserve"> </v>
      </c>
      <c r="K71" s="34"/>
      <c r="L71" s="34"/>
      <c r="M71" s="34"/>
      <c r="N71" s="34" t="s">
        <v>637</v>
      </c>
      <c r="O71" s="34"/>
      <c r="P71" s="31"/>
      <c r="Q71" s="31"/>
      <c r="R71" s="31"/>
      <c r="S71" s="31"/>
      <c r="T71" s="31"/>
      <c r="U71" s="31"/>
      <c r="V71" s="31"/>
      <c r="W71" s="31"/>
      <c r="X71" s="90"/>
      <c r="Y71" s="111"/>
    </row>
    <row r="72" spans="1:25" ht="26.1" customHeight="1">
      <c r="A72" s="28" t="s">
        <v>289</v>
      </c>
      <c r="B72" s="48" t="s">
        <v>294</v>
      </c>
      <c r="C72" s="28"/>
      <c r="D72" s="28"/>
      <c r="E72" s="28"/>
      <c r="F72" s="28"/>
      <c r="G72" s="28"/>
      <c r="H72" s="28" t="s">
        <v>118</v>
      </c>
      <c r="I72" s="31"/>
      <c r="J72" s="31" t="str">
        <f>IFERROR(WORKDAY(Table1[[#This Row],[50% IFR - 
AE]],-15), " ")</f>
        <v xml:space="preserve"> </v>
      </c>
      <c r="K72" s="34" t="s">
        <v>82</v>
      </c>
      <c r="L72" s="34" t="s">
        <v>290</v>
      </c>
      <c r="M72" s="34" t="s">
        <v>83</v>
      </c>
      <c r="N72" s="34" t="s">
        <v>291</v>
      </c>
      <c r="O72" s="34" t="s">
        <v>83</v>
      </c>
      <c r="P72" s="31" t="s">
        <v>124</v>
      </c>
      <c r="Q72" s="31" t="s">
        <v>292</v>
      </c>
      <c r="R72" s="31"/>
      <c r="S72" s="31"/>
      <c r="T72" s="31"/>
      <c r="U72" s="31" t="s">
        <v>638</v>
      </c>
      <c r="V72" s="31"/>
      <c r="W72" s="31"/>
      <c r="X72" s="90"/>
      <c r="Y72" s="111"/>
    </row>
    <row r="73" spans="1:25" ht="26.1" customHeight="1">
      <c r="A73" s="98" t="s">
        <v>639</v>
      </c>
      <c r="B73" s="48" t="s">
        <v>294</v>
      </c>
      <c r="C73" s="28"/>
      <c r="D73" s="28"/>
      <c r="E73" s="28"/>
      <c r="F73" s="28"/>
      <c r="G73" s="28"/>
      <c r="H73" s="28" t="s">
        <v>80</v>
      </c>
      <c r="I73" s="31"/>
      <c r="J73" s="31" t="str">
        <f>IFERROR(WORKDAY(Table1[[#This Row],[50% IFR - 
AE]],-15), " ")</f>
        <v xml:space="preserve"> </v>
      </c>
      <c r="K73" s="34"/>
      <c r="L73" s="34"/>
      <c r="M73" s="34"/>
      <c r="N73" s="34"/>
      <c r="O73" s="34"/>
      <c r="P73" s="31"/>
      <c r="Q73" s="31"/>
      <c r="R73" s="31"/>
      <c r="S73" s="31"/>
      <c r="T73" s="31"/>
      <c r="U73" s="31"/>
      <c r="V73" s="31"/>
      <c r="W73" s="31"/>
      <c r="X73" s="90"/>
      <c r="Y73" s="111"/>
    </row>
    <row r="74" spans="1:25" ht="26.1" customHeight="1">
      <c r="A74" s="28" t="s">
        <v>640</v>
      </c>
      <c r="B74" s="48" t="s">
        <v>294</v>
      </c>
      <c r="C74" s="28"/>
      <c r="D74" s="28"/>
      <c r="E74" s="28"/>
      <c r="F74" s="28"/>
      <c r="G74" s="28"/>
      <c r="H74" s="28" t="s">
        <v>118</v>
      </c>
      <c r="I74" s="31"/>
      <c r="J74" s="31" t="str">
        <f>IFERROR(WORKDAY(Table1[[#This Row],[50% IFR - 
AE]],-15), " ")</f>
        <v xml:space="preserve"> </v>
      </c>
      <c r="K74" s="34"/>
      <c r="L74" s="34"/>
      <c r="M74" s="34" t="s">
        <v>501</v>
      </c>
      <c r="N74" s="34" t="s">
        <v>488</v>
      </c>
      <c r="O74" s="34"/>
      <c r="P74" s="31" t="s">
        <v>460</v>
      </c>
      <c r="Q74" s="31" t="s">
        <v>503</v>
      </c>
      <c r="R74" s="31"/>
      <c r="S74" s="31"/>
      <c r="T74" s="31"/>
      <c r="U74" s="31" t="s">
        <v>641</v>
      </c>
      <c r="V74" s="31"/>
      <c r="W74" s="31"/>
      <c r="X74" s="90"/>
      <c r="Y74" s="111"/>
    </row>
    <row r="75" spans="1:25" ht="26.1" customHeight="1">
      <c r="A75" s="28" t="s">
        <v>642</v>
      </c>
      <c r="B75" s="48" t="s">
        <v>294</v>
      </c>
      <c r="C75" s="28"/>
      <c r="D75" s="28"/>
      <c r="E75" s="28"/>
      <c r="F75" s="28"/>
      <c r="G75" s="28"/>
      <c r="H75" s="28" t="s">
        <v>80</v>
      </c>
      <c r="I75" s="31"/>
      <c r="J75" s="31" t="str">
        <f>IFERROR(WORKDAY(Table1[[#This Row],[50% IFR - 
AE]],-15), " ")</f>
        <v xml:space="preserve"> </v>
      </c>
      <c r="K75" s="34"/>
      <c r="L75" s="34"/>
      <c r="M75" s="34"/>
      <c r="N75" s="34"/>
      <c r="O75" s="34"/>
      <c r="P75" s="31"/>
      <c r="Q75" s="31"/>
      <c r="R75" s="31"/>
      <c r="S75" s="31"/>
      <c r="T75" s="31"/>
      <c r="U75" s="31" t="s">
        <v>638</v>
      </c>
      <c r="V75" s="31"/>
      <c r="W75" s="31"/>
      <c r="X75" s="90" t="s">
        <v>643</v>
      </c>
      <c r="Y75" s="111"/>
    </row>
    <row r="76" spans="1:25" ht="26.1" customHeight="1">
      <c r="A76" s="28" t="s">
        <v>293</v>
      </c>
      <c r="B76" s="48" t="s">
        <v>294</v>
      </c>
      <c r="C76" s="28" t="s">
        <v>115</v>
      </c>
      <c r="D76" s="28" t="s">
        <v>77</v>
      </c>
      <c r="E76" s="28" t="s">
        <v>116</v>
      </c>
      <c r="F76" s="30" t="s">
        <v>117</v>
      </c>
      <c r="G76" s="28"/>
      <c r="H76" s="28" t="s">
        <v>118</v>
      </c>
      <c r="I76" s="31"/>
      <c r="J76" s="31" t="str">
        <f>IFERROR(WORKDAY(Table1[[#This Row],[50% IFR - 
AE]],-15), " ")</f>
        <v xml:space="preserve"> </v>
      </c>
      <c r="K76" s="34" t="s">
        <v>82</v>
      </c>
      <c r="L76" s="34" t="s">
        <v>295</v>
      </c>
      <c r="M76" s="34" t="s">
        <v>296</v>
      </c>
      <c r="N76" s="34" t="s">
        <v>297</v>
      </c>
      <c r="O76" s="34"/>
      <c r="P76" s="31" t="s">
        <v>644</v>
      </c>
      <c r="Q76" s="31" t="s">
        <v>645</v>
      </c>
      <c r="R76" s="31"/>
      <c r="S76" s="31"/>
      <c r="T76" s="31"/>
      <c r="U76" s="31"/>
      <c r="V76" s="31"/>
      <c r="W76" s="31"/>
      <c r="X76" s="90"/>
      <c r="Y76" s="111" t="s">
        <v>298</v>
      </c>
    </row>
    <row r="77" spans="1:25" ht="26.1" customHeight="1">
      <c r="A77" s="28" t="s">
        <v>299</v>
      </c>
      <c r="B77" s="48" t="s">
        <v>294</v>
      </c>
      <c r="C77" s="28"/>
      <c r="D77" s="28"/>
      <c r="E77" s="28"/>
      <c r="F77" s="30"/>
      <c r="G77" s="28"/>
      <c r="H77" s="28" t="s">
        <v>118</v>
      </c>
      <c r="I77" s="31" t="s">
        <v>131</v>
      </c>
      <c r="J77" s="31" t="str">
        <f>IFERROR(WORKDAY(Table1[[#This Row],[50% IFR - 
AE]],-15), " ")</f>
        <v xml:space="preserve"> </v>
      </c>
      <c r="K77" s="34"/>
      <c r="L77" s="34" t="s">
        <v>300</v>
      </c>
      <c r="M77" s="34" t="str">
        <f>IFERROR(WORKDAY(Table1[[#This Row],[100% IFR - AE]],-5), " ")</f>
        <v xml:space="preserve"> </v>
      </c>
      <c r="N77" s="34" t="s">
        <v>301</v>
      </c>
      <c r="O77" s="34"/>
      <c r="P77" s="31" t="s">
        <v>646</v>
      </c>
      <c r="Q77" s="31" t="s">
        <v>647</v>
      </c>
      <c r="R77" s="31"/>
      <c r="S77" s="31"/>
      <c r="T77" s="31"/>
      <c r="U77" s="31"/>
      <c r="V77" s="31"/>
      <c r="W77" s="31"/>
      <c r="X77" s="90" t="s">
        <v>302</v>
      </c>
      <c r="Y77" s="111"/>
    </row>
    <row r="78" spans="1:25" ht="26.1" customHeight="1">
      <c r="A78" s="28" t="s">
        <v>648</v>
      </c>
      <c r="B78" s="48" t="s">
        <v>294</v>
      </c>
      <c r="C78" s="28"/>
      <c r="D78" s="28"/>
      <c r="E78" s="28"/>
      <c r="F78" s="30"/>
      <c r="G78" s="28"/>
      <c r="H78" s="28" t="s">
        <v>118</v>
      </c>
      <c r="I78" s="31"/>
      <c r="J78" s="31"/>
      <c r="K78" s="34"/>
      <c r="L78" s="34" t="s">
        <v>649</v>
      </c>
      <c r="M78" s="34"/>
      <c r="N78" s="34"/>
      <c r="O78" s="34"/>
      <c r="P78" s="31"/>
      <c r="Q78" s="31"/>
      <c r="R78" s="31"/>
      <c r="S78" s="31"/>
      <c r="T78" s="31"/>
      <c r="U78" s="31"/>
      <c r="V78" s="31"/>
      <c r="W78" s="31"/>
      <c r="X78" s="89"/>
      <c r="Y78" s="111"/>
    </row>
    <row r="79" spans="1:25" ht="26.1" customHeight="1">
      <c r="A79" s="28" t="s">
        <v>650</v>
      </c>
      <c r="B79" s="48" t="s">
        <v>294</v>
      </c>
      <c r="C79" s="28"/>
      <c r="D79" s="28"/>
      <c r="E79" s="28"/>
      <c r="F79" s="30"/>
      <c r="G79" s="28"/>
      <c r="H79" s="28" t="s">
        <v>118</v>
      </c>
      <c r="I79" s="31"/>
      <c r="J79" s="31" t="str">
        <f>IFERROR(WORKDAY(Table1[[#This Row],[50% IFR - 
AE]],-15), " ")</f>
        <v xml:space="preserve"> </v>
      </c>
      <c r="K79" s="34"/>
      <c r="L79" s="34"/>
      <c r="M79" s="32" t="s">
        <v>503</v>
      </c>
      <c r="N79" s="34" t="s">
        <v>651</v>
      </c>
      <c r="O79" s="34" t="s">
        <v>652</v>
      </c>
      <c r="P79" s="34" t="s">
        <v>653</v>
      </c>
      <c r="Q79" s="34">
        <v>45881</v>
      </c>
      <c r="R79" s="31"/>
      <c r="S79" s="31"/>
      <c r="T79" s="31"/>
      <c r="U79" s="31"/>
      <c r="V79" s="31"/>
      <c r="W79" s="31"/>
      <c r="X79" s="89"/>
      <c r="Y79" s="111"/>
    </row>
    <row r="80" spans="1:25" ht="26.1" customHeight="1">
      <c r="A80" s="28" t="s">
        <v>303</v>
      </c>
      <c r="B80" s="48" t="s">
        <v>294</v>
      </c>
      <c r="C80" s="28"/>
      <c r="D80" s="28"/>
      <c r="E80" s="28"/>
      <c r="F80" s="30"/>
      <c r="G80" s="28"/>
      <c r="H80" s="28" t="s">
        <v>118</v>
      </c>
      <c r="I80" s="31"/>
      <c r="J80" s="31" t="str">
        <f>IFERROR(WORKDAY(Table1[[#This Row],[50% IFR - 
AE]],-15), " ")</f>
        <v xml:space="preserve"> </v>
      </c>
      <c r="K80" s="33" t="s">
        <v>304</v>
      </c>
      <c r="L80" s="32" t="s">
        <v>654</v>
      </c>
      <c r="M80" s="32" t="s">
        <v>90</v>
      </c>
      <c r="N80" s="32" t="s">
        <v>655</v>
      </c>
      <c r="O80" s="34"/>
      <c r="P80" s="32" t="s">
        <v>656</v>
      </c>
      <c r="Q80" s="32" t="s">
        <v>657</v>
      </c>
      <c r="R80" s="31"/>
      <c r="S80" s="31"/>
      <c r="T80" s="31"/>
      <c r="U80" s="31"/>
      <c r="V80" s="31" t="s">
        <v>305</v>
      </c>
      <c r="W80" s="31"/>
      <c r="X80" s="89"/>
      <c r="Y80" s="111" t="s">
        <v>658</v>
      </c>
    </row>
    <row r="81" spans="1:25" ht="26.1" customHeight="1">
      <c r="A81" s="28" t="s">
        <v>306</v>
      </c>
      <c r="B81" s="48" t="s">
        <v>294</v>
      </c>
      <c r="C81" s="28" t="s">
        <v>76</v>
      </c>
      <c r="D81" s="28" t="s">
        <v>307</v>
      </c>
      <c r="E81" s="28" t="s">
        <v>98</v>
      </c>
      <c r="F81" s="30" t="s">
        <v>99</v>
      </c>
      <c r="G81" s="37"/>
      <c r="H81" s="37" t="s">
        <v>118</v>
      </c>
      <c r="I81" s="31"/>
      <c r="J81" s="31" t="str">
        <f>IFERROR(WORKDAY(Table1[[#This Row],[50% IFR - 
AE]],-15), " ")</f>
        <v xml:space="preserve"> </v>
      </c>
      <c r="K81" s="31"/>
      <c r="L81" s="34"/>
      <c r="M81" s="31"/>
      <c r="N81" s="31"/>
      <c r="O81" s="31"/>
      <c r="P81" s="31"/>
      <c r="Q81" s="34"/>
      <c r="R81" s="31"/>
      <c r="S81" s="31"/>
      <c r="T81" s="31"/>
      <c r="U81" s="31"/>
      <c r="V81" s="31"/>
      <c r="W81" s="31"/>
      <c r="X81" s="90" t="s">
        <v>659</v>
      </c>
      <c r="Y81" s="109"/>
    </row>
    <row r="82" spans="1:25" ht="26.1" customHeight="1">
      <c r="A82" s="28" t="s">
        <v>309</v>
      </c>
      <c r="B82" s="48" t="s">
        <v>294</v>
      </c>
      <c r="C82" s="28" t="s">
        <v>76</v>
      </c>
      <c r="D82" s="28" t="s">
        <v>77</v>
      </c>
      <c r="E82" s="28" t="s">
        <v>98</v>
      </c>
      <c r="F82" s="30" t="s">
        <v>99</v>
      </c>
      <c r="G82" s="37" t="s">
        <v>100</v>
      </c>
      <c r="H82" s="37" t="s">
        <v>118</v>
      </c>
      <c r="I82" s="31"/>
      <c r="J82" s="31" t="str">
        <f>IFERROR(WORKDAY(Table1[[#This Row],[50% IFR - 
AE]],-15), " ")</f>
        <v xml:space="preserve"> </v>
      </c>
      <c r="K82" s="31" t="s">
        <v>82</v>
      </c>
      <c r="L82" s="34" t="s">
        <v>310</v>
      </c>
      <c r="M82" s="31" t="s">
        <v>82</v>
      </c>
      <c r="N82" s="31" t="s">
        <v>185</v>
      </c>
      <c r="O82" s="31" t="s">
        <v>82</v>
      </c>
      <c r="P82" s="31" t="s">
        <v>660</v>
      </c>
      <c r="Q82" s="34" t="s">
        <v>661</v>
      </c>
      <c r="R82" s="31"/>
      <c r="S82" s="31"/>
      <c r="T82" s="31"/>
      <c r="U82" s="31"/>
      <c r="V82" s="31"/>
      <c r="W82" s="31"/>
      <c r="X82" s="90" t="s">
        <v>312</v>
      </c>
      <c r="Y82" s="109" t="s">
        <v>313</v>
      </c>
    </row>
    <row r="83" spans="1:25" ht="26.1" customHeight="1">
      <c r="A83" s="28" t="s">
        <v>662</v>
      </c>
      <c r="B83" s="28"/>
      <c r="C83" s="28"/>
      <c r="D83" s="28"/>
      <c r="E83" s="28"/>
      <c r="F83" s="28"/>
      <c r="G83" s="28"/>
      <c r="H83" s="28" t="s">
        <v>118</v>
      </c>
      <c r="I83" s="28"/>
      <c r="J83" s="28" t="str">
        <f>IFERROR(WORKDAY(Table1[[#This Row],[50% IFR - 
AE]],-15), " ")</f>
        <v xml:space="preserve"> </v>
      </c>
      <c r="K83" s="28"/>
      <c r="L83" s="28"/>
      <c r="M83" s="28" t="s">
        <v>502</v>
      </c>
      <c r="N83" s="28" t="s">
        <v>502</v>
      </c>
      <c r="O83" s="28"/>
      <c r="P83" s="28"/>
      <c r="Q83" s="28"/>
      <c r="R83" s="28"/>
      <c r="S83" s="28"/>
      <c r="T83" s="28"/>
      <c r="U83" s="28"/>
      <c r="V83" s="28"/>
      <c r="W83" s="28"/>
      <c r="X83" s="28"/>
      <c r="Y83" s="113"/>
    </row>
    <row r="84" spans="1:25" ht="26.1" customHeight="1">
      <c r="A84" s="28" t="s">
        <v>314</v>
      </c>
      <c r="B84" s="48" t="s">
        <v>315</v>
      </c>
      <c r="C84" s="28" t="s">
        <v>316</v>
      </c>
      <c r="D84" s="28" t="s">
        <v>77</v>
      </c>
      <c r="E84" s="28" t="s">
        <v>317</v>
      </c>
      <c r="F84" s="30" t="s">
        <v>318</v>
      </c>
      <c r="G84" s="28"/>
      <c r="H84" s="28" t="s">
        <v>118</v>
      </c>
      <c r="I84" s="31" t="s">
        <v>131</v>
      </c>
      <c r="J84" s="31" t="str">
        <f>IFERROR(WORKDAY(Table1[[#This Row],[50% IFR - 
AE]],-15), " ")</f>
        <v xml:space="preserve"> </v>
      </c>
      <c r="K84" s="31"/>
      <c r="L84" s="31"/>
      <c r="M84" s="31"/>
      <c r="N84" s="31"/>
      <c r="O84" s="31"/>
      <c r="P84" s="31"/>
      <c r="Q84" s="31"/>
      <c r="R84" s="31"/>
      <c r="S84" s="31"/>
      <c r="T84" s="31"/>
      <c r="U84" s="31"/>
      <c r="V84" s="31"/>
      <c r="W84" s="31"/>
      <c r="X84" s="90"/>
      <c r="Y84" s="111" t="s">
        <v>319</v>
      </c>
    </row>
    <row r="85" spans="1:25" ht="26.1" customHeight="1">
      <c r="A85" s="28" t="s">
        <v>320</v>
      </c>
      <c r="B85" s="48" t="s">
        <v>315</v>
      </c>
      <c r="C85" s="28" t="s">
        <v>316</v>
      </c>
      <c r="D85" s="28" t="s">
        <v>77</v>
      </c>
      <c r="E85" s="28" t="s">
        <v>317</v>
      </c>
      <c r="F85" s="30" t="s">
        <v>318</v>
      </c>
      <c r="G85" s="28"/>
      <c r="H85" s="28" t="s">
        <v>118</v>
      </c>
      <c r="I85" s="31"/>
      <c r="J85" s="31" t="str">
        <f>IFERROR(WORKDAY(Table1[[#This Row],[50% IFR - 
AE]],-15), " ")</f>
        <v xml:space="preserve"> </v>
      </c>
      <c r="K85" s="31"/>
      <c r="L85" s="31"/>
      <c r="M85" s="31"/>
      <c r="N85" s="31"/>
      <c r="O85" s="31"/>
      <c r="P85" s="31" t="s">
        <v>321</v>
      </c>
      <c r="Q85" s="31" t="s">
        <v>663</v>
      </c>
      <c r="R85" s="31"/>
      <c r="S85" s="31"/>
      <c r="T85" s="31"/>
      <c r="U85" s="31"/>
      <c r="V85" s="31"/>
      <c r="W85" s="31"/>
      <c r="X85" s="90"/>
      <c r="Y85" s="111"/>
    </row>
    <row r="86" spans="1:25" ht="26.1" customHeight="1">
      <c r="A86" s="28" t="s">
        <v>664</v>
      </c>
      <c r="B86" s="48" t="s">
        <v>315</v>
      </c>
      <c r="C86" s="28"/>
      <c r="D86" s="28"/>
      <c r="E86" s="28"/>
      <c r="F86" s="30"/>
      <c r="G86" s="28"/>
      <c r="H86" s="28" t="s">
        <v>80</v>
      </c>
      <c r="I86" s="31"/>
      <c r="J86" s="31" t="str">
        <f>IFERROR(WORKDAY(Table1[[#This Row],[50% IFR - 
AE]],-15), " ")</f>
        <v xml:space="preserve"> </v>
      </c>
      <c r="K86" s="31"/>
      <c r="L86" s="31"/>
      <c r="M86" s="31"/>
      <c r="N86" s="31"/>
      <c r="O86" s="31"/>
      <c r="P86" s="31"/>
      <c r="Q86" s="31" t="s">
        <v>520</v>
      </c>
      <c r="R86" s="31"/>
      <c r="S86" s="31"/>
      <c r="T86" s="31"/>
      <c r="U86" s="31"/>
      <c r="V86" s="31"/>
      <c r="W86" s="31"/>
      <c r="X86" s="90"/>
      <c r="Y86" s="111"/>
    </row>
    <row r="87" spans="1:25" ht="26.1" customHeight="1">
      <c r="A87" s="28" t="s">
        <v>323</v>
      </c>
      <c r="B87" s="48" t="s">
        <v>315</v>
      </c>
      <c r="C87" s="28" t="s">
        <v>271</v>
      </c>
      <c r="D87" s="28" t="s">
        <v>77</v>
      </c>
      <c r="E87" s="28" t="s">
        <v>317</v>
      </c>
      <c r="F87" s="30" t="s">
        <v>318</v>
      </c>
      <c r="G87" s="28"/>
      <c r="H87" s="28" t="s">
        <v>118</v>
      </c>
      <c r="I87" s="31"/>
      <c r="J87" s="31" t="str">
        <f>IFERROR(WORKDAY(Table1[[#This Row],[50% IFR - 
AE]],-15), " ")</f>
        <v xml:space="preserve"> </v>
      </c>
      <c r="K87" s="31"/>
      <c r="L87" s="31" t="s">
        <v>324</v>
      </c>
      <c r="M87" s="31"/>
      <c r="N87" s="31" t="s">
        <v>665</v>
      </c>
      <c r="O87" s="31" t="s">
        <v>666</v>
      </c>
      <c r="P87" s="31" t="s">
        <v>667</v>
      </c>
      <c r="Q87" s="31"/>
      <c r="R87" s="31"/>
      <c r="S87" s="31"/>
      <c r="T87" s="31"/>
      <c r="U87" s="31"/>
      <c r="V87" s="31"/>
      <c r="W87" s="31"/>
      <c r="X87" s="90"/>
      <c r="Y87" s="111"/>
    </row>
    <row r="88" spans="1:25" ht="26.1" customHeight="1">
      <c r="A88" s="28" t="s">
        <v>325</v>
      </c>
      <c r="B88" s="48" t="s">
        <v>315</v>
      </c>
      <c r="C88" s="28" t="s">
        <v>271</v>
      </c>
      <c r="D88" s="28" t="s">
        <v>77</v>
      </c>
      <c r="E88" s="28" t="s">
        <v>317</v>
      </c>
      <c r="F88" s="30" t="s">
        <v>318</v>
      </c>
      <c r="G88" s="28"/>
      <c r="H88" s="28" t="s">
        <v>118</v>
      </c>
      <c r="I88" s="31"/>
      <c r="J88" s="31" t="str">
        <f>IFERROR(WORKDAY(Table1[[#This Row],[50% IFR - 
AE]],-15), " ")</f>
        <v xml:space="preserve"> </v>
      </c>
      <c r="K88" s="31"/>
      <c r="L88" s="31" t="s">
        <v>668</v>
      </c>
      <c r="M88" s="31"/>
      <c r="N88" s="31" t="s">
        <v>669</v>
      </c>
      <c r="O88" s="31"/>
      <c r="P88" s="31"/>
      <c r="Q88" s="31"/>
      <c r="R88" s="31"/>
      <c r="S88" s="31"/>
      <c r="T88" s="31"/>
      <c r="U88" s="31"/>
      <c r="V88" s="31"/>
      <c r="W88" s="31"/>
      <c r="X88" s="90"/>
      <c r="Y88" s="111"/>
    </row>
    <row r="89" spans="1:25" ht="26.1" customHeight="1">
      <c r="A89" s="28" t="s">
        <v>326</v>
      </c>
      <c r="B89" s="48" t="s">
        <v>670</v>
      </c>
      <c r="C89" s="28"/>
      <c r="D89" s="28"/>
      <c r="E89" s="28"/>
      <c r="F89" s="30"/>
      <c r="G89" s="28"/>
      <c r="H89" s="28" t="s">
        <v>118</v>
      </c>
      <c r="I89" s="31" t="s">
        <v>131</v>
      </c>
      <c r="J89" s="31" t="str">
        <f>IFERROR(WORKDAY(Table1[[#This Row],[50% IFR - 
AE]],-15), " ")</f>
        <v xml:space="preserve"> </v>
      </c>
      <c r="K89" s="31"/>
      <c r="L89" s="31" t="s">
        <v>328</v>
      </c>
      <c r="M89" s="31" t="str">
        <f>IFERROR(WORKDAY(Table1[[#This Row],[100% IFR - AE]],-5), " ")</f>
        <v xml:space="preserve"> </v>
      </c>
      <c r="N89" s="31" t="s">
        <v>329</v>
      </c>
      <c r="O89" s="31"/>
      <c r="P89" s="31"/>
      <c r="Q89" s="31"/>
      <c r="R89" s="31"/>
      <c r="S89" s="31"/>
      <c r="T89" s="31"/>
      <c r="U89" s="31"/>
      <c r="V89" s="31"/>
      <c r="W89" s="31"/>
      <c r="X89" s="90"/>
      <c r="Y89" s="111"/>
    </row>
    <row r="90" spans="1:25" ht="26.1" customHeight="1">
      <c r="A90" s="98" t="s">
        <v>671</v>
      </c>
      <c r="B90" s="48" t="s">
        <v>332</v>
      </c>
      <c r="C90" s="28"/>
      <c r="D90" s="28"/>
      <c r="E90" s="28"/>
      <c r="F90" s="30"/>
      <c r="G90" s="28"/>
      <c r="H90" s="28" t="s">
        <v>80</v>
      </c>
      <c r="I90" s="31"/>
      <c r="J90" s="31" t="str">
        <f>IFERROR(WORKDAY(Table1[[#This Row],[50% IFR - 
AE]],-15), " ")</f>
        <v xml:space="preserve"> </v>
      </c>
      <c r="K90" s="31"/>
      <c r="L90" s="31"/>
      <c r="M90" s="31"/>
      <c r="N90" s="31"/>
      <c r="O90" s="31"/>
      <c r="P90" s="31"/>
      <c r="Q90" s="31"/>
      <c r="R90" s="31"/>
      <c r="S90" s="31"/>
      <c r="T90" s="31"/>
      <c r="U90" s="104" t="s">
        <v>268</v>
      </c>
      <c r="V90" s="31"/>
      <c r="W90" s="31"/>
      <c r="X90" s="90"/>
      <c r="Y90" s="111"/>
    </row>
    <row r="91" spans="1:25" ht="26.1" customHeight="1">
      <c r="A91" s="30" t="s">
        <v>330</v>
      </c>
      <c r="B91" s="48" t="s">
        <v>332</v>
      </c>
      <c r="C91" s="28"/>
      <c r="D91" s="28"/>
      <c r="E91" s="28"/>
      <c r="F91" s="30"/>
      <c r="G91" s="28"/>
      <c r="H91" s="28" t="s">
        <v>672</v>
      </c>
      <c r="I91" s="31"/>
      <c r="J91" s="31" t="str">
        <f>IFERROR(WORKDAY(Table1[[#This Row],[50% IFR - 
AE]],-15), " ")</f>
        <v xml:space="preserve"> </v>
      </c>
      <c r="K91" s="31"/>
      <c r="L91" s="31"/>
      <c r="M91" s="31"/>
      <c r="N91" s="31"/>
      <c r="O91" s="31"/>
      <c r="P91" s="31"/>
      <c r="Q91" s="31"/>
      <c r="R91" s="31"/>
      <c r="S91" s="31"/>
      <c r="T91" s="31"/>
      <c r="U91" s="31"/>
      <c r="V91" s="31"/>
      <c r="W91" s="31"/>
      <c r="X91" s="90"/>
      <c r="Y91" s="111"/>
    </row>
    <row r="92" spans="1:25" ht="26.1" customHeight="1">
      <c r="A92" s="28" t="s">
        <v>331</v>
      </c>
      <c r="B92" s="48" t="s">
        <v>332</v>
      </c>
      <c r="C92" s="28"/>
      <c r="D92" s="28"/>
      <c r="E92" s="28"/>
      <c r="F92" s="30"/>
      <c r="G92" s="28"/>
      <c r="H92" s="28" t="s">
        <v>672</v>
      </c>
      <c r="I92" s="31" t="s">
        <v>131</v>
      </c>
      <c r="J92" s="31" t="str">
        <f>IFERROR(WORKDAY(Table1[[#This Row],[50% IFR - 
AE]],-15), " ")</f>
        <v xml:space="preserve"> </v>
      </c>
      <c r="K92" s="31"/>
      <c r="L92" s="31"/>
      <c r="M92" s="31"/>
      <c r="N92" s="31"/>
      <c r="O92" s="31"/>
      <c r="P92" s="31"/>
      <c r="Q92" s="31"/>
      <c r="R92" s="31"/>
      <c r="S92" s="31"/>
      <c r="T92" s="31"/>
      <c r="U92" s="31"/>
      <c r="V92" s="31"/>
      <c r="W92" s="31"/>
      <c r="X92" s="90"/>
      <c r="Y92" s="111"/>
    </row>
    <row r="93" spans="1:25" ht="26.1" customHeight="1">
      <c r="A93" s="28" t="s">
        <v>333</v>
      </c>
      <c r="B93" s="48" t="s">
        <v>332</v>
      </c>
      <c r="C93" s="28"/>
      <c r="D93" s="28"/>
      <c r="E93" s="28"/>
      <c r="F93" s="30"/>
      <c r="G93" s="28"/>
      <c r="H93" s="28" t="s">
        <v>672</v>
      </c>
      <c r="I93" s="31" t="s">
        <v>131</v>
      </c>
      <c r="J93" s="31" t="str">
        <f>IFERROR(WORKDAY(Table1[[#This Row],[50% IFR - 
AE]],-15), " ")</f>
        <v xml:space="preserve"> </v>
      </c>
      <c r="K93" s="31"/>
      <c r="L93" s="31"/>
      <c r="M93" s="31"/>
      <c r="N93" s="31"/>
      <c r="O93" s="31"/>
      <c r="P93" s="31"/>
      <c r="Q93" s="31"/>
      <c r="R93" s="31"/>
      <c r="S93" s="31"/>
      <c r="T93" s="31"/>
      <c r="U93" s="31"/>
      <c r="V93" s="31"/>
      <c r="W93" s="31"/>
      <c r="X93" s="90"/>
      <c r="Y93" s="111"/>
    </row>
    <row r="94" spans="1:25" ht="26.1" customHeight="1">
      <c r="A94" s="28" t="s">
        <v>334</v>
      </c>
      <c r="B94" s="48" t="s">
        <v>332</v>
      </c>
      <c r="C94" s="28"/>
      <c r="D94" s="28"/>
      <c r="E94" s="28"/>
      <c r="F94" s="30"/>
      <c r="G94" s="28"/>
      <c r="H94" s="28" t="s">
        <v>118</v>
      </c>
      <c r="I94" s="31" t="s">
        <v>131</v>
      </c>
      <c r="J94" s="31"/>
      <c r="K94" s="31" t="s">
        <v>335</v>
      </c>
      <c r="L94" s="31" t="s">
        <v>673</v>
      </c>
      <c r="M94" s="32" t="s">
        <v>674</v>
      </c>
      <c r="N94" s="86" t="s">
        <v>675</v>
      </c>
      <c r="O94" s="31" t="s">
        <v>676</v>
      </c>
      <c r="P94" s="31" t="s">
        <v>604</v>
      </c>
      <c r="Q94" s="31" t="s">
        <v>677</v>
      </c>
      <c r="R94" s="31"/>
      <c r="S94" s="31"/>
      <c r="T94" s="31"/>
      <c r="U94" s="31"/>
      <c r="V94" s="31"/>
      <c r="W94" s="31"/>
      <c r="X94" s="94"/>
      <c r="Y94" s="111"/>
    </row>
    <row r="95" spans="1:25" ht="26.1" customHeight="1">
      <c r="A95" s="28" t="s">
        <v>336</v>
      </c>
      <c r="B95" s="48" t="s">
        <v>332</v>
      </c>
      <c r="C95" s="28"/>
      <c r="D95" s="28"/>
      <c r="E95" s="28"/>
      <c r="F95" s="30"/>
      <c r="G95" s="28"/>
      <c r="H95" s="28" t="s">
        <v>118</v>
      </c>
      <c r="I95" s="31"/>
      <c r="J95" s="31" t="str">
        <f>IFERROR(WORKDAY(Table1[[#This Row],[50% IFR - 
AE]],-15), " ")</f>
        <v xml:space="preserve"> </v>
      </c>
      <c r="K95" s="31" t="s">
        <v>337</v>
      </c>
      <c r="L95" s="31"/>
      <c r="M95" s="31"/>
      <c r="N95" s="31" t="s">
        <v>338</v>
      </c>
      <c r="O95" s="31"/>
      <c r="P95" s="31"/>
      <c r="Q95" s="31"/>
      <c r="R95" s="31"/>
      <c r="S95" s="31"/>
      <c r="T95" s="31"/>
      <c r="U95" s="31"/>
      <c r="V95" s="31"/>
      <c r="W95" s="31"/>
      <c r="X95" s="90"/>
      <c r="Y95" s="111"/>
    </row>
    <row r="96" spans="1:25" ht="26.1" customHeight="1">
      <c r="A96" s="28" t="s">
        <v>339</v>
      </c>
      <c r="B96" s="48" t="s">
        <v>332</v>
      </c>
      <c r="C96" s="28" t="s">
        <v>181</v>
      </c>
      <c r="D96" s="28" t="s">
        <v>77</v>
      </c>
      <c r="E96" s="28" t="s">
        <v>678</v>
      </c>
      <c r="F96" s="30" t="s">
        <v>679</v>
      </c>
      <c r="G96" s="28"/>
      <c r="H96" s="28" t="s">
        <v>80</v>
      </c>
      <c r="I96" s="31" t="s">
        <v>131</v>
      </c>
      <c r="J96" s="31" t="str">
        <f>IFERROR(WORKDAY(Table1[[#This Row],[50% IFR - 
AE]],-15), " ")</f>
        <v xml:space="preserve"> </v>
      </c>
      <c r="K96" s="31"/>
      <c r="L96" s="31"/>
      <c r="M96" s="31"/>
      <c r="N96" s="31"/>
      <c r="O96" s="31"/>
      <c r="P96" s="31"/>
      <c r="Q96" s="31"/>
      <c r="R96" s="31"/>
      <c r="S96" s="31"/>
      <c r="T96" s="31"/>
      <c r="U96" s="104" t="s">
        <v>268</v>
      </c>
      <c r="V96" s="31"/>
      <c r="W96" s="31"/>
      <c r="X96" s="90" t="s">
        <v>342</v>
      </c>
      <c r="Y96" s="111"/>
    </row>
    <row r="97" spans="1:25" ht="26.1" customHeight="1">
      <c r="A97" s="28" t="s">
        <v>343</v>
      </c>
      <c r="B97" s="48" t="s">
        <v>332</v>
      </c>
      <c r="C97" s="28" t="s">
        <v>181</v>
      </c>
      <c r="D97" s="28" t="s">
        <v>77</v>
      </c>
      <c r="E97" s="28" t="s">
        <v>678</v>
      </c>
      <c r="F97" s="30" t="s">
        <v>679</v>
      </c>
      <c r="G97" s="28"/>
      <c r="H97" s="28" t="s">
        <v>118</v>
      </c>
      <c r="I97" s="31"/>
      <c r="J97" s="31" t="str">
        <f>IFERROR(WORKDAY(Table1[[#This Row],[50% IFR - 
AE]],-15), " ")</f>
        <v xml:space="preserve"> </v>
      </c>
      <c r="K97" s="31" t="s">
        <v>82</v>
      </c>
      <c r="L97" s="31" t="s">
        <v>286</v>
      </c>
      <c r="M97" s="31"/>
      <c r="N97" s="31"/>
      <c r="O97" s="31"/>
      <c r="P97" s="31" t="s">
        <v>680</v>
      </c>
      <c r="Q97" s="31" t="s">
        <v>681</v>
      </c>
      <c r="R97" s="31"/>
      <c r="S97" s="31"/>
      <c r="T97" s="31"/>
      <c r="U97" s="31"/>
      <c r="V97" s="31"/>
      <c r="W97" s="31"/>
      <c r="X97" s="90" t="s">
        <v>344</v>
      </c>
      <c r="Y97" s="111" t="s">
        <v>345</v>
      </c>
    </row>
    <row r="98" spans="1:25" ht="26.1" customHeight="1">
      <c r="A98" s="28" t="s">
        <v>682</v>
      </c>
      <c r="B98" s="48"/>
      <c r="C98" s="28"/>
      <c r="D98" s="28"/>
      <c r="E98" s="28"/>
      <c r="F98" s="30"/>
      <c r="G98" s="28"/>
      <c r="H98" s="28" t="s">
        <v>118</v>
      </c>
      <c r="I98" s="31"/>
      <c r="J98" s="31" t="s">
        <v>506</v>
      </c>
      <c r="K98" s="31"/>
      <c r="L98" s="31"/>
      <c r="M98" s="31" t="s">
        <v>683</v>
      </c>
      <c r="N98" s="31" t="s">
        <v>684</v>
      </c>
      <c r="O98" s="31"/>
      <c r="P98" s="31"/>
      <c r="Q98" s="104" t="s">
        <v>685</v>
      </c>
      <c r="R98" s="31"/>
      <c r="S98" s="31"/>
      <c r="T98" s="31"/>
      <c r="U98" s="31"/>
      <c r="V98" s="31"/>
      <c r="W98" s="31"/>
      <c r="X98" s="90"/>
      <c r="Y98" s="111"/>
    </row>
    <row r="99" spans="1:25" ht="26.1" customHeight="1">
      <c r="A99" s="28" t="s">
        <v>686</v>
      </c>
      <c r="B99" s="48"/>
      <c r="C99" s="28"/>
      <c r="D99" s="28"/>
      <c r="E99" s="28"/>
      <c r="F99" s="30"/>
      <c r="G99" s="28"/>
      <c r="H99" s="28" t="s">
        <v>118</v>
      </c>
      <c r="I99" s="31"/>
      <c r="J99" s="31" t="str">
        <f>IFERROR(WORKDAY(Table1[[#This Row],[50% IFR - 
AE]],-15), " ")</f>
        <v xml:space="preserve"> </v>
      </c>
      <c r="K99" s="31"/>
      <c r="L99" s="31"/>
      <c r="M99" s="31" t="s">
        <v>82</v>
      </c>
      <c r="N99" s="31" t="s">
        <v>684</v>
      </c>
      <c r="O99" s="31"/>
      <c r="P99" s="31"/>
      <c r="Q99" s="104" t="s">
        <v>685</v>
      </c>
      <c r="R99" s="31"/>
      <c r="S99" s="31"/>
      <c r="T99" s="31"/>
      <c r="U99" s="31"/>
      <c r="V99" s="31"/>
      <c r="W99" s="31"/>
      <c r="X99" s="90"/>
      <c r="Y99" s="111"/>
    </row>
    <row r="100" spans="1:25" ht="26.1" customHeight="1">
      <c r="A100" s="98" t="s">
        <v>687</v>
      </c>
      <c r="B100" s="48"/>
      <c r="C100" s="28"/>
      <c r="D100" s="28"/>
      <c r="E100" s="28"/>
      <c r="F100" s="30"/>
      <c r="G100" s="28"/>
      <c r="H100" s="28" t="s">
        <v>80</v>
      </c>
      <c r="I100" s="31"/>
      <c r="J100" s="31" t="str">
        <f>IFERROR(WORKDAY(Table1[[#This Row],[50% IFR - 
AE]],-15), " ")</f>
        <v xml:space="preserve"> </v>
      </c>
      <c r="K100" s="31"/>
      <c r="L100" s="31"/>
      <c r="M100" s="31"/>
      <c r="N100" s="31"/>
      <c r="O100" s="31"/>
      <c r="P100" s="31"/>
      <c r="Q100" s="31"/>
      <c r="R100" s="31"/>
      <c r="S100" s="31"/>
      <c r="T100" s="31"/>
      <c r="U100" s="31"/>
      <c r="V100" s="31"/>
      <c r="W100" s="31"/>
      <c r="X100" s="90"/>
      <c r="Y100" s="111"/>
    </row>
    <row r="101" spans="1:25" ht="26.1" customHeight="1">
      <c r="A101" s="98" t="s">
        <v>688</v>
      </c>
      <c r="B101" s="48"/>
      <c r="C101" s="28"/>
      <c r="D101" s="28"/>
      <c r="E101" s="28"/>
      <c r="F101" s="30"/>
      <c r="G101" s="28"/>
      <c r="H101" s="28" t="s">
        <v>80</v>
      </c>
      <c r="I101" s="31"/>
      <c r="J101" s="31" t="str">
        <f>IFERROR(WORKDAY(Table1[[#This Row],[50% IFR - 
AE]],-15), " ")</f>
        <v xml:space="preserve"> </v>
      </c>
      <c r="K101" s="31"/>
      <c r="L101" s="31"/>
      <c r="M101" s="31"/>
      <c r="N101" s="31"/>
      <c r="O101" s="31"/>
      <c r="P101" s="31"/>
      <c r="Q101" s="31"/>
      <c r="R101" s="31"/>
      <c r="S101" s="31"/>
      <c r="T101" s="31"/>
      <c r="U101" s="31"/>
      <c r="V101" s="31"/>
      <c r="W101" s="31"/>
      <c r="X101" s="90"/>
      <c r="Y101" s="111"/>
    </row>
    <row r="102" spans="1:25" ht="26.1" customHeight="1">
      <c r="A102" s="28" t="s">
        <v>346</v>
      </c>
      <c r="B102" s="48" t="s">
        <v>332</v>
      </c>
      <c r="C102" s="28"/>
      <c r="D102" s="28"/>
      <c r="E102" s="28"/>
      <c r="F102" s="30"/>
      <c r="G102" s="28"/>
      <c r="H102" s="28" t="s">
        <v>118</v>
      </c>
      <c r="I102" s="31"/>
      <c r="J102" s="31" t="str">
        <f>IFERROR(WORKDAY(Table1[[#This Row],[50% IFR - 
AE]],-15), " ")</f>
        <v xml:space="preserve"> </v>
      </c>
      <c r="K102" s="31" t="s">
        <v>347</v>
      </c>
      <c r="L102" s="31" t="s">
        <v>689</v>
      </c>
      <c r="M102" s="31" t="s">
        <v>83</v>
      </c>
      <c r="N102" s="31" t="s">
        <v>690</v>
      </c>
      <c r="O102" s="31" t="s">
        <v>83</v>
      </c>
      <c r="P102" s="31" t="s">
        <v>348</v>
      </c>
      <c r="Q102" s="31" t="s">
        <v>691</v>
      </c>
      <c r="R102" s="31"/>
      <c r="S102" s="31"/>
      <c r="T102" s="31"/>
      <c r="U102" s="31"/>
      <c r="V102" s="31"/>
      <c r="W102" s="31"/>
      <c r="X102" s="90"/>
      <c r="Y102" s="111"/>
    </row>
    <row r="103" spans="1:25" ht="26.1" customHeight="1">
      <c r="A103" s="28" t="s">
        <v>349</v>
      </c>
      <c r="B103" s="48" t="s">
        <v>332</v>
      </c>
      <c r="C103" s="28"/>
      <c r="D103" s="28"/>
      <c r="E103" s="28"/>
      <c r="F103" s="30"/>
      <c r="G103" s="28"/>
      <c r="H103" s="28" t="s">
        <v>118</v>
      </c>
      <c r="I103" s="31" t="s">
        <v>131</v>
      </c>
      <c r="J103" s="31" t="str">
        <f>IFERROR(WORKDAY(Table1[[#This Row],[50% IFR - 
AE]],-15), " ")</f>
        <v xml:space="preserve"> </v>
      </c>
      <c r="K103" s="31" t="s">
        <v>350</v>
      </c>
      <c r="L103" s="31" t="s">
        <v>337</v>
      </c>
      <c r="M103" s="31" t="s">
        <v>351</v>
      </c>
      <c r="N103" s="31" t="s">
        <v>692</v>
      </c>
      <c r="O103" s="31" t="s">
        <v>83</v>
      </c>
      <c r="P103" s="31" t="s">
        <v>693</v>
      </c>
      <c r="Q103" s="31" t="s">
        <v>694</v>
      </c>
      <c r="R103" s="31"/>
      <c r="S103" s="31"/>
      <c r="T103" s="31"/>
      <c r="U103" s="31"/>
      <c r="V103" s="31"/>
      <c r="W103" s="31"/>
      <c r="X103" s="90"/>
      <c r="Y103" s="111"/>
    </row>
    <row r="104" spans="1:25" ht="26.1" customHeight="1">
      <c r="A104" s="28" t="s">
        <v>352</v>
      </c>
      <c r="B104" s="48" t="s">
        <v>332</v>
      </c>
      <c r="C104" s="28" t="s">
        <v>181</v>
      </c>
      <c r="D104" s="28" t="s">
        <v>77</v>
      </c>
      <c r="E104" s="28" t="s">
        <v>340</v>
      </c>
      <c r="F104" s="30" t="s">
        <v>341</v>
      </c>
      <c r="G104" s="28"/>
      <c r="H104" s="28" t="s">
        <v>118</v>
      </c>
      <c r="I104" s="31"/>
      <c r="J104" s="31" t="str">
        <f>IFERROR(WORKDAY(Table1[[#This Row],[50% IFR - 
AE]],-15), " ")</f>
        <v xml:space="preserve"> </v>
      </c>
      <c r="K104" s="31" t="s">
        <v>82</v>
      </c>
      <c r="L104" s="31" t="s">
        <v>353</v>
      </c>
      <c r="M104" s="31" t="s">
        <v>82</v>
      </c>
      <c r="N104" s="31" t="s">
        <v>354</v>
      </c>
      <c r="O104" s="31" t="s">
        <v>355</v>
      </c>
      <c r="P104" s="31" t="s">
        <v>356</v>
      </c>
      <c r="Q104" s="31" t="s">
        <v>132</v>
      </c>
      <c r="R104" s="31"/>
      <c r="S104" s="31"/>
      <c r="T104" s="31"/>
      <c r="U104" s="31"/>
      <c r="V104" s="31" t="s">
        <v>83</v>
      </c>
      <c r="W104" s="31"/>
      <c r="X104" s="90" t="s">
        <v>357</v>
      </c>
      <c r="Y104" s="111" t="s">
        <v>358</v>
      </c>
    </row>
    <row r="105" spans="1:25" ht="26.1" customHeight="1">
      <c r="A105" s="28" t="s">
        <v>359</v>
      </c>
      <c r="B105" s="48" t="s">
        <v>332</v>
      </c>
      <c r="C105" s="28"/>
      <c r="D105" s="28" t="s">
        <v>77</v>
      </c>
      <c r="E105" s="28"/>
      <c r="F105" s="30"/>
      <c r="G105" s="28" t="s">
        <v>100</v>
      </c>
      <c r="H105" s="28" t="s">
        <v>118</v>
      </c>
      <c r="I105" s="31"/>
      <c r="J105" s="31" t="str">
        <f>IFERROR(WORKDAY(Table1[[#This Row],[50% IFR - 
AE]],-15), " ")</f>
        <v xml:space="preserve"> </v>
      </c>
      <c r="K105" s="31"/>
      <c r="L105" s="31" t="s">
        <v>695</v>
      </c>
      <c r="M105" s="31" t="s">
        <v>105</v>
      </c>
      <c r="N105" s="31" t="s">
        <v>696</v>
      </c>
      <c r="O105" s="31"/>
      <c r="P105" s="31" t="s">
        <v>697</v>
      </c>
      <c r="Q105" s="31" t="s">
        <v>698</v>
      </c>
      <c r="R105" s="31"/>
      <c r="S105" s="31"/>
      <c r="T105" s="31"/>
      <c r="U105" s="31"/>
      <c r="V105" s="31" t="s">
        <v>699</v>
      </c>
      <c r="W105" s="31"/>
      <c r="X105" s="90" t="s">
        <v>360</v>
      </c>
      <c r="Y105" s="111" t="s">
        <v>361</v>
      </c>
    </row>
    <row r="106" spans="1:25" ht="26.1" customHeight="1">
      <c r="A106" s="28" t="s">
        <v>362</v>
      </c>
      <c r="B106" s="48" t="s">
        <v>332</v>
      </c>
      <c r="C106" s="28"/>
      <c r="D106" s="28"/>
      <c r="E106" s="28"/>
      <c r="F106" s="30"/>
      <c r="G106" s="28"/>
      <c r="H106" s="28" t="s">
        <v>672</v>
      </c>
      <c r="I106" s="31"/>
      <c r="J106" s="31" t="str">
        <f>IFERROR(WORKDAY(Table1[[#This Row],[50% IFR - 
AE]],-15), " ")</f>
        <v xml:space="preserve"> </v>
      </c>
      <c r="K106" s="31"/>
      <c r="L106" s="31"/>
      <c r="M106" s="31"/>
      <c r="N106" s="31"/>
      <c r="O106" s="31"/>
      <c r="P106" s="31"/>
      <c r="Q106" s="31"/>
      <c r="R106" s="31"/>
      <c r="S106" s="31"/>
      <c r="T106" s="31"/>
      <c r="U106" s="31"/>
      <c r="V106" s="31"/>
      <c r="W106" s="31"/>
      <c r="X106" s="90"/>
      <c r="Y106" s="111"/>
    </row>
    <row r="107" spans="1:25" ht="26.1" customHeight="1">
      <c r="A107" s="28" t="s">
        <v>700</v>
      </c>
      <c r="B107" s="48" t="s">
        <v>701</v>
      </c>
      <c r="C107" s="28" t="s">
        <v>192</v>
      </c>
      <c r="D107" s="28" t="s">
        <v>702</v>
      </c>
      <c r="E107" s="28" t="s">
        <v>703</v>
      </c>
      <c r="F107" s="30"/>
      <c r="G107" s="28"/>
      <c r="H107" s="28" t="s">
        <v>704</v>
      </c>
      <c r="I107" s="31"/>
      <c r="J107" s="31" t="s">
        <v>705</v>
      </c>
      <c r="K107" s="31" t="s">
        <v>706</v>
      </c>
      <c r="L107" s="31" t="s">
        <v>707</v>
      </c>
      <c r="M107" s="31" t="s">
        <v>708</v>
      </c>
      <c r="N107" s="31" t="s">
        <v>709</v>
      </c>
      <c r="O107" s="31" t="s">
        <v>710</v>
      </c>
      <c r="P107" s="31" t="s">
        <v>711</v>
      </c>
      <c r="Q107" s="31" t="s">
        <v>712</v>
      </c>
      <c r="R107" s="31"/>
      <c r="S107" s="31"/>
      <c r="T107" s="31"/>
      <c r="U107" s="104" t="s">
        <v>268</v>
      </c>
      <c r="V107" s="31"/>
      <c r="W107" s="31"/>
      <c r="X107" s="90" t="s">
        <v>713</v>
      </c>
      <c r="Y107" s="111"/>
    </row>
    <row r="108" spans="1:25" ht="26.1" customHeight="1">
      <c r="A108" s="28" t="s">
        <v>714</v>
      </c>
      <c r="B108" s="48" t="s">
        <v>715</v>
      </c>
      <c r="C108" s="28"/>
      <c r="D108" s="28"/>
      <c r="E108" s="28"/>
      <c r="F108" s="30"/>
      <c r="G108" s="28"/>
      <c r="H108" s="28" t="s">
        <v>704</v>
      </c>
      <c r="I108" s="31"/>
      <c r="J108" s="31" t="s">
        <v>716</v>
      </c>
      <c r="K108" s="31" t="s">
        <v>474</v>
      </c>
      <c r="L108" s="31" t="s">
        <v>717</v>
      </c>
      <c r="M108" s="31" t="s">
        <v>718</v>
      </c>
      <c r="N108" s="31" t="s">
        <v>719</v>
      </c>
      <c r="O108" s="31" t="s">
        <v>720</v>
      </c>
      <c r="P108" s="31" t="s">
        <v>721</v>
      </c>
      <c r="Q108" s="31" t="s">
        <v>722</v>
      </c>
      <c r="R108" s="31"/>
      <c r="S108" s="31"/>
      <c r="T108" s="31"/>
      <c r="U108" s="31"/>
      <c r="V108" s="31" t="s">
        <v>723</v>
      </c>
      <c r="W108" s="31"/>
      <c r="X108" s="90"/>
      <c r="Y108" s="111"/>
    </row>
    <row r="109" spans="1:25" ht="26.1" customHeight="1">
      <c r="A109" s="28" t="s">
        <v>724</v>
      </c>
      <c r="B109" s="48" t="s">
        <v>715</v>
      </c>
      <c r="C109" s="28"/>
      <c r="D109" s="28"/>
      <c r="E109" s="28"/>
      <c r="F109" s="30"/>
      <c r="G109" s="28"/>
      <c r="H109" s="28" t="s">
        <v>704</v>
      </c>
      <c r="I109" s="31"/>
      <c r="J109" s="31" t="s">
        <v>725</v>
      </c>
      <c r="K109" s="31" t="s">
        <v>726</v>
      </c>
      <c r="L109" s="31" t="s">
        <v>727</v>
      </c>
      <c r="M109" s="31" t="s">
        <v>728</v>
      </c>
      <c r="N109" s="31" t="s">
        <v>729</v>
      </c>
      <c r="O109" s="31" t="s">
        <v>730</v>
      </c>
      <c r="P109" s="31" t="s">
        <v>731</v>
      </c>
      <c r="Q109" s="31" t="s">
        <v>732</v>
      </c>
      <c r="R109" s="31"/>
      <c r="S109" s="31"/>
      <c r="T109" s="31"/>
      <c r="U109" s="31"/>
      <c r="V109" s="31"/>
      <c r="W109" s="31"/>
      <c r="X109" s="90"/>
      <c r="Y109" s="111"/>
    </row>
    <row r="110" spans="1:25" ht="26.1" customHeight="1">
      <c r="A110" s="28" t="s">
        <v>363</v>
      </c>
      <c r="B110" s="48" t="s">
        <v>365</v>
      </c>
      <c r="C110" s="28" t="s">
        <v>366</v>
      </c>
      <c r="D110" s="28" t="s">
        <v>77</v>
      </c>
      <c r="E110" s="28" t="s">
        <v>367</v>
      </c>
      <c r="F110" s="30" t="s">
        <v>368</v>
      </c>
      <c r="G110" s="28"/>
      <c r="H110" s="28" t="s">
        <v>118</v>
      </c>
      <c r="I110" s="31"/>
      <c r="J110" s="31" t="str">
        <f>IFERROR(WORKDAY(Table1[[#This Row],[50% IFR - 
AE]],-15), " ")</f>
        <v xml:space="preserve"> </v>
      </c>
      <c r="K110" s="31"/>
      <c r="L110" s="31"/>
      <c r="M110" s="31"/>
      <c r="N110" s="31"/>
      <c r="O110" s="31"/>
      <c r="P110" s="31"/>
      <c r="Q110" s="31" t="s">
        <v>733</v>
      </c>
      <c r="R110" s="31"/>
      <c r="S110" s="31"/>
      <c r="T110" s="31"/>
      <c r="U110" s="31"/>
      <c r="V110" s="31"/>
      <c r="W110" s="31"/>
      <c r="X110" s="90"/>
      <c r="Y110" s="111" t="s">
        <v>734</v>
      </c>
    </row>
    <row r="111" spans="1:25" ht="29.1" customHeight="1">
      <c r="A111" s="28" t="s">
        <v>364</v>
      </c>
      <c r="B111" s="48" t="s">
        <v>365</v>
      </c>
      <c r="C111" s="28" t="s">
        <v>366</v>
      </c>
      <c r="D111" s="28" t="s">
        <v>77</v>
      </c>
      <c r="E111" s="28" t="s">
        <v>367</v>
      </c>
      <c r="F111" s="30" t="s">
        <v>368</v>
      </c>
      <c r="G111" s="28"/>
      <c r="H111" s="28" t="s">
        <v>704</v>
      </c>
      <c r="I111" s="31" t="s">
        <v>131</v>
      </c>
      <c r="J111" s="31" t="str">
        <f>IFERROR(WORKDAY(Table1[[#This Row],[50% IFR - 
AE]],-15), " ")</f>
        <v xml:space="preserve"> </v>
      </c>
      <c r="K111" s="31" t="s">
        <v>82</v>
      </c>
      <c r="L111" s="31" t="s">
        <v>82</v>
      </c>
      <c r="M111" s="31" t="s">
        <v>82</v>
      </c>
      <c r="N111" s="31" t="s">
        <v>369</v>
      </c>
      <c r="O111" s="31" t="s">
        <v>370</v>
      </c>
      <c r="P111" s="31" t="s">
        <v>733</v>
      </c>
      <c r="Q111" s="95" t="s">
        <v>735</v>
      </c>
      <c r="R111" s="31"/>
      <c r="S111" s="31"/>
      <c r="T111" s="31"/>
      <c r="U111" s="31"/>
      <c r="V111" s="31"/>
      <c r="W111" s="31"/>
      <c r="X111" s="90" t="s">
        <v>371</v>
      </c>
      <c r="Y111" s="111" t="s">
        <v>734</v>
      </c>
    </row>
    <row r="112" spans="1:25" ht="29.1" customHeight="1">
      <c r="A112" s="28" t="s">
        <v>372</v>
      </c>
      <c r="B112" s="48" t="s">
        <v>365</v>
      </c>
      <c r="C112" s="28"/>
      <c r="D112" s="28"/>
      <c r="E112" s="28"/>
      <c r="F112" s="30"/>
      <c r="G112" s="28"/>
      <c r="H112" s="28" t="s">
        <v>118</v>
      </c>
      <c r="I112" s="28" t="s">
        <v>131</v>
      </c>
      <c r="J112" s="31" t="str">
        <f>IFERROR(WORKDAY(Table1[[#This Row],[50% IFR - 
AE]],-15), " ")</f>
        <v xml:space="preserve"> </v>
      </c>
      <c r="K112" s="34"/>
      <c r="L112" s="34" t="s">
        <v>373</v>
      </c>
      <c r="M112" s="34" t="str">
        <f>IFERROR(WORKDAY(Table1[[#This Row],[100% IFR - AE]],-5), " ")</f>
        <v xml:space="preserve"> </v>
      </c>
      <c r="N112" s="34" t="s">
        <v>266</v>
      </c>
      <c r="O112" s="34"/>
      <c r="P112" s="34" t="s">
        <v>736</v>
      </c>
      <c r="Q112" s="31"/>
      <c r="R112" s="31"/>
      <c r="S112" s="31"/>
      <c r="T112" s="31"/>
      <c r="U112" s="31"/>
      <c r="V112" s="31"/>
      <c r="W112" s="31"/>
      <c r="X112" s="90"/>
      <c r="Y112" s="111"/>
    </row>
    <row r="113" spans="1:25" ht="26.1" customHeight="1">
      <c r="A113" s="28" t="s">
        <v>374</v>
      </c>
      <c r="B113" s="48" t="s">
        <v>365</v>
      </c>
      <c r="C113" s="28"/>
      <c r="D113" s="28"/>
      <c r="E113" s="28"/>
      <c r="F113" s="30"/>
      <c r="G113" s="28"/>
      <c r="H113" s="28" t="s">
        <v>118</v>
      </c>
      <c r="I113" s="28" t="s">
        <v>131</v>
      </c>
      <c r="J113" s="31" t="str">
        <f>IFERROR(WORKDAY(Table1[[#This Row],[50% IFR - 
AE]],-15), " ")</f>
        <v xml:space="preserve"> </v>
      </c>
      <c r="K113" s="34" t="s">
        <v>375</v>
      </c>
      <c r="L113" s="34" t="s">
        <v>376</v>
      </c>
      <c r="M113" s="34"/>
      <c r="N113" s="34" t="s">
        <v>377</v>
      </c>
      <c r="O113" s="34"/>
      <c r="P113" s="31" t="s">
        <v>378</v>
      </c>
      <c r="Q113" s="31"/>
      <c r="R113" s="31"/>
      <c r="S113" s="31"/>
      <c r="T113" s="31"/>
      <c r="U113" s="31"/>
      <c r="V113" s="31"/>
      <c r="W113" s="31"/>
      <c r="X113" s="90"/>
      <c r="Y113" s="111"/>
    </row>
    <row r="114" spans="1:25" ht="26.1" customHeight="1">
      <c r="A114" s="28" t="s">
        <v>379</v>
      </c>
      <c r="B114" s="48" t="s">
        <v>365</v>
      </c>
      <c r="C114" s="28" t="s">
        <v>366</v>
      </c>
      <c r="D114" s="28" t="s">
        <v>77</v>
      </c>
      <c r="E114" s="28" t="s">
        <v>367</v>
      </c>
      <c r="F114" s="30" t="s">
        <v>368</v>
      </c>
      <c r="G114" s="28"/>
      <c r="H114" s="28" t="s">
        <v>118</v>
      </c>
      <c r="I114" s="28"/>
      <c r="J114" s="31" t="str">
        <f>IFERROR(WORKDAY(Table1[[#This Row],[50% IFR - 
AE]],-15), " ")</f>
        <v xml:space="preserve"> </v>
      </c>
      <c r="K114" s="34" t="s">
        <v>82</v>
      </c>
      <c r="L114" s="34" t="s">
        <v>380</v>
      </c>
      <c r="M114" s="34" t="s">
        <v>82</v>
      </c>
      <c r="N114" s="34" t="s">
        <v>381</v>
      </c>
      <c r="O114" s="34" t="s">
        <v>382</v>
      </c>
      <c r="P114" s="34">
        <v>44960</v>
      </c>
      <c r="Q114" s="31" t="s">
        <v>383</v>
      </c>
      <c r="R114" s="31"/>
      <c r="S114" s="31"/>
      <c r="T114" s="31"/>
      <c r="U114" s="31"/>
      <c r="V114" s="31"/>
      <c r="W114" s="31"/>
      <c r="X114" s="90" t="s">
        <v>384</v>
      </c>
      <c r="Y114" s="111" t="s">
        <v>734</v>
      </c>
    </row>
    <row r="115" spans="1:25" ht="29.1" customHeight="1">
      <c r="A115" s="28" t="s">
        <v>737</v>
      </c>
      <c r="B115" s="48" t="s">
        <v>365</v>
      </c>
      <c r="C115" s="28" t="s">
        <v>366</v>
      </c>
      <c r="D115" s="28" t="s">
        <v>77</v>
      </c>
      <c r="E115" s="28" t="s">
        <v>367</v>
      </c>
      <c r="F115" s="30" t="s">
        <v>368</v>
      </c>
      <c r="G115" s="28"/>
      <c r="H115" s="28" t="s">
        <v>118</v>
      </c>
      <c r="I115" s="28"/>
      <c r="J115" s="31" t="str">
        <f>IFERROR(WORKDAY(Table1[[#This Row],[50% IFR - 
AE]],-15), " ")</f>
        <v xml:space="preserve"> </v>
      </c>
      <c r="K115" s="34"/>
      <c r="L115" s="34"/>
      <c r="M115" s="34"/>
      <c r="N115" s="34"/>
      <c r="O115" s="34"/>
      <c r="P115" s="34"/>
      <c r="Q115" s="31" t="s">
        <v>738</v>
      </c>
      <c r="R115" s="31"/>
      <c r="S115" s="31"/>
      <c r="T115" s="31"/>
      <c r="U115" s="31"/>
      <c r="V115" s="31"/>
      <c r="W115" s="31"/>
      <c r="X115" s="90"/>
      <c r="Y115" s="111"/>
    </row>
    <row r="116" spans="1:25" ht="29.1" customHeight="1">
      <c r="A116" s="28" t="s">
        <v>385</v>
      </c>
      <c r="B116" s="48" t="s">
        <v>365</v>
      </c>
      <c r="C116" s="28" t="s">
        <v>366</v>
      </c>
      <c r="D116" s="28" t="s">
        <v>77</v>
      </c>
      <c r="E116" s="28" t="s">
        <v>386</v>
      </c>
      <c r="F116" s="30" t="s">
        <v>387</v>
      </c>
      <c r="G116" s="28"/>
      <c r="H116" s="28" t="s">
        <v>118</v>
      </c>
      <c r="I116" s="28"/>
      <c r="J116" s="31" t="str">
        <f>IFERROR(WORKDAY(Table1[[#This Row],[50% IFR - 
AE]],-15), " ")</f>
        <v xml:space="preserve"> </v>
      </c>
      <c r="K116" s="34" t="s">
        <v>82</v>
      </c>
      <c r="L116" s="34" t="s">
        <v>82</v>
      </c>
      <c r="M116" s="34" t="s">
        <v>82</v>
      </c>
      <c r="N116" s="34" t="s">
        <v>388</v>
      </c>
      <c r="O116" s="34"/>
      <c r="P116" s="34"/>
      <c r="Q116" s="35" t="s">
        <v>739</v>
      </c>
      <c r="R116" s="31"/>
      <c r="S116" s="31"/>
      <c r="T116" s="31"/>
      <c r="U116" s="31"/>
      <c r="V116" s="34" t="s">
        <v>740</v>
      </c>
      <c r="W116" s="31"/>
      <c r="X116" s="90" t="s">
        <v>389</v>
      </c>
      <c r="Y116" s="111" t="s">
        <v>734</v>
      </c>
    </row>
    <row r="117" spans="1:25" ht="29.1" customHeight="1">
      <c r="A117" s="28" t="s">
        <v>390</v>
      </c>
      <c r="B117" s="48" t="s">
        <v>365</v>
      </c>
      <c r="C117" s="28"/>
      <c r="D117" s="28"/>
      <c r="E117" s="28"/>
      <c r="F117" s="30"/>
      <c r="G117" s="28"/>
      <c r="H117" s="28" t="s">
        <v>118</v>
      </c>
      <c r="I117" s="28" t="s">
        <v>131</v>
      </c>
      <c r="J117" s="31" t="str">
        <f>IFERROR(WORKDAY(Table1[[#This Row],[50% IFR - 
AE]],-15), " ")</f>
        <v xml:space="preserve"> </v>
      </c>
      <c r="K117" s="34" t="s">
        <v>391</v>
      </c>
      <c r="L117" s="34" t="s">
        <v>392</v>
      </c>
      <c r="M117" s="34"/>
      <c r="N117" s="34" t="s">
        <v>393</v>
      </c>
      <c r="O117" s="34"/>
      <c r="P117" s="34" t="s">
        <v>394</v>
      </c>
      <c r="Q117" s="31"/>
      <c r="R117" s="31"/>
      <c r="S117" s="31"/>
      <c r="T117" s="31"/>
      <c r="U117" s="31"/>
      <c r="V117" s="31"/>
      <c r="W117" s="31"/>
      <c r="X117" s="90"/>
      <c r="Y117" s="111"/>
    </row>
    <row r="118" spans="1:25" ht="27" customHeight="1">
      <c r="A118" s="28" t="s">
        <v>396</v>
      </c>
      <c r="B118" s="48" t="s">
        <v>365</v>
      </c>
      <c r="C118" s="28"/>
      <c r="D118" s="28"/>
      <c r="E118" s="28"/>
      <c r="F118" s="30"/>
      <c r="G118" s="28"/>
      <c r="H118" s="28" t="s">
        <v>118</v>
      </c>
      <c r="I118" s="28" t="s">
        <v>131</v>
      </c>
      <c r="J118" s="31" t="str">
        <f>IFERROR(WORKDAY(Table1[[#This Row],[50% IFR - 
AE]],-15), " ")</f>
        <v xml:space="preserve"> </v>
      </c>
      <c r="K118" s="34"/>
      <c r="L118" s="34"/>
      <c r="M118" s="34"/>
      <c r="N118" s="34"/>
      <c r="O118" s="34"/>
      <c r="P118" s="34" t="s">
        <v>741</v>
      </c>
      <c r="Q118" s="96" t="s">
        <v>742</v>
      </c>
      <c r="R118" s="31"/>
      <c r="S118" s="31"/>
      <c r="T118" s="31"/>
      <c r="U118" s="31"/>
      <c r="V118" s="31"/>
      <c r="W118" s="31"/>
      <c r="X118" s="90"/>
      <c r="Y118" s="111"/>
    </row>
    <row r="119" spans="1:25" ht="42.6" customHeight="1">
      <c r="A119" s="28" t="s">
        <v>395</v>
      </c>
      <c r="B119" s="48" t="s">
        <v>365</v>
      </c>
      <c r="C119" s="28"/>
      <c r="D119" s="28"/>
      <c r="E119" s="28"/>
      <c r="F119" s="30"/>
      <c r="G119" s="28"/>
      <c r="H119" s="28" t="s">
        <v>118</v>
      </c>
      <c r="I119" s="28" t="s">
        <v>131</v>
      </c>
      <c r="J119" s="31" t="str">
        <f>IFERROR(WORKDAY(Table1[[#This Row],[50% IFR - 
AE]],-15), " ")</f>
        <v xml:space="preserve"> </v>
      </c>
      <c r="K119" s="34" t="s">
        <v>397</v>
      </c>
      <c r="L119" s="34" t="s">
        <v>398</v>
      </c>
      <c r="M119" s="34"/>
      <c r="N119" s="34" t="s">
        <v>400</v>
      </c>
      <c r="O119" s="34"/>
      <c r="P119" s="34" t="s">
        <v>741</v>
      </c>
      <c r="Q119" s="96" t="s">
        <v>742</v>
      </c>
      <c r="R119" s="31"/>
      <c r="S119" s="31"/>
      <c r="T119" s="31"/>
      <c r="U119" s="31"/>
      <c r="V119" s="31"/>
      <c r="W119" s="31"/>
      <c r="X119" s="90"/>
      <c r="Y119" s="111"/>
    </row>
    <row r="120" spans="1:25" ht="14.45">
      <c r="A120" s="28" t="s">
        <v>401</v>
      </c>
      <c r="B120" s="48" t="s">
        <v>402</v>
      </c>
      <c r="C120" s="28" t="s">
        <v>181</v>
      </c>
      <c r="D120" s="28" t="s">
        <v>77</v>
      </c>
      <c r="E120" s="28" t="s">
        <v>182</v>
      </c>
      <c r="F120" s="30" t="s">
        <v>183</v>
      </c>
      <c r="G120" s="28"/>
      <c r="H120" s="28" t="s">
        <v>704</v>
      </c>
      <c r="I120" s="28"/>
      <c r="J120" s="31" t="str">
        <f>IFERROR(WORKDAY(Table1[[#This Row],[50% IFR - 
AE]],-15), " ")</f>
        <v xml:space="preserve"> </v>
      </c>
      <c r="K120" s="34" t="s">
        <v>82</v>
      </c>
      <c r="L120" s="34" t="s">
        <v>82</v>
      </c>
      <c r="M120" s="34" t="s">
        <v>260</v>
      </c>
      <c r="N120" s="34" t="s">
        <v>403</v>
      </c>
      <c r="O120" s="34" t="s">
        <v>350</v>
      </c>
      <c r="P120" s="34">
        <v>45895</v>
      </c>
      <c r="Q120" s="104" t="s">
        <v>268</v>
      </c>
      <c r="R120" s="31"/>
      <c r="S120" s="31"/>
      <c r="T120" s="31"/>
      <c r="U120" s="31"/>
      <c r="V120" s="31"/>
      <c r="W120" s="31"/>
      <c r="X120" s="90" t="s">
        <v>743</v>
      </c>
      <c r="Y120" s="111" t="s">
        <v>404</v>
      </c>
    </row>
    <row r="121" spans="1:25" ht="27.6" customHeight="1">
      <c r="A121" s="28" t="s">
        <v>405</v>
      </c>
      <c r="B121" s="48" t="s">
        <v>402</v>
      </c>
      <c r="C121" s="28" t="s">
        <v>181</v>
      </c>
      <c r="D121" s="28" t="s">
        <v>214</v>
      </c>
      <c r="E121" s="28" t="s">
        <v>182</v>
      </c>
      <c r="F121" s="30" t="s">
        <v>183</v>
      </c>
      <c r="G121" s="28"/>
      <c r="H121" s="28" t="s">
        <v>704</v>
      </c>
      <c r="I121" s="28"/>
      <c r="J121" s="31" t="s">
        <v>82</v>
      </c>
      <c r="K121" s="34"/>
      <c r="L121" s="34" t="s">
        <v>744</v>
      </c>
      <c r="M121" s="34" t="s">
        <v>745</v>
      </c>
      <c r="N121" s="34" t="s">
        <v>746</v>
      </c>
      <c r="O121" s="34" t="s">
        <v>726</v>
      </c>
      <c r="P121" s="34" t="s">
        <v>747</v>
      </c>
      <c r="Q121" s="31"/>
      <c r="R121" s="31"/>
      <c r="S121" s="31"/>
      <c r="T121" s="31"/>
      <c r="U121" s="31"/>
      <c r="V121" s="31"/>
      <c r="W121" s="31"/>
      <c r="X121" s="90" t="s">
        <v>748</v>
      </c>
      <c r="Y121" s="111"/>
    </row>
    <row r="122" spans="1:25" ht="27" customHeight="1">
      <c r="A122" s="28" t="s">
        <v>406</v>
      </c>
      <c r="B122" s="48" t="s">
        <v>407</v>
      </c>
      <c r="C122" s="28"/>
      <c r="D122" s="28"/>
      <c r="E122" s="28"/>
      <c r="F122" s="30"/>
      <c r="G122" s="28" t="s">
        <v>100</v>
      </c>
      <c r="H122" s="28" t="s">
        <v>118</v>
      </c>
      <c r="I122" s="28" t="s">
        <v>131</v>
      </c>
      <c r="J122" s="31" t="str">
        <f>IFERROR(WORKDAY(Table1[[#This Row],[50% IFR - 
AE]],-15), " ")</f>
        <v xml:space="preserve"> </v>
      </c>
      <c r="K122" s="34"/>
      <c r="L122" s="34"/>
      <c r="M122" s="34"/>
      <c r="N122" s="34" t="s">
        <v>408</v>
      </c>
      <c r="O122" s="34" t="s">
        <v>409</v>
      </c>
      <c r="P122" s="34" t="s">
        <v>410</v>
      </c>
      <c r="Q122" s="96" t="s">
        <v>411</v>
      </c>
      <c r="R122" s="31"/>
      <c r="S122" s="31"/>
      <c r="T122" s="31"/>
      <c r="U122" s="31"/>
      <c r="V122" s="31"/>
      <c r="W122" s="31"/>
      <c r="X122" s="90"/>
      <c r="Y122" s="111"/>
    </row>
    <row r="123" spans="1:25" ht="27" customHeight="1">
      <c r="A123" s="28" t="s">
        <v>412</v>
      </c>
      <c r="B123" s="48" t="s">
        <v>407</v>
      </c>
      <c r="C123" s="28"/>
      <c r="D123" s="28"/>
      <c r="E123" s="28"/>
      <c r="F123" s="30"/>
      <c r="G123" s="28" t="s">
        <v>100</v>
      </c>
      <c r="H123" s="28" t="s">
        <v>118</v>
      </c>
      <c r="I123" s="28" t="s">
        <v>131</v>
      </c>
      <c r="J123" s="31" t="str">
        <f>IFERROR(WORKDAY(Table1[[#This Row],[50% IFR - 
AE]],-15), " ")</f>
        <v xml:space="preserve"> </v>
      </c>
      <c r="K123" s="34" t="s">
        <v>413</v>
      </c>
      <c r="L123" s="34" t="s">
        <v>413</v>
      </c>
      <c r="M123" s="34" t="s">
        <v>414</v>
      </c>
      <c r="N123" s="34" t="s">
        <v>112</v>
      </c>
      <c r="O123" s="34" t="s">
        <v>415</v>
      </c>
      <c r="P123" s="34" t="s">
        <v>239</v>
      </c>
      <c r="Q123" s="96" t="s">
        <v>416</v>
      </c>
      <c r="R123" s="31"/>
      <c r="S123" s="31"/>
      <c r="T123" s="31"/>
      <c r="U123" s="31"/>
      <c r="V123" s="31"/>
      <c r="W123" s="31"/>
      <c r="X123" s="90"/>
      <c r="Y123" s="111"/>
    </row>
    <row r="124" spans="1:25" ht="24.6" customHeight="1">
      <c r="A124" s="28" t="s">
        <v>417</v>
      </c>
      <c r="B124" s="48" t="s">
        <v>407</v>
      </c>
      <c r="C124" s="28"/>
      <c r="D124" s="28"/>
      <c r="E124" s="28"/>
      <c r="F124" s="30"/>
      <c r="G124" s="28"/>
      <c r="H124" s="28" t="s">
        <v>118</v>
      </c>
      <c r="I124" s="28" t="s">
        <v>131</v>
      </c>
      <c r="J124" s="31" t="str">
        <f>IFERROR(WORKDAY(Table1[[#This Row],[50% IFR - 
AE]],-15), " ")</f>
        <v xml:space="preserve"> </v>
      </c>
      <c r="K124" s="34" t="s">
        <v>418</v>
      </c>
      <c r="L124" s="34" t="s">
        <v>104</v>
      </c>
      <c r="M124" s="34" t="s">
        <v>419</v>
      </c>
      <c r="N124" s="34" t="s">
        <v>420</v>
      </c>
      <c r="O124" s="34" t="s">
        <v>83</v>
      </c>
      <c r="P124" s="34" t="s">
        <v>421</v>
      </c>
      <c r="Q124" s="96" t="s">
        <v>422</v>
      </c>
      <c r="R124" s="31"/>
      <c r="S124" s="31"/>
      <c r="T124" s="31"/>
      <c r="U124" s="31"/>
      <c r="V124" s="31"/>
      <c r="W124" s="31"/>
      <c r="X124" s="90"/>
      <c r="Y124" s="111"/>
    </row>
    <row r="125" spans="1:25" ht="24.6" customHeight="1">
      <c r="A125" s="28" t="s">
        <v>424</v>
      </c>
      <c r="B125" s="48" t="s">
        <v>407</v>
      </c>
      <c r="C125" s="28"/>
      <c r="D125" s="28"/>
      <c r="E125" s="28"/>
      <c r="F125" s="30"/>
      <c r="G125" s="28"/>
      <c r="H125" s="28" t="s">
        <v>118</v>
      </c>
      <c r="I125" s="28" t="s">
        <v>131</v>
      </c>
      <c r="J125" s="31" t="str">
        <f>IFERROR(WORKDAY(Table1[[#This Row],[50% IFR - 
AE]],-15), " ")</f>
        <v xml:space="preserve"> </v>
      </c>
      <c r="K125" s="34" t="s">
        <v>425</v>
      </c>
      <c r="L125" s="34" t="s">
        <v>426</v>
      </c>
      <c r="M125" s="34" t="s">
        <v>427</v>
      </c>
      <c r="N125" s="34" t="s">
        <v>428</v>
      </c>
      <c r="O125" s="34" t="s">
        <v>749</v>
      </c>
      <c r="P125" s="34" t="s">
        <v>429</v>
      </c>
      <c r="Q125" s="96" t="s">
        <v>430</v>
      </c>
      <c r="R125" s="31"/>
      <c r="S125" s="31"/>
      <c r="T125" s="31"/>
      <c r="U125" s="31"/>
      <c r="V125" s="31"/>
      <c r="W125" s="31"/>
      <c r="X125" s="90"/>
      <c r="Y125" s="111"/>
    </row>
    <row r="126" spans="1:25" ht="24.6" customHeight="1">
      <c r="A126" s="28" t="s">
        <v>750</v>
      </c>
      <c r="B126" s="48"/>
      <c r="C126" s="28"/>
      <c r="D126" s="28"/>
      <c r="E126" s="28"/>
      <c r="F126" s="30"/>
      <c r="G126" s="28"/>
      <c r="H126" s="28" t="s">
        <v>118</v>
      </c>
      <c r="I126" s="28"/>
      <c r="J126" s="31" t="str">
        <f>IFERROR(WORKDAY(Table1[[#This Row],[50% IFR - 
AE]],-15), " ")</f>
        <v xml:space="preserve"> </v>
      </c>
      <c r="K126" s="34"/>
      <c r="L126" s="34"/>
      <c r="M126" s="34"/>
      <c r="N126" s="34" t="s">
        <v>751</v>
      </c>
      <c r="O126" s="34"/>
      <c r="P126" s="34"/>
      <c r="Q126" s="31" t="s">
        <v>752</v>
      </c>
      <c r="R126" s="31"/>
      <c r="S126" s="31"/>
      <c r="T126" s="31"/>
      <c r="U126" s="31"/>
      <c r="V126" s="31"/>
      <c r="W126" s="31"/>
      <c r="X126" s="90" t="s">
        <v>753</v>
      </c>
      <c r="Y126" s="111"/>
    </row>
    <row r="127" spans="1:25" ht="24.6" customHeight="1">
      <c r="A127" s="28" t="s">
        <v>754</v>
      </c>
      <c r="B127" s="48"/>
      <c r="C127" s="28"/>
      <c r="D127" s="28"/>
      <c r="E127" s="28"/>
      <c r="F127" s="30"/>
      <c r="G127" s="28"/>
      <c r="H127" s="28" t="s">
        <v>118</v>
      </c>
      <c r="I127" s="28"/>
      <c r="J127" s="31">
        <f>IFERROR(WORKDAY(Table1[[#This Row],[50% IFR - 
AE]],-15), " ")</f>
        <v>45400</v>
      </c>
      <c r="K127" s="34"/>
      <c r="L127" s="34">
        <v>45421</v>
      </c>
      <c r="M127" s="34"/>
      <c r="N127" s="34" t="s">
        <v>755</v>
      </c>
      <c r="O127" s="34" t="s">
        <v>756</v>
      </c>
      <c r="P127" s="34"/>
      <c r="Q127" s="31" t="s">
        <v>757</v>
      </c>
      <c r="R127" s="31"/>
      <c r="S127" s="31"/>
      <c r="T127" s="31"/>
      <c r="U127" s="31"/>
      <c r="V127" s="31"/>
      <c r="W127" s="31"/>
      <c r="X127" s="90" t="s">
        <v>753</v>
      </c>
      <c r="Y127" s="111"/>
    </row>
    <row r="128" spans="1:25" ht="23.1" customHeight="1">
      <c r="A128" s="28" t="s">
        <v>758</v>
      </c>
      <c r="B128" s="48"/>
      <c r="C128" s="28"/>
      <c r="D128" s="28"/>
      <c r="E128" s="28"/>
      <c r="F128" s="30"/>
      <c r="G128" s="28"/>
      <c r="H128" s="28" t="s">
        <v>118</v>
      </c>
      <c r="I128" s="28"/>
      <c r="J128" s="31" t="str">
        <f>IFERROR(WORKDAY(Table1[[#This Row],[50% IFR - 
AE]],-15), " ")</f>
        <v xml:space="preserve"> </v>
      </c>
      <c r="K128" s="34"/>
      <c r="L128" s="34"/>
      <c r="M128" s="34"/>
      <c r="N128" s="34" t="s">
        <v>625</v>
      </c>
      <c r="O128" s="34" t="s">
        <v>759</v>
      </c>
      <c r="P128" s="34"/>
      <c r="Q128" s="31" t="s">
        <v>760</v>
      </c>
      <c r="R128" s="31"/>
      <c r="S128" s="31"/>
      <c r="T128" s="31"/>
      <c r="U128" s="31"/>
      <c r="V128" s="31"/>
      <c r="W128" s="31"/>
      <c r="X128" s="90" t="s">
        <v>761</v>
      </c>
      <c r="Y128" s="111"/>
    </row>
    <row r="129" spans="1:25" ht="19.350000000000001" customHeight="1">
      <c r="A129" s="28" t="s">
        <v>431</v>
      </c>
      <c r="B129" s="48" t="s">
        <v>432</v>
      </c>
      <c r="C129" s="28"/>
      <c r="D129" s="28" t="s">
        <v>214</v>
      </c>
      <c r="E129" s="28" t="s">
        <v>433</v>
      </c>
      <c r="F129" s="30" t="s">
        <v>434</v>
      </c>
      <c r="G129" s="28"/>
      <c r="H129" s="28" t="s">
        <v>672</v>
      </c>
      <c r="I129" s="28"/>
      <c r="J129" s="31" t="str">
        <f>IFERROR(WORKDAY(Table1[[#This Row],[50% IFR - 
AE]],-15), " ")</f>
        <v xml:space="preserve"> </v>
      </c>
      <c r="K129" s="34"/>
      <c r="L129" s="34"/>
      <c r="M129" s="34"/>
      <c r="N129" s="34"/>
      <c r="O129" s="34"/>
      <c r="P129" s="34"/>
      <c r="Q129" s="31"/>
      <c r="R129" s="31"/>
      <c r="S129" s="31"/>
      <c r="T129" s="31"/>
      <c r="U129" s="31"/>
      <c r="V129" s="31"/>
      <c r="W129" s="31"/>
      <c r="X129" s="90"/>
      <c r="Y129" s="111"/>
    </row>
    <row r="130" spans="1:25" ht="19.350000000000001" customHeight="1">
      <c r="A130" s="28" t="s">
        <v>435</v>
      </c>
      <c r="B130" s="48" t="s">
        <v>432</v>
      </c>
      <c r="C130" s="28" t="s">
        <v>256</v>
      </c>
      <c r="D130" s="28" t="s">
        <v>77</v>
      </c>
      <c r="E130" s="28" t="s">
        <v>433</v>
      </c>
      <c r="F130" s="30" t="s">
        <v>434</v>
      </c>
      <c r="G130" s="28"/>
      <c r="H130" s="28" t="s">
        <v>118</v>
      </c>
      <c r="I130" s="28" t="s">
        <v>131</v>
      </c>
      <c r="J130" s="31" t="str">
        <f>IFERROR(WORKDAY(Table1[[#This Row],[50% IFR - 
AE]],-15), " ")</f>
        <v xml:space="preserve"> </v>
      </c>
      <c r="K130" s="34" t="s">
        <v>82</v>
      </c>
      <c r="L130" s="34" t="s">
        <v>436</v>
      </c>
      <c r="M130" s="34" t="s">
        <v>82</v>
      </c>
      <c r="N130" s="34" t="s">
        <v>437</v>
      </c>
      <c r="O130" s="34" t="s">
        <v>82</v>
      </c>
      <c r="P130" s="34" t="s">
        <v>438</v>
      </c>
      <c r="Q130" s="31" t="s">
        <v>719</v>
      </c>
      <c r="R130" s="31"/>
      <c r="S130" s="31"/>
      <c r="T130" s="31"/>
      <c r="U130" s="31"/>
      <c r="V130" s="31" t="s">
        <v>439</v>
      </c>
      <c r="W130" s="31"/>
      <c r="X130" s="90" t="s">
        <v>440</v>
      </c>
      <c r="Y130" s="111" t="s">
        <v>441</v>
      </c>
    </row>
    <row r="131" spans="1:25" ht="19.350000000000001" customHeight="1">
      <c r="A131" s="98" t="s">
        <v>762</v>
      </c>
      <c r="B131" s="48" t="s">
        <v>432</v>
      </c>
      <c r="C131" s="28"/>
      <c r="D131" s="28" t="s">
        <v>763</v>
      </c>
      <c r="E131" s="28"/>
      <c r="F131" s="30"/>
      <c r="G131" s="28"/>
      <c r="H131" s="28" t="s">
        <v>80</v>
      </c>
      <c r="I131" s="28"/>
      <c r="J131" s="31" t="str">
        <f>IFERROR(WORKDAY(Table1[[#This Row],[50% IFR - 
AE]],-15), " ")</f>
        <v xml:space="preserve"> </v>
      </c>
      <c r="K131" s="34"/>
      <c r="L131" s="34"/>
      <c r="M131" s="34"/>
      <c r="N131" s="34"/>
      <c r="O131" s="34" t="s">
        <v>518</v>
      </c>
      <c r="P131" s="34"/>
      <c r="Q131" s="96" t="s">
        <v>268</v>
      </c>
      <c r="R131" s="31"/>
      <c r="S131" s="31"/>
      <c r="T131" s="31"/>
      <c r="U131" s="31"/>
      <c r="V131" s="31"/>
      <c r="W131" s="31"/>
      <c r="X131" s="90"/>
      <c r="Y131" s="111"/>
    </row>
    <row r="132" spans="1:25" ht="19.350000000000001" customHeight="1">
      <c r="A132" s="28" t="s">
        <v>442</v>
      </c>
      <c r="B132" s="48" t="s">
        <v>432</v>
      </c>
      <c r="C132" s="28" t="s">
        <v>256</v>
      </c>
      <c r="D132" s="28" t="s">
        <v>77</v>
      </c>
      <c r="E132" s="28" t="s">
        <v>433</v>
      </c>
      <c r="F132" s="30" t="s">
        <v>434</v>
      </c>
      <c r="G132" s="28" t="s">
        <v>100</v>
      </c>
      <c r="H132" s="28" t="s">
        <v>118</v>
      </c>
      <c r="I132" s="28" t="s">
        <v>131</v>
      </c>
      <c r="J132" s="31" t="str">
        <f>IFERROR(WORKDAY(Table1[[#This Row],[50% IFR - 
AE]],-15), " ")</f>
        <v xml:space="preserve"> </v>
      </c>
      <c r="K132" s="34" t="s">
        <v>215</v>
      </c>
      <c r="L132" s="34" t="s">
        <v>443</v>
      </c>
      <c r="M132" s="34" t="s">
        <v>219</v>
      </c>
      <c r="N132" s="34" t="s">
        <v>764</v>
      </c>
      <c r="O132" s="34"/>
      <c r="P132" s="34"/>
      <c r="Q132" s="96" t="s">
        <v>82</v>
      </c>
      <c r="R132" s="31"/>
      <c r="S132" s="31"/>
      <c r="T132" s="31"/>
      <c r="U132" s="31"/>
      <c r="V132" s="31" t="s">
        <v>439</v>
      </c>
      <c r="W132" s="31"/>
      <c r="X132" s="90" t="s">
        <v>765</v>
      </c>
      <c r="Y132" s="111" t="s">
        <v>446</v>
      </c>
    </row>
    <row r="133" spans="1:25" ht="26.1" customHeight="1">
      <c r="A133" s="28" t="s">
        <v>447</v>
      </c>
      <c r="B133" s="48" t="s">
        <v>432</v>
      </c>
      <c r="C133" s="28" t="s">
        <v>256</v>
      </c>
      <c r="D133" s="28" t="s">
        <v>77</v>
      </c>
      <c r="E133" s="28" t="s">
        <v>433</v>
      </c>
      <c r="F133" s="30" t="s">
        <v>434</v>
      </c>
      <c r="G133" s="28"/>
      <c r="H133" s="28" t="s">
        <v>118</v>
      </c>
      <c r="I133" s="28" t="s">
        <v>131</v>
      </c>
      <c r="J133" s="31" t="str">
        <f>IFERROR(WORKDAY(Table1[[#This Row],[50% IFR - 
AE]],-15), " ")</f>
        <v xml:space="preserve"> </v>
      </c>
      <c r="K133" s="34" t="s">
        <v>82</v>
      </c>
      <c r="L133" s="34" t="s">
        <v>82</v>
      </c>
      <c r="M133" s="34" t="s">
        <v>82</v>
      </c>
      <c r="N133" s="34" t="s">
        <v>448</v>
      </c>
      <c r="O133" s="34" t="s">
        <v>449</v>
      </c>
      <c r="P133" s="34" t="s">
        <v>453</v>
      </c>
      <c r="Q133" s="31" t="s">
        <v>766</v>
      </c>
      <c r="R133" s="31"/>
      <c r="S133" s="31"/>
      <c r="T133" s="31"/>
      <c r="U133" s="31"/>
      <c r="V133" s="90" t="s">
        <v>450</v>
      </c>
      <c r="W133" s="31"/>
      <c r="X133" s="90" t="s">
        <v>451</v>
      </c>
      <c r="Y133" s="111" t="s">
        <v>452</v>
      </c>
    </row>
    <row r="134" spans="1:25" ht="26.1" customHeight="1">
      <c r="A134" s="98" t="s">
        <v>767</v>
      </c>
      <c r="B134" s="48" t="s">
        <v>432</v>
      </c>
      <c r="C134" s="28"/>
      <c r="D134" s="28" t="s">
        <v>763</v>
      </c>
      <c r="E134" s="28"/>
      <c r="F134" s="30"/>
      <c r="G134" s="28"/>
      <c r="H134" s="28" t="s">
        <v>80</v>
      </c>
      <c r="I134" s="28"/>
      <c r="J134" s="31"/>
      <c r="K134" s="34"/>
      <c r="L134" s="34"/>
      <c r="M134" s="34"/>
      <c r="N134" s="34"/>
      <c r="O134" s="34" t="s">
        <v>518</v>
      </c>
      <c r="P134" s="34"/>
      <c r="Q134" s="96" t="s">
        <v>268</v>
      </c>
      <c r="R134" s="31"/>
      <c r="S134" s="31"/>
      <c r="T134" s="31"/>
      <c r="U134" s="31"/>
      <c r="V134" s="90"/>
      <c r="W134" s="31"/>
      <c r="X134" s="90"/>
      <c r="Y134" s="111"/>
    </row>
    <row r="136" spans="1:25" ht="26.1" customHeight="1">
      <c r="A136" s="25"/>
      <c r="B136" s="49"/>
      <c r="C136" s="25"/>
      <c r="D136" s="25"/>
      <c r="E136" s="25"/>
      <c r="F136" s="25"/>
      <c r="G136" s="25"/>
      <c r="H136" s="25"/>
      <c r="I136" s="25"/>
      <c r="J136" s="26" t="str">
        <f>IFERROR(WORKDAY(Table1[[#This Row],[50% IFR - 
AE]],-15), " ")</f>
        <v xml:space="preserve"> </v>
      </c>
      <c r="K136" s="26"/>
      <c r="L136" s="26"/>
      <c r="M136" s="26"/>
      <c r="N136" s="26"/>
      <c r="O136" s="26"/>
      <c r="P136" s="26"/>
      <c r="Q136" s="26"/>
      <c r="R136" s="26"/>
      <c r="S136" s="26"/>
      <c r="T136" s="26"/>
      <c r="U136" s="26"/>
      <c r="V136" s="26"/>
      <c r="W136" s="26"/>
      <c r="X136" s="64"/>
      <c r="Y136" s="114"/>
    </row>
    <row r="137" spans="1:25" ht="26.1" customHeight="1">
      <c r="A137" s="25"/>
      <c r="B137" s="49"/>
      <c r="C137" s="25"/>
      <c r="D137" s="25"/>
      <c r="E137" s="25"/>
      <c r="F137" s="25"/>
      <c r="G137" s="25"/>
      <c r="H137" s="25"/>
      <c r="I137" s="25"/>
      <c r="J137" s="26" t="str">
        <f>IFERROR(WORKDAY(Table1[[#This Row],[50% IFR - 
AE]],-15), " ")</f>
        <v xml:space="preserve"> </v>
      </c>
      <c r="K137" s="26"/>
      <c r="L137" s="26"/>
      <c r="M137" s="26"/>
      <c r="N137" s="26"/>
      <c r="O137" s="26"/>
      <c r="P137" s="26"/>
      <c r="Q137" s="26"/>
      <c r="R137" s="26"/>
      <c r="S137" s="26"/>
      <c r="T137" s="26"/>
      <c r="U137" s="26"/>
      <c r="V137" s="26"/>
      <c r="W137" s="26"/>
      <c r="X137" s="64"/>
      <c r="Y137" s="114"/>
    </row>
    <row r="138" spans="1:25" ht="26.1" customHeight="1">
      <c r="A138" s="25"/>
      <c r="B138" s="49"/>
      <c r="C138" s="25"/>
      <c r="D138" s="25"/>
      <c r="E138" s="25"/>
      <c r="F138" s="25"/>
      <c r="G138" s="25"/>
      <c r="H138" s="25"/>
      <c r="I138" s="25"/>
      <c r="J138" s="26" t="str">
        <f>IFERROR(WORKDAY(Table1[[#This Row],[50% IFR - 
AE]],-15), " ")</f>
        <v xml:space="preserve"> </v>
      </c>
      <c r="K138" s="26"/>
      <c r="L138" s="26"/>
      <c r="M138" s="26"/>
      <c r="N138" s="26"/>
      <c r="O138" s="26"/>
      <c r="P138" s="26"/>
      <c r="Q138" s="26"/>
      <c r="R138" s="26"/>
      <c r="S138" s="26"/>
      <c r="T138" s="26"/>
      <c r="U138" s="26"/>
      <c r="V138" s="26"/>
      <c r="W138" s="26"/>
      <c r="X138" s="64"/>
      <c r="Y138" s="114"/>
    </row>
    <row r="139" spans="1:25" ht="26.1" customHeight="1">
      <c r="A139" s="25"/>
      <c r="B139" s="49"/>
      <c r="C139" s="25"/>
      <c r="D139" s="25"/>
      <c r="E139" s="25"/>
      <c r="F139" s="25"/>
      <c r="G139" s="25"/>
      <c r="H139" s="25"/>
      <c r="I139" s="25"/>
      <c r="J139" s="26" t="str">
        <f>IFERROR(WORKDAY(Table1[[#This Row],[50% IFR - 
AE]],-15), " ")</f>
        <v xml:space="preserve"> </v>
      </c>
      <c r="K139" s="26"/>
      <c r="L139" s="26"/>
      <c r="M139" s="26"/>
      <c r="N139" s="26"/>
      <c r="O139" s="26"/>
      <c r="P139" s="26"/>
      <c r="Q139" s="26"/>
      <c r="R139" s="26"/>
      <c r="S139" s="26"/>
      <c r="T139" s="26"/>
      <c r="U139" s="26"/>
      <c r="V139" s="26"/>
      <c r="W139" s="26"/>
      <c r="X139" s="64"/>
      <c r="Y139" s="114"/>
    </row>
    <row r="140" spans="1:25" ht="26.1" customHeight="1">
      <c r="A140" s="25"/>
      <c r="B140" s="49"/>
      <c r="C140" s="25"/>
      <c r="D140" s="25"/>
      <c r="E140" s="25"/>
      <c r="F140" s="25"/>
      <c r="G140" s="25"/>
      <c r="H140" s="25"/>
      <c r="I140" s="25"/>
      <c r="J140" s="26" t="str">
        <f>IFERROR(WORKDAY(Table1[[#This Row],[50% IFR - 
AE]],-15), " ")</f>
        <v xml:space="preserve"> </v>
      </c>
      <c r="K140" s="26"/>
      <c r="L140" s="26"/>
      <c r="M140" s="26"/>
      <c r="N140" s="26"/>
      <c r="O140" s="26"/>
      <c r="P140" s="26"/>
      <c r="Q140" s="26"/>
      <c r="R140" s="26"/>
      <c r="S140" s="26"/>
      <c r="T140" s="26"/>
      <c r="U140" s="26"/>
      <c r="V140" s="26"/>
      <c r="W140" s="26"/>
      <c r="X140" s="64"/>
      <c r="Y140" s="114"/>
    </row>
    <row r="141" spans="1:25" ht="26.1" customHeight="1">
      <c r="A141" s="25"/>
      <c r="B141" s="49"/>
      <c r="C141" s="25"/>
      <c r="D141" s="25"/>
      <c r="E141" s="25"/>
      <c r="F141" s="25"/>
      <c r="G141" s="25"/>
      <c r="H141" s="25"/>
      <c r="I141" s="25"/>
      <c r="J141" s="26" t="str">
        <f>IFERROR(WORKDAY(Table1[[#This Row],[50% IFR - 
AE]],-15), " ")</f>
        <v xml:space="preserve"> </v>
      </c>
      <c r="K141" s="26"/>
      <c r="L141" s="26"/>
      <c r="M141" s="26"/>
      <c r="N141" s="26"/>
      <c r="O141" s="26"/>
      <c r="P141" s="26"/>
      <c r="Q141" s="26"/>
      <c r="R141" s="26"/>
      <c r="S141" s="26"/>
      <c r="T141" s="26"/>
      <c r="U141" s="26"/>
      <c r="V141" s="26"/>
      <c r="W141" s="26"/>
      <c r="X141" s="64"/>
      <c r="Y141" s="114"/>
    </row>
    <row r="142" spans="1:25" ht="26.1" customHeight="1">
      <c r="A142" s="25"/>
      <c r="B142" s="49"/>
      <c r="C142" s="25"/>
      <c r="D142" s="25"/>
      <c r="E142" s="25"/>
      <c r="F142" s="25"/>
      <c r="G142" s="25"/>
      <c r="H142" s="25"/>
      <c r="I142" s="25"/>
      <c r="J142" s="26" t="str">
        <f>IFERROR(WORKDAY(Table1[[#This Row],[50% IFR - 
AE]],-15), " ")</f>
        <v xml:space="preserve"> </v>
      </c>
      <c r="K142" s="26"/>
      <c r="L142" s="26"/>
      <c r="M142" s="26"/>
      <c r="N142" s="26"/>
      <c r="O142" s="26"/>
      <c r="P142" s="26"/>
      <c r="Q142" s="26"/>
      <c r="R142" s="26"/>
      <c r="S142" s="26"/>
      <c r="T142" s="26"/>
      <c r="U142" s="26"/>
      <c r="V142" s="26"/>
      <c r="W142" s="26"/>
      <c r="X142" s="64"/>
      <c r="Y142" s="114"/>
    </row>
    <row r="143" spans="1:25" ht="26.1" customHeight="1">
      <c r="A143" s="25"/>
      <c r="B143" s="49"/>
      <c r="C143" s="25"/>
      <c r="D143" s="25"/>
      <c r="E143" s="25"/>
      <c r="F143" s="25"/>
      <c r="G143" s="25"/>
      <c r="H143" s="25"/>
      <c r="I143" s="25"/>
      <c r="J143" s="26" t="str">
        <f>IFERROR(WORKDAY(Table1[[#This Row],[50% IFR - 
AE]],-15), " ")</f>
        <v xml:space="preserve"> </v>
      </c>
      <c r="K143" s="26"/>
      <c r="L143" s="26"/>
      <c r="M143" s="26"/>
      <c r="N143" s="26"/>
      <c r="O143" s="26"/>
      <c r="P143" s="26"/>
      <c r="Q143" s="26"/>
      <c r="R143" s="26"/>
      <c r="S143" s="26"/>
      <c r="T143" s="26"/>
      <c r="U143" s="26"/>
      <c r="V143" s="26"/>
      <c r="W143" s="26"/>
      <c r="X143" s="64"/>
      <c r="Y143" s="114"/>
    </row>
    <row r="144" spans="1:25" ht="26.1" customHeight="1">
      <c r="A144" s="25"/>
      <c r="B144" s="49"/>
      <c r="C144" s="25"/>
      <c r="D144" s="25"/>
      <c r="E144" s="25"/>
      <c r="F144" s="25"/>
      <c r="G144" s="25"/>
      <c r="H144" s="25"/>
      <c r="I144" s="25"/>
      <c r="J144" s="26" t="str">
        <f>IFERROR(WORKDAY(Table1[[#This Row],[50% IFR - 
AE]],-15), " ")</f>
        <v xml:space="preserve"> </v>
      </c>
      <c r="K144" s="26"/>
      <c r="L144" s="26"/>
      <c r="M144" s="26"/>
      <c r="N144" s="26"/>
      <c r="O144" s="26"/>
      <c r="P144" s="26"/>
      <c r="Q144" s="26"/>
      <c r="R144" s="26"/>
      <c r="S144" s="26"/>
      <c r="T144" s="26"/>
      <c r="U144" s="26"/>
      <c r="V144" s="26"/>
      <c r="W144" s="26"/>
      <c r="X144" s="64"/>
      <c r="Y144" s="114"/>
    </row>
    <row r="145" spans="1:25" ht="26.1" customHeight="1">
      <c r="A145" s="25"/>
      <c r="B145" s="49"/>
      <c r="C145" s="25"/>
      <c r="D145" s="25"/>
      <c r="E145" s="25"/>
      <c r="F145" s="25"/>
      <c r="G145" s="25"/>
      <c r="H145" s="25"/>
      <c r="I145" s="25"/>
      <c r="J145" s="26" t="str">
        <f>IFERROR(WORKDAY(Table1[[#This Row],[50% IFR - 
AE]],-15), " ")</f>
        <v xml:space="preserve"> </v>
      </c>
      <c r="K145" s="26"/>
      <c r="L145" s="26"/>
      <c r="M145" s="26"/>
      <c r="N145" s="26"/>
      <c r="O145" s="26"/>
      <c r="P145" s="26"/>
      <c r="Q145" s="26"/>
      <c r="R145" s="26"/>
      <c r="S145" s="26"/>
      <c r="T145" s="26"/>
      <c r="U145" s="26"/>
      <c r="V145" s="26"/>
      <c r="W145" s="26"/>
      <c r="X145" s="64"/>
      <c r="Y145" s="114"/>
    </row>
    <row r="146" spans="1:25" ht="26.1" customHeight="1">
      <c r="A146" s="25"/>
      <c r="B146" s="49"/>
      <c r="C146" s="25"/>
      <c r="D146" s="25"/>
      <c r="E146" s="25"/>
      <c r="F146" s="25"/>
      <c r="G146" s="25"/>
      <c r="H146" s="25"/>
      <c r="I146" s="25"/>
      <c r="J146" s="26" t="str">
        <f>IFERROR(WORKDAY(Table1[[#This Row],[50% IFR - 
AE]],-15), " ")</f>
        <v xml:space="preserve"> </v>
      </c>
      <c r="K146" s="26"/>
      <c r="L146" s="26"/>
      <c r="M146" s="26"/>
      <c r="N146" s="26"/>
      <c r="O146" s="26"/>
      <c r="P146" s="26"/>
      <c r="Q146" s="26"/>
      <c r="R146" s="26"/>
      <c r="S146" s="26"/>
      <c r="T146" s="26"/>
      <c r="U146" s="26"/>
      <c r="V146" s="26"/>
      <c r="W146" s="26"/>
      <c r="X146" s="64"/>
      <c r="Y146" s="114"/>
    </row>
    <row r="147" spans="1:25" ht="26.1" customHeight="1">
      <c r="A147" s="25"/>
      <c r="B147" s="49"/>
      <c r="C147" s="25"/>
      <c r="D147" s="25"/>
      <c r="E147" s="25"/>
      <c r="F147" s="25"/>
      <c r="G147" s="25"/>
      <c r="H147" s="25"/>
      <c r="I147" s="25"/>
      <c r="J147" s="26" t="str">
        <f>IFERROR(WORKDAY(Table1[[#This Row],[50% IFR - 
AE]],-15), " ")</f>
        <v xml:space="preserve"> </v>
      </c>
      <c r="K147" s="26"/>
      <c r="L147" s="26"/>
      <c r="M147" s="26"/>
      <c r="N147" s="26"/>
      <c r="O147" s="26"/>
      <c r="P147" s="26"/>
      <c r="Q147" s="26"/>
      <c r="R147" s="26"/>
      <c r="S147" s="26"/>
      <c r="T147" s="26"/>
      <c r="U147" s="26"/>
      <c r="V147" s="26"/>
      <c r="W147" s="26"/>
      <c r="X147" s="64"/>
      <c r="Y147" s="114"/>
    </row>
    <row r="148" spans="1:25" ht="26.1" customHeight="1">
      <c r="A148" s="25"/>
      <c r="B148" s="49"/>
      <c r="C148" s="25"/>
      <c r="D148" s="25"/>
      <c r="E148" s="25"/>
      <c r="F148" s="25"/>
      <c r="G148" s="25"/>
      <c r="H148" s="25"/>
      <c r="I148" s="25"/>
      <c r="J148" s="26" t="str">
        <f>IFERROR(WORKDAY(Table1[[#This Row],[50% IFR - 
AE]],-15), " ")</f>
        <v xml:space="preserve"> </v>
      </c>
      <c r="K148" s="26"/>
      <c r="L148" s="26"/>
      <c r="M148" s="26"/>
      <c r="N148" s="26"/>
      <c r="O148" s="26"/>
      <c r="P148" s="26"/>
      <c r="Q148" s="26"/>
      <c r="R148" s="26"/>
      <c r="S148" s="26"/>
      <c r="T148" s="26"/>
      <c r="U148" s="26"/>
      <c r="V148" s="26"/>
      <c r="W148" s="26"/>
      <c r="X148" s="64"/>
      <c r="Y148" s="114"/>
    </row>
    <row r="149" spans="1:25" ht="26.1" customHeight="1">
      <c r="A149" s="25"/>
      <c r="B149" s="49"/>
      <c r="C149" s="25"/>
      <c r="D149" s="25"/>
      <c r="E149" s="25"/>
      <c r="F149" s="25"/>
      <c r="G149" s="25"/>
      <c r="H149" s="25"/>
      <c r="I149" s="25"/>
      <c r="J149" s="26" t="str">
        <f>IFERROR(WORKDAY(Table1[[#This Row],[50% IFR - 
AE]],-15), " ")</f>
        <v xml:space="preserve"> </v>
      </c>
      <c r="K149" s="26"/>
      <c r="L149" s="26"/>
      <c r="M149" s="26"/>
      <c r="N149" s="26"/>
      <c r="O149" s="26"/>
      <c r="P149" s="26"/>
      <c r="Q149" s="26"/>
      <c r="R149" s="26"/>
      <c r="S149" s="26"/>
      <c r="T149" s="26"/>
      <c r="U149" s="26"/>
      <c r="V149" s="26"/>
      <c r="W149" s="26"/>
      <c r="X149" s="64"/>
      <c r="Y149" s="114"/>
    </row>
    <row r="150" spans="1:25" ht="26.1" customHeight="1">
      <c r="A150" s="25"/>
      <c r="B150" s="49"/>
      <c r="C150" s="25"/>
      <c r="D150" s="25"/>
      <c r="E150" s="25"/>
      <c r="F150" s="25"/>
      <c r="G150" s="25"/>
      <c r="H150" s="25"/>
      <c r="I150" s="25"/>
      <c r="J150" s="26" t="str">
        <f>IFERROR(WORKDAY(Table1[[#This Row],[50% IFR - 
AE]],-15), " ")</f>
        <v xml:space="preserve"> </v>
      </c>
      <c r="K150" s="26"/>
      <c r="L150" s="26"/>
      <c r="M150" s="26"/>
      <c r="N150" s="26"/>
      <c r="O150" s="26"/>
      <c r="P150" s="26"/>
      <c r="Q150" s="26"/>
      <c r="R150" s="26"/>
      <c r="S150" s="26"/>
      <c r="T150" s="26"/>
      <c r="U150" s="26"/>
      <c r="V150" s="26"/>
      <c r="W150" s="26"/>
      <c r="X150" s="64"/>
      <c r="Y150" s="114"/>
    </row>
    <row r="151" spans="1:25" ht="26.1" customHeight="1">
      <c r="A151" s="25"/>
      <c r="B151" s="49"/>
      <c r="C151" s="25"/>
      <c r="D151" s="25"/>
      <c r="E151" s="25"/>
      <c r="F151" s="25"/>
      <c r="G151" s="25"/>
      <c r="H151" s="25"/>
      <c r="I151" s="25"/>
      <c r="J151" s="26" t="str">
        <f>IFERROR(WORKDAY(Table1[[#This Row],[50% IFR - 
AE]],-15), " ")</f>
        <v xml:space="preserve"> </v>
      </c>
      <c r="K151" s="26"/>
      <c r="L151" s="26"/>
      <c r="M151" s="26"/>
      <c r="N151" s="26"/>
      <c r="O151" s="26"/>
      <c r="P151" s="26"/>
      <c r="Q151" s="26"/>
      <c r="R151" s="26"/>
      <c r="S151" s="26"/>
      <c r="T151" s="26"/>
      <c r="U151" s="26"/>
      <c r="V151" s="26"/>
      <c r="W151" s="26"/>
      <c r="X151" s="64"/>
      <c r="Y151" s="114"/>
    </row>
    <row r="152" spans="1:25" ht="26.1" customHeight="1">
      <c r="A152" s="25"/>
      <c r="B152" s="49"/>
      <c r="C152" s="25"/>
      <c r="D152" s="25"/>
      <c r="E152" s="25"/>
      <c r="F152" s="25"/>
      <c r="G152" s="25"/>
      <c r="H152" s="25"/>
      <c r="I152" s="25"/>
      <c r="J152" s="26" t="str">
        <f>IFERROR(WORKDAY(Table1[[#This Row],[50% IFR - 
AE]],-15), " ")</f>
        <v xml:space="preserve"> </v>
      </c>
      <c r="K152" s="26"/>
      <c r="L152" s="26"/>
      <c r="M152" s="26"/>
      <c r="N152" s="26"/>
      <c r="O152" s="26"/>
      <c r="P152" s="26"/>
      <c r="Q152" s="26"/>
      <c r="R152" s="26"/>
      <c r="S152" s="26"/>
      <c r="T152" s="26"/>
      <c r="U152" s="26"/>
      <c r="V152" s="26"/>
      <c r="W152" s="26"/>
      <c r="X152" s="64"/>
      <c r="Y152" s="114"/>
    </row>
    <row r="153" spans="1:25" ht="26.1" customHeight="1">
      <c r="A153" s="25"/>
      <c r="B153" s="49"/>
      <c r="C153" s="25"/>
      <c r="D153" s="25"/>
      <c r="E153" s="25"/>
      <c r="F153" s="25"/>
      <c r="G153" s="25"/>
      <c r="H153" s="25"/>
      <c r="I153" s="25"/>
      <c r="J153" s="26" t="str">
        <f>IFERROR(WORKDAY(Table1[[#This Row],[50% IFR - 
AE]],-15), " ")</f>
        <v xml:space="preserve"> </v>
      </c>
      <c r="K153" s="26"/>
      <c r="L153" s="26"/>
      <c r="M153" s="26"/>
      <c r="N153" s="26"/>
      <c r="O153" s="26"/>
      <c r="P153" s="26"/>
      <c r="Q153" s="26"/>
      <c r="R153" s="26"/>
      <c r="S153" s="26"/>
      <c r="T153" s="26"/>
      <c r="U153" s="26"/>
      <c r="V153" s="26"/>
      <c r="W153" s="26"/>
      <c r="X153" s="64"/>
      <c r="Y153" s="114"/>
    </row>
    <row r="154" spans="1:25" ht="26.1" customHeight="1">
      <c r="A154" s="25"/>
      <c r="B154" s="49"/>
      <c r="C154" s="25"/>
      <c r="D154" s="25"/>
      <c r="E154" s="25"/>
      <c r="F154" s="25"/>
      <c r="G154" s="25"/>
      <c r="H154" s="25"/>
      <c r="I154" s="25"/>
      <c r="J154" s="26" t="str">
        <f>IFERROR(WORKDAY(Table1[[#This Row],[50% IFR - 
AE]],-15), " ")</f>
        <v xml:space="preserve"> </v>
      </c>
      <c r="K154" s="26"/>
      <c r="L154" s="26"/>
      <c r="M154" s="26"/>
      <c r="N154" s="26"/>
      <c r="O154" s="26"/>
      <c r="P154" s="26"/>
      <c r="Q154" s="26"/>
      <c r="R154" s="26"/>
      <c r="S154" s="26"/>
      <c r="T154" s="26"/>
      <c r="U154" s="26"/>
      <c r="V154" s="26"/>
      <c r="W154" s="26"/>
      <c r="X154" s="64"/>
      <c r="Y154" s="114"/>
    </row>
    <row r="155" spans="1:25" ht="26.1" customHeight="1">
      <c r="A155" s="25"/>
      <c r="B155" s="49"/>
      <c r="C155" s="25"/>
      <c r="D155" s="25"/>
      <c r="E155" s="25"/>
      <c r="F155" s="25"/>
      <c r="G155" s="25"/>
      <c r="H155" s="25"/>
      <c r="I155" s="25"/>
      <c r="J155" s="26" t="str">
        <f>IFERROR(WORKDAY(Table1[[#This Row],[50% IFR - 
AE]],-15), " ")</f>
        <v xml:space="preserve"> </v>
      </c>
      <c r="K155" s="26"/>
      <c r="L155" s="26"/>
      <c r="M155" s="26"/>
      <c r="N155" s="26"/>
      <c r="O155" s="26"/>
      <c r="P155" s="26"/>
      <c r="Q155" s="26"/>
      <c r="R155" s="26"/>
      <c r="S155" s="26"/>
      <c r="T155" s="26"/>
      <c r="U155" s="26"/>
      <c r="V155" s="26"/>
      <c r="W155" s="26"/>
      <c r="X155" s="64"/>
      <c r="Y155" s="114"/>
    </row>
    <row r="156" spans="1:25" ht="26.1" customHeight="1">
      <c r="A156" s="25"/>
      <c r="B156" s="49"/>
      <c r="C156" s="25"/>
      <c r="D156" s="25"/>
      <c r="E156" s="25"/>
      <c r="F156" s="25"/>
      <c r="G156" s="25"/>
      <c r="H156" s="25"/>
      <c r="I156" s="25"/>
      <c r="J156" s="26" t="str">
        <f>IFERROR(WORKDAY(Table1[[#This Row],[50% IFR - 
AE]],-15), " ")</f>
        <v xml:space="preserve"> </v>
      </c>
      <c r="K156" s="26"/>
      <c r="L156" s="26"/>
      <c r="M156" s="26"/>
      <c r="N156" s="26"/>
      <c r="O156" s="26"/>
      <c r="P156" s="26"/>
      <c r="Q156" s="26"/>
      <c r="R156" s="26"/>
      <c r="S156" s="26"/>
      <c r="T156" s="26"/>
      <c r="U156" s="26"/>
      <c r="V156" s="26"/>
      <c r="W156" s="26"/>
      <c r="X156" s="64"/>
      <c r="Y156" s="114"/>
    </row>
    <row r="157" spans="1:25" ht="26.1" customHeight="1">
      <c r="A157" s="25"/>
      <c r="B157" s="49"/>
      <c r="C157" s="25"/>
      <c r="D157" s="25"/>
      <c r="E157" s="25"/>
      <c r="F157" s="25"/>
      <c r="G157" s="25"/>
      <c r="H157" s="25"/>
      <c r="I157" s="25"/>
      <c r="J157" s="26" t="str">
        <f>IFERROR(WORKDAY(Table1[[#This Row],[50% IFR - 
AE]],-15), " ")</f>
        <v xml:space="preserve"> </v>
      </c>
      <c r="K157" s="26"/>
      <c r="L157" s="26"/>
      <c r="M157" s="26"/>
      <c r="N157" s="26"/>
      <c r="O157" s="26"/>
      <c r="P157" s="26"/>
      <c r="Q157" s="26"/>
      <c r="R157" s="26"/>
      <c r="S157" s="26"/>
      <c r="T157" s="26"/>
      <c r="U157" s="26"/>
      <c r="V157" s="26"/>
      <c r="W157" s="26"/>
      <c r="X157" s="64"/>
      <c r="Y157" s="114"/>
    </row>
    <row r="158" spans="1:25" ht="26.1" customHeight="1">
      <c r="A158" s="25"/>
      <c r="B158" s="49"/>
      <c r="C158" s="25"/>
      <c r="D158" s="25"/>
      <c r="E158" s="25"/>
      <c r="F158" s="25"/>
      <c r="G158" s="25"/>
      <c r="H158" s="25"/>
      <c r="I158" s="25"/>
      <c r="J158" s="26" t="str">
        <f>IFERROR(WORKDAY(Table1[[#This Row],[50% IFR - 
AE]],-15), " ")</f>
        <v xml:space="preserve"> </v>
      </c>
      <c r="K158" s="26"/>
      <c r="L158" s="26"/>
      <c r="M158" s="26"/>
      <c r="N158" s="26"/>
      <c r="O158" s="26"/>
      <c r="P158" s="26"/>
      <c r="Q158" s="26"/>
      <c r="R158" s="26"/>
      <c r="S158" s="26"/>
      <c r="T158" s="26"/>
      <c r="U158" s="26"/>
      <c r="V158" s="26"/>
      <c r="W158" s="26"/>
      <c r="X158" s="64"/>
      <c r="Y158" s="114"/>
    </row>
    <row r="159" spans="1:25" ht="26.1" customHeight="1">
      <c r="A159" s="25"/>
      <c r="B159" s="49"/>
      <c r="C159" s="25"/>
      <c r="D159" s="25"/>
      <c r="E159" s="25"/>
      <c r="F159" s="25"/>
      <c r="G159" s="25"/>
      <c r="H159" s="25"/>
      <c r="I159" s="25"/>
      <c r="J159" s="26" t="str">
        <f>IFERROR(WORKDAY(Table1[[#This Row],[50% IFR - 
AE]],-15), " ")</f>
        <v xml:space="preserve"> </v>
      </c>
      <c r="K159" s="26"/>
      <c r="L159" s="26"/>
      <c r="M159" s="26"/>
      <c r="N159" s="26"/>
      <c r="O159" s="26"/>
      <c r="P159" s="26"/>
      <c r="Q159" s="26"/>
      <c r="R159" s="26"/>
      <c r="S159" s="26"/>
      <c r="T159" s="26"/>
      <c r="U159" s="26"/>
      <c r="V159" s="26"/>
      <c r="W159" s="26"/>
      <c r="X159" s="64"/>
      <c r="Y159" s="114"/>
    </row>
    <row r="160" spans="1:25" ht="26.1" customHeight="1">
      <c r="A160" s="25"/>
      <c r="B160" s="49"/>
      <c r="C160" s="25"/>
      <c r="D160" s="25"/>
      <c r="E160" s="25"/>
      <c r="F160" s="25"/>
      <c r="G160" s="25"/>
      <c r="H160" s="25"/>
      <c r="I160" s="25"/>
      <c r="J160" s="26" t="str">
        <f>IFERROR(WORKDAY(Table1[[#This Row],[50% IFR - 
AE]],-15), " ")</f>
        <v xml:space="preserve"> </v>
      </c>
      <c r="K160" s="26"/>
      <c r="L160" s="26"/>
      <c r="M160" s="26"/>
      <c r="N160" s="26"/>
      <c r="O160" s="26"/>
      <c r="P160" s="26"/>
      <c r="Q160" s="26"/>
      <c r="R160" s="26"/>
      <c r="S160" s="26"/>
      <c r="T160" s="26"/>
      <c r="U160" s="26"/>
      <c r="V160" s="26"/>
      <c r="W160" s="26"/>
      <c r="X160" s="64"/>
      <c r="Y160" s="114"/>
    </row>
    <row r="161" spans="1:25" ht="26.1" customHeight="1">
      <c r="A161" s="25"/>
      <c r="B161" s="49"/>
      <c r="C161" s="25"/>
      <c r="D161" s="25"/>
      <c r="E161" s="25"/>
      <c r="F161" s="25"/>
      <c r="G161" s="25"/>
      <c r="H161" s="25"/>
      <c r="I161" s="25"/>
      <c r="J161" s="26" t="str">
        <f>IFERROR(WORKDAY(Table1[[#This Row],[50% IFR - 
AE]],-15), " ")</f>
        <v xml:space="preserve"> </v>
      </c>
      <c r="K161" s="26"/>
      <c r="L161" s="26"/>
      <c r="M161" s="26"/>
      <c r="N161" s="26"/>
      <c r="O161" s="26"/>
      <c r="P161" s="26"/>
      <c r="Q161" s="26"/>
      <c r="R161" s="26"/>
      <c r="S161" s="26"/>
      <c r="T161" s="26"/>
      <c r="U161" s="26"/>
      <c r="V161" s="26"/>
      <c r="W161" s="26"/>
      <c r="X161" s="64"/>
      <c r="Y161" s="114"/>
    </row>
    <row r="162" spans="1:25" ht="26.1" customHeight="1">
      <c r="A162" s="25"/>
      <c r="B162" s="49"/>
      <c r="C162" s="25"/>
      <c r="D162" s="25"/>
      <c r="E162" s="25"/>
      <c r="F162" s="25"/>
      <c r="G162" s="25"/>
      <c r="H162" s="25"/>
      <c r="I162" s="25"/>
      <c r="J162" s="26" t="str">
        <f>IFERROR(WORKDAY(Table1[[#This Row],[50% IFR - 
AE]],-15), " ")</f>
        <v xml:space="preserve"> </v>
      </c>
      <c r="K162" s="26"/>
      <c r="L162" s="26"/>
      <c r="M162" s="26"/>
      <c r="N162" s="26"/>
      <c r="O162" s="26"/>
      <c r="P162" s="26"/>
      <c r="Q162" s="26"/>
      <c r="R162" s="26"/>
      <c r="S162" s="26"/>
      <c r="T162" s="26"/>
      <c r="U162" s="26"/>
      <c r="V162" s="26"/>
      <c r="W162" s="26"/>
      <c r="X162" s="64"/>
      <c r="Y162" s="114"/>
    </row>
    <row r="163" spans="1:25" ht="26.1" customHeight="1">
      <c r="A163" s="25"/>
      <c r="B163" s="49"/>
      <c r="C163" s="25"/>
      <c r="D163" s="25"/>
      <c r="E163" s="25"/>
      <c r="F163" s="25"/>
      <c r="G163" s="25"/>
      <c r="H163" s="25"/>
      <c r="I163" s="25"/>
      <c r="J163" s="26" t="str">
        <f>IFERROR(WORKDAY(Table1[[#This Row],[50% IFR - 
AE]],-15), " ")</f>
        <v xml:space="preserve"> </v>
      </c>
      <c r="K163" s="26"/>
      <c r="L163" s="26"/>
      <c r="M163" s="26"/>
      <c r="N163" s="26"/>
      <c r="O163" s="26"/>
      <c r="P163" s="26"/>
      <c r="Q163" s="26"/>
      <c r="R163" s="26"/>
      <c r="S163" s="26"/>
      <c r="T163" s="26"/>
      <c r="U163" s="26"/>
      <c r="V163" s="26"/>
      <c r="W163" s="26"/>
      <c r="X163" s="64"/>
      <c r="Y163" s="114"/>
    </row>
    <row r="164" spans="1:25" ht="26.1" customHeight="1">
      <c r="A164" s="25"/>
      <c r="B164" s="49"/>
      <c r="C164" s="25"/>
      <c r="D164" s="25"/>
      <c r="E164" s="25"/>
      <c r="F164" s="25"/>
      <c r="G164" s="25"/>
      <c r="H164" s="25"/>
      <c r="I164" s="25"/>
      <c r="J164" s="26" t="str">
        <f>IFERROR(WORKDAY(Table1[[#This Row],[50% IFR - 
AE]],-15), " ")</f>
        <v xml:space="preserve"> </v>
      </c>
      <c r="K164" s="26"/>
      <c r="L164" s="26"/>
      <c r="M164" s="26"/>
      <c r="N164" s="26"/>
      <c r="O164" s="26"/>
      <c r="P164" s="26"/>
      <c r="Q164" s="26"/>
      <c r="R164" s="26"/>
      <c r="S164" s="26"/>
      <c r="T164" s="26"/>
      <c r="U164" s="26"/>
      <c r="V164" s="26"/>
      <c r="W164" s="26"/>
      <c r="X164" s="64"/>
      <c r="Y164" s="114"/>
    </row>
    <row r="165" spans="1:25" ht="26.1" customHeight="1">
      <c r="A165" s="25"/>
      <c r="B165" s="49"/>
      <c r="C165" s="25"/>
      <c r="D165" s="25"/>
      <c r="E165" s="25"/>
      <c r="F165" s="25"/>
      <c r="G165" s="25"/>
      <c r="H165" s="25"/>
      <c r="I165" s="25"/>
      <c r="J165" s="26" t="str">
        <f>IFERROR(WORKDAY(Table1[[#This Row],[50% IFR - 
AE]],-15), " ")</f>
        <v xml:space="preserve"> </v>
      </c>
      <c r="K165" s="26"/>
      <c r="L165" s="26"/>
      <c r="M165" s="26"/>
      <c r="N165" s="26"/>
      <c r="O165" s="26"/>
      <c r="P165" s="26"/>
      <c r="Q165" s="26"/>
      <c r="R165" s="26"/>
      <c r="S165" s="26"/>
      <c r="T165" s="26"/>
      <c r="U165" s="26"/>
      <c r="V165" s="26"/>
      <c r="W165" s="26"/>
      <c r="X165" s="64"/>
      <c r="Y165" s="114"/>
    </row>
    <row r="166" spans="1:25" ht="26.1" customHeight="1">
      <c r="A166" s="25"/>
      <c r="B166" s="49"/>
      <c r="C166" s="25"/>
      <c r="D166" s="25"/>
      <c r="E166" s="25"/>
      <c r="F166" s="25"/>
      <c r="G166" s="25"/>
      <c r="H166" s="25"/>
      <c r="I166" s="25"/>
      <c r="J166" s="26" t="str">
        <f>IFERROR(WORKDAY(Table1[[#This Row],[50% IFR - 
AE]],-15), " ")</f>
        <v xml:space="preserve"> </v>
      </c>
      <c r="K166" s="26"/>
      <c r="L166" s="26"/>
      <c r="M166" s="26"/>
      <c r="N166" s="26"/>
      <c r="O166" s="26"/>
      <c r="P166" s="26"/>
      <c r="Q166" s="26"/>
      <c r="R166" s="26"/>
      <c r="S166" s="26"/>
      <c r="T166" s="26"/>
      <c r="U166" s="26"/>
      <c r="V166" s="26"/>
      <c r="W166" s="26"/>
      <c r="X166" s="64"/>
      <c r="Y166" s="114"/>
    </row>
    <row r="167" spans="1:25" ht="26.1" customHeight="1">
      <c r="A167" s="25"/>
      <c r="B167" s="49"/>
      <c r="C167" s="25"/>
      <c r="D167" s="25"/>
      <c r="E167" s="25"/>
      <c r="F167" s="25"/>
      <c r="G167" s="25"/>
      <c r="H167" s="25"/>
      <c r="I167" s="25"/>
      <c r="J167" s="26" t="str">
        <f>IFERROR(WORKDAY(Table1[[#This Row],[50% IFR - 
AE]],-15), " ")</f>
        <v xml:space="preserve"> </v>
      </c>
      <c r="K167" s="26"/>
      <c r="L167" s="26"/>
      <c r="M167" s="26"/>
      <c r="N167" s="26"/>
      <c r="O167" s="26"/>
      <c r="P167" s="26"/>
      <c r="Q167" s="26"/>
      <c r="R167" s="26"/>
      <c r="S167" s="26"/>
      <c r="T167" s="26"/>
      <c r="U167" s="26"/>
      <c r="V167" s="26"/>
      <c r="W167" s="26"/>
      <c r="X167" s="64"/>
      <c r="Y167" s="114"/>
    </row>
    <row r="168" spans="1:25" ht="26.1" customHeight="1">
      <c r="A168" s="25"/>
      <c r="B168" s="49"/>
      <c r="C168" s="25"/>
      <c r="D168" s="25"/>
      <c r="E168" s="25"/>
      <c r="F168" s="25"/>
      <c r="G168" s="25"/>
      <c r="H168" s="25"/>
      <c r="I168" s="25"/>
      <c r="J168" s="26" t="str">
        <f>IFERROR(WORKDAY(Table1[[#This Row],[50% IFR - 
AE]],-15), " ")</f>
        <v xml:space="preserve"> </v>
      </c>
      <c r="K168" s="26"/>
      <c r="L168" s="26"/>
      <c r="M168" s="26"/>
      <c r="N168" s="26"/>
      <c r="O168" s="26"/>
      <c r="P168" s="26"/>
      <c r="Q168" s="26"/>
      <c r="R168" s="26"/>
      <c r="S168" s="26"/>
      <c r="T168" s="26"/>
      <c r="U168" s="26"/>
      <c r="V168" s="26"/>
      <c r="W168" s="26"/>
      <c r="X168" s="64"/>
      <c r="Y168" s="114"/>
    </row>
    <row r="169" spans="1:25" ht="26.1" customHeight="1">
      <c r="A169" s="25"/>
      <c r="B169" s="49"/>
      <c r="C169" s="25"/>
      <c r="D169" s="25"/>
      <c r="E169" s="25"/>
      <c r="F169" s="25"/>
      <c r="G169" s="25"/>
      <c r="H169" s="25"/>
      <c r="I169" s="25"/>
      <c r="J169" s="26" t="str">
        <f>IFERROR(WORKDAY(Table1[[#This Row],[50% IFR - 
AE]],-15), " ")</f>
        <v xml:space="preserve"> </v>
      </c>
      <c r="K169" s="26"/>
      <c r="L169" s="26"/>
      <c r="M169" s="26"/>
      <c r="N169" s="26"/>
      <c r="O169" s="26"/>
      <c r="P169" s="26"/>
      <c r="Q169" s="26"/>
      <c r="R169" s="26"/>
      <c r="S169" s="26"/>
      <c r="T169" s="26"/>
      <c r="U169" s="26"/>
      <c r="V169" s="26"/>
      <c r="W169" s="26"/>
      <c r="X169" s="64"/>
      <c r="Y169" s="114"/>
    </row>
    <row r="170" spans="1:25" ht="26.1" customHeight="1">
      <c r="A170" s="25"/>
      <c r="B170" s="49"/>
      <c r="C170" s="25"/>
      <c r="D170" s="25"/>
      <c r="E170" s="25"/>
      <c r="F170" s="25"/>
      <c r="G170" s="25"/>
      <c r="H170" s="25"/>
      <c r="I170" s="25"/>
      <c r="J170" s="26" t="str">
        <f>IFERROR(WORKDAY(Table1[[#This Row],[50% IFR - 
AE]],-15), " ")</f>
        <v xml:space="preserve"> </v>
      </c>
      <c r="K170" s="26"/>
      <c r="L170" s="26"/>
      <c r="M170" s="26"/>
      <c r="N170" s="26"/>
      <c r="O170" s="26"/>
      <c r="P170" s="26"/>
      <c r="Q170" s="26"/>
      <c r="R170" s="26"/>
      <c r="S170" s="26"/>
      <c r="T170" s="26"/>
      <c r="U170" s="26"/>
      <c r="V170" s="26"/>
      <c r="W170" s="26"/>
      <c r="X170" s="64"/>
      <c r="Y170" s="114"/>
    </row>
    <row r="171" spans="1:25" ht="26.1" customHeight="1">
      <c r="A171" s="19"/>
      <c r="B171" s="55"/>
      <c r="C171" s="19"/>
      <c r="D171" s="19"/>
      <c r="E171" s="19"/>
      <c r="F171" s="19"/>
      <c r="G171" s="19"/>
      <c r="H171" s="19"/>
      <c r="I171" s="25"/>
      <c r="J171" s="26" t="str">
        <f>IFERROR(WORKDAY(Table1[[#This Row],[50% IFR - 
AE]],-15), " ")</f>
        <v xml:space="preserve"> </v>
      </c>
      <c r="K171" s="26"/>
      <c r="L171" s="26"/>
      <c r="M171" s="26"/>
      <c r="N171" s="26"/>
      <c r="O171" s="26"/>
      <c r="P171" s="26"/>
      <c r="Q171" s="26"/>
      <c r="R171" s="26"/>
      <c r="S171" s="26"/>
      <c r="T171" s="26"/>
      <c r="U171" s="26"/>
      <c r="V171" s="26"/>
      <c r="W171" s="26"/>
      <c r="X171" s="64"/>
      <c r="Y171" s="114"/>
    </row>
    <row r="172" spans="1:25" ht="26.1" customHeight="1">
      <c r="A172" s="19"/>
      <c r="B172" s="55"/>
      <c r="C172" s="19"/>
      <c r="D172" s="19"/>
      <c r="E172" s="19"/>
      <c r="F172" s="19"/>
      <c r="G172" s="19"/>
      <c r="H172" s="19"/>
      <c r="I172" s="19"/>
      <c r="J172" s="20" t="str">
        <f>IFERROR(WORKDAY(Table1[[#This Row],[50% IFR - 
AE]],-15), " ")</f>
        <v xml:space="preserve"> </v>
      </c>
      <c r="K172" s="20"/>
      <c r="L172" s="20"/>
      <c r="M172" s="20"/>
      <c r="N172" s="20"/>
      <c r="O172" s="20"/>
      <c r="P172" s="20"/>
      <c r="Q172" s="20"/>
      <c r="R172" s="20"/>
      <c r="S172" s="20"/>
      <c r="T172" s="20"/>
      <c r="U172" s="20"/>
      <c r="V172" s="20"/>
      <c r="W172" s="20"/>
      <c r="X172" s="65"/>
      <c r="Y172" s="115"/>
    </row>
    <row r="173" spans="1:25" ht="26.1" customHeight="1">
      <c r="A173" s="19"/>
      <c r="B173" s="55"/>
      <c r="C173" s="19"/>
      <c r="D173" s="19"/>
      <c r="E173" s="19"/>
      <c r="F173" s="19"/>
      <c r="G173" s="19"/>
      <c r="H173" s="19"/>
      <c r="I173" s="19"/>
      <c r="J173" s="20" t="str">
        <f>IFERROR(WORKDAY(Table1[[#This Row],[50% IFR - 
AE]],-15), " ")</f>
        <v xml:space="preserve"> </v>
      </c>
      <c r="K173" s="20"/>
      <c r="L173" s="20"/>
      <c r="M173" s="20"/>
      <c r="N173" s="20"/>
      <c r="O173" s="20"/>
      <c r="P173" s="20"/>
      <c r="Q173" s="20"/>
      <c r="R173" s="20"/>
      <c r="S173" s="20"/>
      <c r="T173" s="20"/>
      <c r="U173" s="20"/>
      <c r="V173" s="20"/>
      <c r="W173" s="20"/>
      <c r="X173" s="65"/>
      <c r="Y173" s="115"/>
    </row>
    <row r="174" spans="1:25" ht="26.1" customHeight="1">
      <c r="A174" s="19"/>
      <c r="B174" s="55"/>
      <c r="C174" s="19"/>
      <c r="D174" s="19"/>
      <c r="E174" s="19"/>
      <c r="F174" s="19"/>
      <c r="G174" s="19"/>
      <c r="H174" s="19"/>
      <c r="I174" s="19"/>
      <c r="J174" s="20" t="str">
        <f>IFERROR(WORKDAY(Table1[[#This Row],[50% IFR - 
AE]],-15), " ")</f>
        <v xml:space="preserve"> </v>
      </c>
      <c r="K174" s="20"/>
      <c r="L174" s="20"/>
      <c r="M174" s="20"/>
      <c r="N174" s="20"/>
      <c r="O174" s="20"/>
      <c r="P174" s="20"/>
      <c r="Q174" s="20"/>
      <c r="R174" s="20"/>
      <c r="S174" s="20"/>
      <c r="T174" s="20"/>
      <c r="U174" s="20"/>
      <c r="V174" s="20"/>
      <c r="W174" s="20"/>
      <c r="X174" s="65"/>
      <c r="Y174" s="115"/>
    </row>
    <row r="175" spans="1:25" ht="26.1" customHeight="1">
      <c r="A175" s="19"/>
      <c r="B175" s="55"/>
      <c r="C175" s="19"/>
      <c r="D175" s="19"/>
      <c r="E175" s="19"/>
      <c r="F175" s="19"/>
      <c r="G175" s="19"/>
      <c r="H175" s="19"/>
      <c r="I175" s="19"/>
      <c r="J175" s="20" t="str">
        <f>IFERROR(WORKDAY(Table1[[#This Row],[50% IFR - 
AE]],-15), " ")</f>
        <v xml:space="preserve"> </v>
      </c>
      <c r="K175" s="20"/>
      <c r="L175" s="20"/>
      <c r="M175" s="20"/>
      <c r="N175" s="20"/>
      <c r="O175" s="20"/>
      <c r="P175" s="20"/>
      <c r="Q175" s="20"/>
      <c r="R175" s="20"/>
      <c r="S175" s="20"/>
      <c r="T175" s="20"/>
      <c r="U175" s="20"/>
      <c r="V175" s="20"/>
      <c r="W175" s="20"/>
      <c r="X175" s="65"/>
      <c r="Y175" s="115"/>
    </row>
    <row r="176" spans="1:25" ht="26.1" customHeight="1">
      <c r="A176" s="19"/>
      <c r="B176" s="55"/>
      <c r="C176" s="19"/>
      <c r="D176" s="19"/>
      <c r="E176" s="19"/>
      <c r="F176" s="19"/>
      <c r="G176" s="19"/>
      <c r="H176" s="19"/>
      <c r="I176" s="19"/>
      <c r="J176" s="20" t="str">
        <f>IFERROR(WORKDAY(Table1[[#This Row],[50% IFR - 
AE]],-15), " ")</f>
        <v xml:space="preserve"> </v>
      </c>
      <c r="K176" s="20"/>
      <c r="L176" s="20"/>
      <c r="M176" s="20"/>
      <c r="N176" s="20"/>
      <c r="O176" s="20"/>
      <c r="P176" s="20"/>
      <c r="Q176" s="20"/>
      <c r="R176" s="20"/>
      <c r="S176" s="20"/>
      <c r="T176" s="20"/>
      <c r="U176" s="20"/>
      <c r="V176" s="20"/>
      <c r="W176" s="20"/>
      <c r="X176" s="65"/>
      <c r="Y176" s="115"/>
    </row>
    <row r="177" spans="1:25" ht="26.1" customHeight="1">
      <c r="A177" s="19"/>
      <c r="B177" s="55"/>
      <c r="C177" s="19"/>
      <c r="D177" s="19"/>
      <c r="E177" s="19"/>
      <c r="F177" s="19"/>
      <c r="G177" s="19"/>
      <c r="H177" s="19"/>
      <c r="I177" s="19"/>
      <c r="J177" s="20" t="str">
        <f>IFERROR(WORKDAY(Table1[[#This Row],[50% IFR - 
AE]],-15), " ")</f>
        <v xml:space="preserve"> </v>
      </c>
      <c r="K177" s="20"/>
      <c r="L177" s="20"/>
      <c r="M177" s="20"/>
      <c r="N177" s="20"/>
      <c r="O177" s="20"/>
      <c r="P177" s="20"/>
      <c r="Q177" s="20"/>
      <c r="R177" s="20"/>
      <c r="S177" s="20"/>
      <c r="T177" s="20"/>
      <c r="U177" s="20"/>
      <c r="V177" s="20"/>
      <c r="W177" s="20"/>
      <c r="X177" s="65"/>
      <c r="Y177" s="115"/>
    </row>
    <row r="178" spans="1:25" ht="26.1" customHeight="1">
      <c r="A178" s="19"/>
      <c r="B178" s="55"/>
      <c r="C178" s="19"/>
      <c r="D178" s="19"/>
      <c r="E178" s="19"/>
      <c r="F178" s="19"/>
      <c r="G178" s="19"/>
      <c r="H178" s="19"/>
      <c r="I178" s="19"/>
      <c r="J178" s="20" t="str">
        <f>IFERROR(WORKDAY(Table1[[#This Row],[50% IFR - 
AE]],-15), " ")</f>
        <v xml:space="preserve"> </v>
      </c>
      <c r="K178" s="20"/>
      <c r="L178" s="20"/>
      <c r="M178" s="20"/>
      <c r="N178" s="20"/>
      <c r="O178" s="20"/>
      <c r="P178" s="20"/>
      <c r="Q178" s="20"/>
      <c r="R178" s="20"/>
      <c r="S178" s="20"/>
      <c r="T178" s="20"/>
      <c r="U178" s="20"/>
      <c r="V178" s="20"/>
      <c r="W178" s="20"/>
      <c r="X178" s="65"/>
      <c r="Y178" s="115"/>
    </row>
    <row r="179" spans="1:25" ht="26.1" customHeight="1">
      <c r="A179" s="19"/>
      <c r="B179" s="55"/>
      <c r="C179" s="19"/>
      <c r="D179" s="19"/>
      <c r="E179" s="19"/>
      <c r="F179" s="19"/>
      <c r="G179" s="19"/>
      <c r="H179" s="19"/>
      <c r="I179" s="19"/>
      <c r="J179" s="20" t="str">
        <f>IFERROR(WORKDAY(Table1[[#This Row],[50% IFR - 
AE]],-15), " ")</f>
        <v xml:space="preserve"> </v>
      </c>
      <c r="K179" s="20"/>
      <c r="L179" s="20"/>
      <c r="M179" s="20"/>
      <c r="N179" s="20"/>
      <c r="O179" s="20"/>
      <c r="P179" s="20"/>
      <c r="Q179" s="20"/>
      <c r="R179" s="20"/>
      <c r="S179" s="20"/>
      <c r="T179" s="20"/>
      <c r="U179" s="20"/>
      <c r="V179" s="20"/>
      <c r="W179" s="20"/>
      <c r="X179" s="65"/>
      <c r="Y179" s="115"/>
    </row>
    <row r="180" spans="1:25" ht="26.1" customHeight="1">
      <c r="A180" s="19"/>
      <c r="B180" s="55"/>
      <c r="C180" s="19"/>
      <c r="D180" s="19"/>
      <c r="E180" s="19"/>
      <c r="F180" s="19"/>
      <c r="G180" s="19"/>
      <c r="H180" s="19"/>
      <c r="I180" s="19"/>
      <c r="J180" s="20" t="str">
        <f>IFERROR(WORKDAY(Table1[[#This Row],[50% IFR - 
AE]],-15), " ")</f>
        <v xml:space="preserve"> </v>
      </c>
      <c r="K180" s="20"/>
      <c r="L180" s="20"/>
      <c r="M180" s="20"/>
      <c r="N180" s="20"/>
      <c r="O180" s="20"/>
      <c r="P180" s="20"/>
      <c r="Q180" s="20"/>
      <c r="R180" s="20"/>
      <c r="S180" s="20"/>
      <c r="T180" s="20"/>
      <c r="U180" s="20"/>
      <c r="V180" s="20"/>
      <c r="W180" s="20"/>
      <c r="X180" s="65"/>
      <c r="Y180" s="115"/>
    </row>
    <row r="181" spans="1:25" ht="26.1" customHeight="1">
      <c r="A181" s="19"/>
      <c r="B181" s="55"/>
      <c r="C181" s="19"/>
      <c r="D181" s="19"/>
      <c r="E181" s="19"/>
      <c r="F181" s="19"/>
      <c r="G181" s="19"/>
      <c r="H181" s="19"/>
      <c r="I181" s="19"/>
      <c r="J181" s="20" t="str">
        <f>IFERROR(WORKDAY(Table1[[#This Row],[50% IFR - 
AE]],-15), " ")</f>
        <v xml:space="preserve"> </v>
      </c>
      <c r="K181" s="20"/>
      <c r="L181" s="20"/>
      <c r="M181" s="20"/>
      <c r="N181" s="20"/>
      <c r="O181" s="20"/>
      <c r="P181" s="20"/>
      <c r="Q181" s="20"/>
      <c r="R181" s="20"/>
      <c r="S181" s="20"/>
      <c r="T181" s="20"/>
      <c r="U181" s="20"/>
      <c r="V181" s="20"/>
      <c r="W181" s="20"/>
      <c r="X181" s="65"/>
      <c r="Y181" s="115"/>
    </row>
    <row r="182" spans="1:25" ht="26.1" customHeight="1">
      <c r="A182" s="19"/>
      <c r="B182" s="55"/>
      <c r="C182" s="19"/>
      <c r="D182" s="19"/>
      <c r="E182" s="19"/>
      <c r="F182" s="19"/>
      <c r="G182" s="19"/>
      <c r="H182" s="19"/>
      <c r="I182" s="19"/>
      <c r="J182" s="20" t="str">
        <f>IFERROR(WORKDAY(Table1[[#This Row],[50% IFR - 
AE]],-15), " ")</f>
        <v xml:space="preserve"> </v>
      </c>
      <c r="K182" s="20"/>
      <c r="L182" s="20"/>
      <c r="M182" s="20"/>
      <c r="N182" s="20"/>
      <c r="O182" s="20"/>
      <c r="P182" s="20"/>
      <c r="Q182" s="20"/>
      <c r="R182" s="20"/>
      <c r="S182" s="20"/>
      <c r="T182" s="20"/>
      <c r="U182" s="20"/>
      <c r="V182" s="20"/>
      <c r="W182" s="20"/>
      <c r="X182" s="65"/>
      <c r="Y182" s="115"/>
    </row>
    <row r="183" spans="1:25" ht="26.1" customHeight="1">
      <c r="A183" s="19"/>
      <c r="B183" s="55"/>
      <c r="C183" s="19"/>
      <c r="D183" s="19"/>
      <c r="E183" s="19"/>
      <c r="F183" s="19"/>
      <c r="G183" s="19"/>
      <c r="H183" s="19"/>
      <c r="I183" s="19"/>
      <c r="J183" s="20" t="str">
        <f>IFERROR(WORKDAY(Table1[[#This Row],[50% IFR - 
AE]],-15), " ")</f>
        <v xml:space="preserve"> </v>
      </c>
      <c r="K183" s="20"/>
      <c r="L183" s="20"/>
      <c r="M183" s="20"/>
      <c r="N183" s="20"/>
      <c r="O183" s="20"/>
      <c r="P183" s="20"/>
      <c r="Q183" s="20"/>
      <c r="R183" s="20"/>
      <c r="S183" s="20"/>
      <c r="T183" s="20"/>
      <c r="U183" s="20"/>
      <c r="V183" s="20"/>
      <c r="W183" s="20"/>
      <c r="X183" s="65"/>
      <c r="Y183" s="115"/>
    </row>
    <row r="184" spans="1:25" ht="26.1" customHeight="1">
      <c r="A184" s="19"/>
      <c r="B184" s="55"/>
      <c r="C184" s="19"/>
      <c r="D184" s="19"/>
      <c r="E184" s="19"/>
      <c r="F184" s="19"/>
      <c r="G184" s="19"/>
      <c r="H184" s="19"/>
      <c r="I184" s="19"/>
      <c r="J184" s="20" t="str">
        <f>IFERROR(WORKDAY(Table1[[#This Row],[50% IFR - 
AE]],-15), " ")</f>
        <v xml:space="preserve"> </v>
      </c>
      <c r="K184" s="20"/>
      <c r="L184" s="20"/>
      <c r="M184" s="20"/>
      <c r="N184" s="20"/>
      <c r="O184" s="20"/>
      <c r="P184" s="20"/>
      <c r="Q184" s="20"/>
      <c r="R184" s="20"/>
      <c r="S184" s="20"/>
      <c r="T184" s="20"/>
      <c r="U184" s="20"/>
      <c r="V184" s="20"/>
      <c r="W184" s="20"/>
      <c r="X184" s="65"/>
      <c r="Y184" s="115"/>
    </row>
    <row r="185" spans="1:25" ht="26.1" customHeight="1">
      <c r="A185" s="19"/>
      <c r="B185" s="55"/>
      <c r="C185" s="19"/>
      <c r="D185" s="19"/>
      <c r="E185" s="19"/>
      <c r="F185" s="19"/>
      <c r="G185" s="19"/>
      <c r="H185" s="19"/>
      <c r="I185" s="19"/>
      <c r="J185" s="20" t="str">
        <f>IFERROR(WORKDAY(Table1[[#This Row],[50% IFR - 
AE]],-15), " ")</f>
        <v xml:space="preserve"> </v>
      </c>
      <c r="K185" s="20"/>
      <c r="L185" s="20"/>
      <c r="M185" s="20"/>
      <c r="N185" s="20"/>
      <c r="O185" s="20"/>
      <c r="P185" s="20"/>
      <c r="Q185" s="20"/>
      <c r="R185" s="20"/>
      <c r="S185" s="20"/>
      <c r="T185" s="20"/>
      <c r="U185" s="20"/>
      <c r="V185" s="20"/>
      <c r="W185" s="20"/>
      <c r="X185" s="65"/>
      <c r="Y185" s="115"/>
    </row>
    <row r="186" spans="1:25" ht="26.1" customHeight="1">
      <c r="A186" s="53"/>
      <c r="B186" s="56"/>
      <c r="C186" s="53"/>
      <c r="D186" s="53"/>
      <c r="E186" s="53"/>
      <c r="F186" s="53"/>
      <c r="G186" s="53"/>
      <c r="H186" s="53"/>
      <c r="I186" s="53"/>
      <c r="J186" s="54" t="str">
        <f>IFERROR(WORKDAY(Table1[[#This Row],[50% IFR - 
AE]],-15), " ")</f>
        <v xml:space="preserve"> </v>
      </c>
      <c r="K186" s="54"/>
      <c r="L186" s="54"/>
      <c r="M186" s="54"/>
      <c r="N186" s="54"/>
      <c r="O186" s="54"/>
      <c r="P186" s="54"/>
      <c r="Q186" s="54"/>
      <c r="R186" s="54"/>
      <c r="S186" s="54"/>
      <c r="T186" s="54"/>
      <c r="U186" s="54"/>
      <c r="V186" s="54"/>
      <c r="W186" s="54"/>
      <c r="X186" s="66"/>
      <c r="Y186" s="116"/>
    </row>
  </sheetData>
  <sortState xmlns:xlrd2="http://schemas.microsoft.com/office/spreadsheetml/2017/richdata2" ref="A9:Y85">
    <sortCondition descending="1" ref="D9:D85"/>
    <sortCondition ref="A9:A85"/>
  </sortState>
  <conditionalFormatting sqref="J2:U304">
    <cfRule type="timePeriod" dxfId="37" priority="1" timePeriod="lastWeek">
      <formula>AND(TODAY()-ROUNDDOWN(J2,0)&gt;=(WEEKDAY(TODAY())),TODAY()-ROUNDDOWN(J2,0)&lt;(WEEKDAY(TODAY())+7))</formula>
    </cfRule>
    <cfRule type="timePeriod" dxfId="36" priority="42" timePeriod="lastMonth">
      <formula>AND(MONTH(J2)=MONTH(EDATE(TODAY(),0-1)),YEAR(J2)=YEAR(EDATE(TODAY(),0-1)))</formula>
    </cfRule>
    <cfRule type="timePeriod" dxfId="35" priority="44" timePeriod="nextWeek">
      <formula>AND(ROUNDDOWN(J2,0)-TODAY()&gt;(7-WEEKDAY(TODAY())),ROUNDDOWN(J2,0)-TODAY()&lt;(15-WEEKDAY(TODAY())))</formula>
    </cfRule>
    <cfRule type="timePeriod" dxfId="34" priority="45" timePeriod="thisWeek">
      <formula>AND(TODAY()-ROUNDDOWN(J2,0)&lt;=WEEKDAY(TODAY())-1,ROUNDDOWN(J2,0)-TODAY()&lt;=7-WEEKDAY(TODAY()))</formula>
    </cfRule>
    <cfRule type="containsText" dxfId="33" priority="46" operator="containsText" text="complete">
      <formula>NOT(ISERROR(SEARCH("complete",J2)))</formula>
    </cfRule>
  </conditionalFormatting>
  <hyperlinks>
    <hyperlink ref="F120" r:id="rId1" xr:uid="{9A5BF9C0-9856-45E1-BDC8-8BC765A1AE1F}"/>
    <hyperlink ref="F130" r:id="rId2" xr:uid="{8D29EF12-B781-4FA5-BD1C-B1C62CB17B63}"/>
    <hyperlink ref="F132" r:id="rId3" xr:uid="{A6DD37DE-54A9-411D-9252-D974534626FE}"/>
    <hyperlink ref="F116" r:id="rId4" xr:uid="{B74FD763-D4EF-4295-82C5-9BA383663DBC}"/>
    <hyperlink ref="F96" r:id="rId5" xr:uid="{CD22C941-8520-4671-AFB0-B182BE596CFD}"/>
    <hyperlink ref="F104" r:id="rId6" xr:uid="{5972FFAB-2561-4613-8975-4186D891C909}"/>
    <hyperlink ref="F46" r:id="rId7" xr:uid="{D4F32B51-AFD0-4E97-85F7-7337415F0F85}"/>
    <hyperlink ref="F85" r:id="rId8" xr:uid="{131A1C75-9139-4A45-94A3-099BFEB13EFC}"/>
    <hyperlink ref="F32" r:id="rId9" xr:uid="{332A1E31-477D-419B-9835-5D4F86EBD626}"/>
    <hyperlink ref="F34" r:id="rId10" xr:uid="{8DBE9F0F-0444-4567-9BC7-BD0265912793}"/>
    <hyperlink ref="F36" r:id="rId11" xr:uid="{1411842F-724F-4CA3-8F5A-23825B5C15FA}"/>
    <hyperlink ref="F40" r:id="rId12" xr:uid="{A60D682E-7E07-4BC1-977F-8414F6442778}"/>
    <hyperlink ref="F41" r:id="rId13" xr:uid="{56EF9C1E-2C80-4B4F-A1C2-01A7C07E0207}"/>
    <hyperlink ref="F42" r:id="rId14" xr:uid="{42863C7D-F389-4D31-9342-221F96CA5B4C}"/>
    <hyperlink ref="F43" r:id="rId15" xr:uid="{AA52A611-4A2D-4C43-82D1-CACC58F1DC7B}"/>
    <hyperlink ref="F44" r:id="rId16" xr:uid="{FE0CC798-F6EF-4C74-94DB-535D343CA1DB}"/>
    <hyperlink ref="F114" r:id="rId17" xr:uid="{B6B6B80F-6BBE-4D2C-989B-0A297B973E34}"/>
    <hyperlink ref="F62" r:id="rId18" xr:uid="{1C0A869A-269C-4896-81ED-613B2851D904}"/>
    <hyperlink ref="F66" r:id="rId19" xr:uid="{76989644-A544-4119-8235-3239665D7374}"/>
    <hyperlink ref="F14" r:id="rId20" xr:uid="{1A2FADE3-414D-41C2-BDC4-6D0E499B1DC9}"/>
    <hyperlink ref="F76" r:id="rId21" xr:uid="{7F135FC7-E958-48FF-898D-74AAD36BBA6F}"/>
    <hyperlink ref="F38" r:id="rId22" xr:uid="{DA6DD98A-6579-4475-94AA-97FD4FCD460A}"/>
    <hyperlink ref="F82" r:id="rId23" xr:uid="{EF1D9BBB-5DD5-4B0A-93D4-B3407CCB9001}"/>
    <hyperlink ref="F8" r:id="rId24" xr:uid="{8C7AA4E9-9878-46C5-857D-3629A476E47A}"/>
    <hyperlink ref="F121" r:id="rId25" display="mailto:Kristin.McCue@jacobs.com" xr:uid="{C8BA3F54-8BFF-44F5-BEB4-65AF1F846981}"/>
    <hyperlink ref="F129" r:id="rId26" display="mailto:SAkbari@morrisonhershfield.com" xr:uid="{1528F034-6F42-4B3C-93D3-39763B685D0C}"/>
    <hyperlink ref="F81" r:id="rId27" display="mailto:hhernandez@ha-ny.com" xr:uid="{4C8B0C8F-0615-498D-BD3A-5C01D5A37B16}"/>
    <hyperlink ref="F47" r:id="rId28" display="mailto:cmendell@esdglobal.com" xr:uid="{4C7C9C3E-9DA0-4722-B41D-A05022539B22}"/>
    <hyperlink ref="F56" r:id="rId29" display="mailto:LPercy@morrisonhershfield.com" xr:uid="{63DD1CF7-0E15-4FC1-BFC2-148DC46BC548}"/>
    <hyperlink ref="F26" r:id="rId30" xr:uid="{51ABE436-E35E-422E-9628-7A8FC0701A05}"/>
    <hyperlink ref="F30" r:id="rId31" xr:uid="{86B85851-1271-40E7-820E-A79C1BD23AF7}"/>
    <hyperlink ref="F51" r:id="rId32" xr:uid="{E5D210DB-0F6B-4C28-A1F9-81E3758626D8}"/>
    <hyperlink ref="F84" r:id="rId33" xr:uid="{812003C3-1EE8-4347-85B9-E726C6183D8C}"/>
    <hyperlink ref="F9" r:id="rId34" xr:uid="{F19A9C90-2DB2-4AE2-8D6D-6B6DC7C900A3}"/>
    <hyperlink ref="F2" r:id="rId35" xr:uid="{2DCFDDE2-D503-47A7-9DD3-67E9A126584A}"/>
    <hyperlink ref="F53" r:id="rId36" xr:uid="{93DBF985-05BB-4309-A0A1-23AB434BDADA}"/>
    <hyperlink ref="F28" r:id="rId37" xr:uid="{9553702B-C9D0-48A8-AA3C-270FE58BED63}"/>
    <hyperlink ref="F111" r:id="rId38" xr:uid="{61353F55-2CE4-4D89-A22D-B22652A7B305}"/>
    <hyperlink ref="F7" r:id="rId39" xr:uid="{891D8E6F-1D82-4385-B395-4BD165D0A040}"/>
    <hyperlink ref="F21" r:id="rId40" xr:uid="{19DA10F7-0B39-433E-B8B5-CD1DB0AB92F2}"/>
    <hyperlink ref="F87" r:id="rId41" xr:uid="{8035F7FB-452D-4952-BF92-F216CCCEC64C}"/>
    <hyperlink ref="F88" r:id="rId42" xr:uid="{A8CA8CAA-DC78-419A-AEC8-71767F0599E6}"/>
    <hyperlink ref="F45" r:id="rId43" xr:uid="{A20D137C-1DC0-4C1B-A190-6F800AD0DA20}"/>
    <hyperlink ref="F10" r:id="rId44" xr:uid="{6B069550-E43F-4DB7-AC49-AC4673D5DF5B}"/>
    <hyperlink ref="F115" r:id="rId45" xr:uid="{85750BF0-F24B-4989-B801-FD6FB6218B35}"/>
    <hyperlink ref="F110" r:id="rId46" xr:uid="{26A4D830-B902-4B58-B7AE-A08D75F8DC84}"/>
    <hyperlink ref="F11" r:id="rId47" xr:uid="{11A23AC9-E87B-4C99-B2A4-9664B8D7DFB5}"/>
    <hyperlink ref="F12" r:id="rId48" xr:uid="{FFC367D1-6BED-4286-8F07-8C872C5541E7}"/>
    <hyperlink ref="F13" r:id="rId49" xr:uid="{60685B16-779B-4110-85B3-9A704C470C54}"/>
    <hyperlink ref="F15" r:id="rId50" xr:uid="{727073D9-548E-49BD-8C3D-896E0232D4FA}"/>
    <hyperlink ref="F97" r:id="rId51" xr:uid="{CE9539F6-163D-496C-A056-527992460E36}"/>
    <hyperlink ref="F50" r:id="rId52" xr:uid="{D98144F1-F399-4D63-A6E9-AFFE5E03589D}"/>
    <hyperlink ref="F20" r:id="rId53" xr:uid="{A80E4DF2-043A-4C1D-8967-DF9AB641C3A7}"/>
    <hyperlink ref="F133" r:id="rId54" xr:uid="{8B9E7D3A-271F-4143-801A-A67C529185A3}"/>
  </hyperlinks>
  <pageMargins left="0.7" right="0.7" top="0.75" bottom="0.75" header="0.3" footer="0.3"/>
  <pageSetup fitToWidth="0" fitToHeight="0" orientation="landscape" r:id="rId55"/>
  <legacyDrawing r:id="rId56"/>
  <tableParts count="1">
    <tablePart r:id="rId57"/>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BAD47F-5AAE-47EF-A439-4741EBAC4759}">
  <sheetPr filterMode="1"/>
  <dimension ref="A1:G36"/>
  <sheetViews>
    <sheetView workbookViewId="0">
      <selection activeCell="A36" sqref="A36:XFD36"/>
    </sheetView>
  </sheetViews>
  <sheetFormatPr defaultColWidth="9.140625" defaultRowHeight="15" customHeight="1"/>
  <cols>
    <col min="1" max="1" width="30" style="8" customWidth="1"/>
    <col min="2" max="2" width="17" style="8" customWidth="1"/>
    <col min="3" max="3" width="24.85546875" style="299" customWidth="1"/>
    <col min="4" max="5" width="24.85546875" style="286" customWidth="1"/>
    <col min="6" max="6" width="24.85546875" style="8" customWidth="1"/>
    <col min="7" max="7" width="48.7109375" style="241" customWidth="1"/>
    <col min="8" max="16384" width="9.140625" style="145"/>
  </cols>
  <sheetData>
    <row r="1" spans="1:7" s="288" customFormat="1" ht="20.25" customHeight="1">
      <c r="A1" s="294" t="s">
        <v>768</v>
      </c>
      <c r="B1" s="292" t="s">
        <v>769</v>
      </c>
      <c r="C1" s="297" t="s">
        <v>770</v>
      </c>
      <c r="D1" s="284" t="s">
        <v>771</v>
      </c>
      <c r="E1" s="284" t="s">
        <v>772</v>
      </c>
      <c r="F1" s="289" t="s">
        <v>773</v>
      </c>
      <c r="G1" s="287" t="s">
        <v>774</v>
      </c>
    </row>
    <row r="2" spans="1:7" ht="55.5" hidden="1" customHeight="1">
      <c r="A2" s="295" t="s">
        <v>74</v>
      </c>
      <c r="B2" s="25" t="s">
        <v>82</v>
      </c>
      <c r="C2" s="298" t="s">
        <v>775</v>
      </c>
      <c r="D2" s="285">
        <v>45986</v>
      </c>
      <c r="E2" s="285"/>
      <c r="F2" s="291" t="s">
        <v>776</v>
      </c>
      <c r="G2" s="300"/>
    </row>
    <row r="3" spans="1:7" ht="55.5" hidden="1" customHeight="1">
      <c r="A3" s="295" t="s">
        <v>777</v>
      </c>
      <c r="B3" s="25" t="s">
        <v>82</v>
      </c>
      <c r="C3" s="298" t="s">
        <v>775</v>
      </c>
      <c r="D3" s="285">
        <v>45986</v>
      </c>
      <c r="E3" s="285"/>
      <c r="F3" s="291" t="s">
        <v>776</v>
      </c>
      <c r="G3" s="300"/>
    </row>
    <row r="4" spans="1:7" ht="15.75" hidden="1" customHeight="1">
      <c r="A4" s="295" t="s">
        <v>126</v>
      </c>
      <c r="B4" s="25" t="s">
        <v>82</v>
      </c>
      <c r="C4" s="298" t="s">
        <v>778</v>
      </c>
      <c r="D4" s="285" t="s">
        <v>779</v>
      </c>
      <c r="E4" s="285" t="s">
        <v>780</v>
      </c>
      <c r="F4" s="515" t="s">
        <v>781</v>
      </c>
      <c r="G4" s="300" t="s">
        <v>782</v>
      </c>
    </row>
    <row r="5" spans="1:7" ht="15.75" hidden="1" customHeight="1">
      <c r="A5" s="295" t="s">
        <v>435</v>
      </c>
      <c r="B5" s="25" t="s">
        <v>783</v>
      </c>
      <c r="C5" s="298" t="s">
        <v>778</v>
      </c>
      <c r="D5" s="285">
        <v>46002</v>
      </c>
      <c r="E5" s="285"/>
      <c r="F5" s="291" t="s">
        <v>776</v>
      </c>
      <c r="G5" s="301" t="s">
        <v>784</v>
      </c>
    </row>
    <row r="6" spans="1:7" ht="15.75" hidden="1" customHeight="1">
      <c r="A6" s="295" t="s">
        <v>412</v>
      </c>
      <c r="B6" s="25" t="s">
        <v>783</v>
      </c>
      <c r="C6" s="298" t="s">
        <v>778</v>
      </c>
      <c r="D6" s="285">
        <v>46006</v>
      </c>
      <c r="E6" s="285"/>
      <c r="F6" s="291" t="s">
        <v>776</v>
      </c>
      <c r="G6" s="268" t="s">
        <v>785</v>
      </c>
    </row>
    <row r="7" spans="1:7" ht="15.75" hidden="1" customHeight="1">
      <c r="A7" s="295" t="s">
        <v>114</v>
      </c>
      <c r="B7" s="25" t="s">
        <v>783</v>
      </c>
      <c r="C7" s="298" t="s">
        <v>775</v>
      </c>
      <c r="D7" s="285">
        <v>46008</v>
      </c>
      <c r="E7" s="285"/>
      <c r="F7" s="291" t="s">
        <v>776</v>
      </c>
      <c r="G7" s="268" t="s">
        <v>786</v>
      </c>
    </row>
    <row r="8" spans="1:7" ht="15.75" hidden="1" customHeight="1">
      <c r="A8" s="295" t="s">
        <v>267</v>
      </c>
      <c r="B8" s="25" t="s">
        <v>783</v>
      </c>
      <c r="C8" s="298" t="s">
        <v>775</v>
      </c>
      <c r="D8" s="285" t="s">
        <v>787</v>
      </c>
      <c r="E8" s="285"/>
      <c r="F8" s="291" t="s">
        <v>776</v>
      </c>
      <c r="G8" s="268" t="s">
        <v>786</v>
      </c>
    </row>
    <row r="9" spans="1:7" ht="15.75" hidden="1" customHeight="1">
      <c r="A9" s="295" t="s">
        <v>320</v>
      </c>
      <c r="B9" s="25" t="s">
        <v>783</v>
      </c>
      <c r="C9" s="298" t="s">
        <v>775</v>
      </c>
      <c r="D9" s="285" t="s">
        <v>787</v>
      </c>
      <c r="E9" s="285"/>
      <c r="F9" s="291" t="s">
        <v>776</v>
      </c>
      <c r="G9" s="268" t="s">
        <v>786</v>
      </c>
    </row>
    <row r="10" spans="1:7" ht="15.75" hidden="1" customHeight="1">
      <c r="A10" s="295" t="s">
        <v>202</v>
      </c>
      <c r="B10" s="25" t="s">
        <v>788</v>
      </c>
      <c r="C10" s="298" t="s">
        <v>778</v>
      </c>
      <c r="D10" s="285" t="s">
        <v>789</v>
      </c>
      <c r="E10" s="285"/>
      <c r="F10" s="515" t="s">
        <v>781</v>
      </c>
      <c r="G10" s="300" t="s">
        <v>790</v>
      </c>
    </row>
    <row r="11" spans="1:7" ht="29.25" hidden="1" customHeight="1">
      <c r="A11" s="296" t="s">
        <v>229</v>
      </c>
      <c r="B11" s="25" t="s">
        <v>783</v>
      </c>
      <c r="C11" s="298" t="s">
        <v>778</v>
      </c>
      <c r="D11" s="285" t="s">
        <v>789</v>
      </c>
      <c r="E11" s="285"/>
      <c r="F11" s="515" t="s">
        <v>781</v>
      </c>
      <c r="G11" s="300" t="s">
        <v>791</v>
      </c>
    </row>
    <row r="12" spans="1:7" s="355" customFormat="1" ht="15.75" hidden="1" customHeight="1">
      <c r="A12" s="349" t="s">
        <v>363</v>
      </c>
      <c r="B12" s="350" t="s">
        <v>792</v>
      </c>
      <c r="C12" s="351" t="s">
        <v>778</v>
      </c>
      <c r="D12" s="352" t="s">
        <v>793</v>
      </c>
      <c r="E12" s="352"/>
      <c r="F12" s="353" t="s">
        <v>781</v>
      </c>
      <c r="G12" s="354" t="s">
        <v>794</v>
      </c>
    </row>
    <row r="13" spans="1:7" ht="15.75" hidden="1" customHeight="1">
      <c r="A13" s="295" t="s">
        <v>379</v>
      </c>
      <c r="B13" s="25" t="s">
        <v>788</v>
      </c>
      <c r="C13" s="298" t="s">
        <v>778</v>
      </c>
      <c r="D13" s="285" t="s">
        <v>793</v>
      </c>
      <c r="E13" s="285"/>
      <c r="F13" s="291" t="s">
        <v>781</v>
      </c>
      <c r="G13" s="300" t="s">
        <v>795</v>
      </c>
    </row>
    <row r="14" spans="1:7" ht="15.75" hidden="1" customHeight="1">
      <c r="A14" s="290" t="s">
        <v>796</v>
      </c>
      <c r="B14" s="293" t="s">
        <v>82</v>
      </c>
      <c r="C14" s="298" t="s">
        <v>778</v>
      </c>
      <c r="D14" s="285" t="s">
        <v>779</v>
      </c>
      <c r="E14" s="285" t="s">
        <v>797</v>
      </c>
      <c r="F14" s="291" t="s">
        <v>781</v>
      </c>
      <c r="G14" s="300" t="s">
        <v>798</v>
      </c>
    </row>
    <row r="15" spans="1:7" s="355" customFormat="1" ht="202.9" hidden="1">
      <c r="A15" s="290" t="s">
        <v>121</v>
      </c>
      <c r="B15" s="293" t="s">
        <v>792</v>
      </c>
      <c r="C15" s="298" t="s">
        <v>268</v>
      </c>
      <c r="D15" s="285" t="s">
        <v>799</v>
      </c>
      <c r="E15" s="285"/>
      <c r="F15" s="291" t="s">
        <v>781</v>
      </c>
      <c r="G15" s="300" t="s">
        <v>800</v>
      </c>
    </row>
    <row r="16" spans="1:7" ht="343.15" hidden="1">
      <c r="A16" s="290" t="s">
        <v>801</v>
      </c>
      <c r="B16" s="293" t="s">
        <v>82</v>
      </c>
      <c r="C16" s="298" t="s">
        <v>778</v>
      </c>
      <c r="D16" s="702" t="s">
        <v>802</v>
      </c>
      <c r="E16" s="702"/>
      <c r="F16" s="25" t="s">
        <v>776</v>
      </c>
      <c r="G16" s="300" t="s">
        <v>803</v>
      </c>
    </row>
    <row r="17" spans="1:7" ht="202.9" hidden="1">
      <c r="A17" s="290" t="s">
        <v>352</v>
      </c>
      <c r="B17" s="293" t="s">
        <v>804</v>
      </c>
      <c r="C17" s="298" t="s">
        <v>775</v>
      </c>
      <c r="D17" s="352" t="s">
        <v>805</v>
      </c>
      <c r="E17" s="352"/>
      <c r="F17" s="353" t="s">
        <v>776</v>
      </c>
      <c r="G17" s="300" t="s">
        <v>806</v>
      </c>
    </row>
    <row r="18" spans="1:7" ht="249.6" hidden="1">
      <c r="A18" s="290" t="s">
        <v>359</v>
      </c>
      <c r="B18" s="293" t="s">
        <v>788</v>
      </c>
      <c r="C18" s="298" t="s">
        <v>775</v>
      </c>
      <c r="D18" s="285" t="s">
        <v>807</v>
      </c>
      <c r="E18" s="285"/>
      <c r="F18" s="291" t="s">
        <v>781</v>
      </c>
      <c r="G18" s="300" t="s">
        <v>808</v>
      </c>
    </row>
    <row r="19" spans="1:7" ht="124.9" hidden="1">
      <c r="A19" s="572" t="s">
        <v>343</v>
      </c>
      <c r="B19" s="573" t="s">
        <v>788</v>
      </c>
      <c r="C19" s="574" t="s">
        <v>775</v>
      </c>
      <c r="D19" s="575" t="s">
        <v>809</v>
      </c>
      <c r="E19" s="285" t="s">
        <v>810</v>
      </c>
      <c r="F19" s="576" t="s">
        <v>776</v>
      </c>
      <c r="G19" s="577" t="s">
        <v>811</v>
      </c>
    </row>
    <row r="20" spans="1:7" ht="230.45" hidden="1">
      <c r="A20" s="25" t="s">
        <v>385</v>
      </c>
      <c r="B20" s="25" t="s">
        <v>788</v>
      </c>
      <c r="C20" s="570" t="s">
        <v>778</v>
      </c>
      <c r="D20" s="26" t="s">
        <v>322</v>
      </c>
      <c r="E20" s="699" t="s">
        <v>812</v>
      </c>
      <c r="F20" s="25" t="s">
        <v>781</v>
      </c>
      <c r="G20" s="571" t="s">
        <v>813</v>
      </c>
    </row>
    <row r="21" spans="1:7" ht="72" hidden="1">
      <c r="A21" s="25" t="s">
        <v>364</v>
      </c>
      <c r="B21" s="25" t="s">
        <v>783</v>
      </c>
      <c r="C21" s="570" t="s">
        <v>778</v>
      </c>
      <c r="D21" s="26" t="s">
        <v>814</v>
      </c>
      <c r="E21" s="285" t="s">
        <v>815</v>
      </c>
      <c r="F21" s="25" t="s">
        <v>781</v>
      </c>
      <c r="G21" s="571" t="s">
        <v>816</v>
      </c>
    </row>
    <row r="22" spans="1:7" ht="14.45" hidden="1">
      <c r="A22" s="25" t="s">
        <v>363</v>
      </c>
      <c r="B22" s="25" t="s">
        <v>788</v>
      </c>
      <c r="C22" s="570" t="s">
        <v>778</v>
      </c>
      <c r="D22" s="26"/>
      <c r="E22" s="26"/>
      <c r="F22" s="25"/>
      <c r="G22" s="571" t="s">
        <v>817</v>
      </c>
    </row>
    <row r="23" spans="1:7" ht="60.75" hidden="1" customHeight="1">
      <c r="A23" s="25" t="s">
        <v>363</v>
      </c>
      <c r="B23" s="25" t="s">
        <v>792</v>
      </c>
      <c r="C23" s="570" t="s">
        <v>268</v>
      </c>
      <c r="D23" s="26" t="s">
        <v>818</v>
      </c>
      <c r="E23" s="26" t="s">
        <v>819</v>
      </c>
      <c r="F23" s="25" t="s">
        <v>781</v>
      </c>
      <c r="G23" s="571" t="s">
        <v>820</v>
      </c>
    </row>
    <row r="24" spans="1:7" ht="15" hidden="1" customHeight="1">
      <c r="A24" s="25"/>
      <c r="B24" s="25"/>
      <c r="C24" s="570"/>
      <c r="D24" s="26"/>
      <c r="E24" s="699"/>
      <c r="F24" s="25"/>
      <c r="G24" s="772"/>
    </row>
    <row r="25" spans="1:7" ht="41.25" customHeight="1">
      <c r="A25" s="25" t="s">
        <v>821</v>
      </c>
      <c r="B25" s="25" t="s">
        <v>822</v>
      </c>
      <c r="C25" s="570" t="s">
        <v>778</v>
      </c>
      <c r="D25" s="26"/>
      <c r="E25" s="699"/>
      <c r="F25" s="25" t="s">
        <v>781</v>
      </c>
      <c r="G25" s="571" t="s">
        <v>823</v>
      </c>
    </row>
    <row r="26" spans="1:7" ht="15" customHeight="1">
      <c r="A26" s="25" t="s">
        <v>379</v>
      </c>
      <c r="B26" s="25" t="s">
        <v>822</v>
      </c>
      <c r="C26" s="570" t="s">
        <v>778</v>
      </c>
      <c r="D26" s="26"/>
      <c r="E26" s="699"/>
      <c r="F26" s="25" t="s">
        <v>781</v>
      </c>
      <c r="G26" s="571" t="s">
        <v>824</v>
      </c>
    </row>
    <row r="27" spans="1:7" ht="15" customHeight="1">
      <c r="A27" s="25" t="s">
        <v>254</v>
      </c>
      <c r="B27" s="25" t="s">
        <v>822</v>
      </c>
      <c r="C27" s="570" t="s">
        <v>775</v>
      </c>
      <c r="D27" s="26"/>
      <c r="E27" s="699"/>
      <c r="F27" s="25" t="s">
        <v>781</v>
      </c>
      <c r="G27" s="571"/>
    </row>
    <row r="28" spans="1:7" ht="15" hidden="1" customHeight="1">
      <c r="A28" s="25" t="s">
        <v>343</v>
      </c>
      <c r="B28" s="25" t="s">
        <v>82</v>
      </c>
      <c r="C28" s="570" t="s">
        <v>778</v>
      </c>
      <c r="D28" s="26" t="s">
        <v>825</v>
      </c>
      <c r="E28" s="699"/>
      <c r="F28" s="25" t="s">
        <v>776</v>
      </c>
      <c r="G28" s="571" t="s">
        <v>826</v>
      </c>
    </row>
    <row r="29" spans="1:7" ht="15" hidden="1" customHeight="1">
      <c r="A29" s="25" t="s">
        <v>417</v>
      </c>
      <c r="B29" s="25" t="s">
        <v>82</v>
      </c>
      <c r="C29" s="570" t="s">
        <v>778</v>
      </c>
      <c r="D29" s="26" t="s">
        <v>827</v>
      </c>
      <c r="E29" s="699"/>
      <c r="F29" s="25" t="s">
        <v>776</v>
      </c>
      <c r="G29" s="571" t="s">
        <v>828</v>
      </c>
    </row>
    <row r="30" spans="1:7" ht="15" hidden="1" customHeight="1">
      <c r="A30" s="25" t="s">
        <v>121</v>
      </c>
      <c r="B30" s="25" t="s">
        <v>788</v>
      </c>
      <c r="C30" s="570" t="s">
        <v>778</v>
      </c>
      <c r="D30" s="26"/>
      <c r="E30" s="699"/>
      <c r="F30" s="25" t="s">
        <v>781</v>
      </c>
      <c r="G30" s="571" t="s">
        <v>829</v>
      </c>
    </row>
    <row r="31" spans="1:7" ht="39" customHeight="1">
      <c r="A31" s="25" t="s">
        <v>830</v>
      </c>
      <c r="B31" s="25" t="s">
        <v>822</v>
      </c>
      <c r="C31" s="570" t="s">
        <v>775</v>
      </c>
      <c r="D31" s="26" t="s">
        <v>831</v>
      </c>
      <c r="E31" s="699"/>
      <c r="F31" s="25" t="s">
        <v>781</v>
      </c>
      <c r="G31" s="571" t="s">
        <v>832</v>
      </c>
    </row>
    <row r="32" spans="1:7" ht="15" hidden="1" customHeight="1">
      <c r="A32" s="25" t="s">
        <v>74</v>
      </c>
      <c r="B32" s="25" t="s">
        <v>788</v>
      </c>
      <c r="C32" s="570"/>
      <c r="D32" s="26"/>
      <c r="E32" s="699"/>
      <c r="F32" s="25" t="s">
        <v>781</v>
      </c>
      <c r="G32" s="571" t="s">
        <v>833</v>
      </c>
    </row>
    <row r="33" spans="1:7" ht="15" hidden="1" customHeight="1">
      <c r="A33" s="25" t="s">
        <v>834</v>
      </c>
      <c r="B33" s="25" t="s">
        <v>788</v>
      </c>
      <c r="C33" s="570"/>
      <c r="D33" s="26"/>
      <c r="E33" s="699"/>
      <c r="F33" s="25" t="s">
        <v>781</v>
      </c>
      <c r="G33" s="571" t="s">
        <v>835</v>
      </c>
    </row>
    <row r="34" spans="1:7" ht="15" customHeight="1">
      <c r="A34" s="802" t="s">
        <v>385</v>
      </c>
      <c r="B34" s="802" t="s">
        <v>822</v>
      </c>
      <c r="C34" s="803"/>
      <c r="D34" s="609"/>
      <c r="E34" s="804"/>
      <c r="F34" s="25" t="s">
        <v>781</v>
      </c>
      <c r="G34" s="805" t="s">
        <v>836</v>
      </c>
    </row>
    <row r="35" spans="1:7" ht="15" customHeight="1">
      <c r="A35" s="802" t="s">
        <v>320</v>
      </c>
      <c r="B35" s="802" t="s">
        <v>822</v>
      </c>
      <c r="C35" s="803" t="s">
        <v>775</v>
      </c>
      <c r="D35" s="609" t="s">
        <v>837</v>
      </c>
      <c r="E35" s="609"/>
      <c r="F35" s="802" t="s">
        <v>781</v>
      </c>
      <c r="G35" s="805"/>
    </row>
    <row r="36" spans="1:7" ht="15" customHeight="1">
      <c r="A36" s="62"/>
      <c r="B36" s="62"/>
      <c r="C36" s="806"/>
      <c r="D36" s="807"/>
      <c r="E36" s="808"/>
      <c r="F36" s="62"/>
      <c r="G36" s="809"/>
    </row>
  </sheetData>
  <autoFilter ref="A1:G35" xr:uid="{C1BAD47F-5AAE-47EF-A439-4741EBAC4759}">
    <filterColumn colId="1">
      <filters>
        <filter val="Open"/>
      </filters>
    </filterColumn>
  </autoFilter>
  <sortState xmlns:xlrd2="http://schemas.microsoft.com/office/spreadsheetml/2017/richdata2" ref="A2:G15">
    <sortCondition ref="D2:D15"/>
  </sortState>
  <conditionalFormatting sqref="C1:C1048576">
    <cfRule type="containsText" dxfId="5" priority="1" operator="containsText" text="Bram">
      <formula>NOT(ISERROR(SEARCH("Bram",C1)))</formula>
    </cfRule>
    <cfRule type="containsText" dxfId="4" priority="2" operator="containsText" text="Harold">
      <formula>NOT(ISERROR(SEARCH("Harold",C1)))</formula>
    </cfRule>
  </conditionalFormatting>
  <hyperlinks>
    <hyperlink ref="E20" r:id="rId1" xr:uid="{621B8715-7629-4901-B489-C305E9C9F206}"/>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0221D7-DA19-48BB-A2F5-77BA5C350122}">
  <dimension ref="A1:P23"/>
  <sheetViews>
    <sheetView topLeftCell="A6" workbookViewId="0">
      <selection activeCell="B10" sqref="B10"/>
    </sheetView>
  </sheetViews>
  <sheetFormatPr defaultRowHeight="14.45"/>
  <cols>
    <col min="1" max="1" width="9.140625" style="8"/>
    <col min="2" max="3" width="10.28515625" style="4" customWidth="1"/>
    <col min="4" max="4" width="10.28515625" style="709" customWidth="1"/>
    <col min="5" max="16" width="10.28515625" style="4" customWidth="1"/>
  </cols>
  <sheetData>
    <row r="1" spans="1:16" s="712" customFormat="1" ht="32.25" customHeight="1">
      <c r="A1" s="711"/>
      <c r="B1" s="833" t="s">
        <v>838</v>
      </c>
      <c r="C1" s="834"/>
      <c r="D1" s="835"/>
      <c r="E1" s="836" t="s">
        <v>839</v>
      </c>
      <c r="F1" s="837"/>
      <c r="G1" s="838"/>
      <c r="H1" s="839" t="s">
        <v>840</v>
      </c>
      <c r="I1" s="840"/>
      <c r="J1" s="841"/>
      <c r="K1" s="842" t="s">
        <v>841</v>
      </c>
      <c r="L1" s="843"/>
      <c r="M1" s="844"/>
      <c r="N1" s="845" t="s">
        <v>842</v>
      </c>
      <c r="O1" s="846"/>
      <c r="P1" s="847"/>
    </row>
    <row r="2" spans="1:16" s="306" customFormat="1" ht="26.25" customHeight="1">
      <c r="B2" s="743" t="s">
        <v>843</v>
      </c>
      <c r="C2" s="744" t="s">
        <v>844</v>
      </c>
      <c r="D2" s="745" t="s">
        <v>845</v>
      </c>
      <c r="E2" s="743" t="s">
        <v>843</v>
      </c>
      <c r="F2" s="744" t="s">
        <v>844</v>
      </c>
      <c r="G2" s="745" t="s">
        <v>845</v>
      </c>
      <c r="H2" s="743" t="s">
        <v>843</v>
      </c>
      <c r="I2" s="744" t="s">
        <v>844</v>
      </c>
      <c r="J2" s="745" t="s">
        <v>845</v>
      </c>
      <c r="K2" s="743" t="s">
        <v>843</v>
      </c>
      <c r="L2" s="744" t="s">
        <v>844</v>
      </c>
      <c r="M2" s="745" t="s">
        <v>845</v>
      </c>
      <c r="N2" s="743" t="s">
        <v>843</v>
      </c>
      <c r="O2" s="744" t="s">
        <v>844</v>
      </c>
      <c r="P2" s="746" t="s">
        <v>845</v>
      </c>
    </row>
    <row r="3" spans="1:16" ht="42" customHeight="1">
      <c r="A3" s="713" t="s">
        <v>846</v>
      </c>
      <c r="B3" s="716"/>
      <c r="C3" s="710"/>
      <c r="D3" s="714"/>
      <c r="E3" s="717"/>
      <c r="F3" s="718"/>
      <c r="G3" s="719"/>
      <c r="H3" s="720"/>
      <c r="I3" s="721"/>
      <c r="J3" s="722"/>
      <c r="K3" s="723"/>
      <c r="L3" s="724"/>
      <c r="M3" s="725"/>
      <c r="N3" s="726"/>
      <c r="O3" s="727"/>
      <c r="P3" s="728"/>
    </row>
    <row r="4" spans="1:16" ht="42" customHeight="1">
      <c r="A4" s="713" t="s">
        <v>847</v>
      </c>
      <c r="B4" s="716"/>
      <c r="C4" s="710"/>
      <c r="D4" s="714"/>
      <c r="E4" s="717"/>
      <c r="F4" s="718"/>
      <c r="G4" s="719"/>
      <c r="H4" s="720"/>
      <c r="I4" s="721"/>
      <c r="J4" s="722"/>
      <c r="K4" s="723"/>
      <c r="L4" s="724"/>
      <c r="M4" s="725"/>
      <c r="N4" s="726"/>
      <c r="O4" s="727"/>
      <c r="P4" s="728"/>
    </row>
    <row r="5" spans="1:16" ht="42" customHeight="1">
      <c r="A5" s="713" t="s">
        <v>848</v>
      </c>
      <c r="B5" s="716"/>
      <c r="C5" s="710"/>
      <c r="D5" s="714"/>
      <c r="E5" s="717"/>
      <c r="F5" s="718"/>
      <c r="G5" s="719"/>
      <c r="H5" s="720"/>
      <c r="I5" s="721"/>
      <c r="J5" s="722"/>
      <c r="K5" s="723"/>
      <c r="L5" s="724"/>
      <c r="M5" s="725"/>
      <c r="N5" s="726"/>
      <c r="O5" s="727"/>
      <c r="P5" s="728"/>
    </row>
    <row r="6" spans="1:16" ht="42" customHeight="1">
      <c r="A6" s="713" t="s">
        <v>849</v>
      </c>
      <c r="B6" s="716"/>
      <c r="C6" s="710"/>
      <c r="D6" s="714"/>
      <c r="E6" s="717"/>
      <c r="F6" s="718"/>
      <c r="G6" s="719"/>
      <c r="H6" s="720"/>
      <c r="I6" s="721"/>
      <c r="J6" s="722"/>
      <c r="K6" s="723"/>
      <c r="L6" s="724"/>
      <c r="M6" s="725"/>
      <c r="N6" s="726"/>
      <c r="O6" s="727"/>
      <c r="P6" s="728"/>
    </row>
    <row r="7" spans="1:16" ht="42" customHeight="1">
      <c r="A7" s="713" t="s">
        <v>850</v>
      </c>
      <c r="B7" s="716"/>
      <c r="C7" s="710"/>
      <c r="D7" s="714" t="s">
        <v>851</v>
      </c>
      <c r="E7" s="717"/>
      <c r="F7" s="718"/>
      <c r="G7" s="719"/>
      <c r="H7" s="720"/>
      <c r="I7" s="721"/>
      <c r="J7" s="722"/>
      <c r="K7" s="723"/>
      <c r="L7" s="724"/>
      <c r="M7" s="725"/>
      <c r="N7" s="726"/>
      <c r="O7" s="727"/>
      <c r="P7" s="728"/>
    </row>
    <row r="8" spans="1:16" ht="42" customHeight="1">
      <c r="A8" s="713" t="s">
        <v>852</v>
      </c>
      <c r="B8" s="716"/>
      <c r="C8" s="710"/>
      <c r="D8" s="714"/>
      <c r="E8" s="717"/>
      <c r="F8" s="718"/>
      <c r="G8" s="719"/>
      <c r="H8" s="720"/>
      <c r="I8" s="721"/>
      <c r="J8" s="722"/>
      <c r="K8" s="723"/>
      <c r="L8" s="724"/>
      <c r="M8" s="725"/>
      <c r="N8" s="726"/>
      <c r="O8" s="727"/>
      <c r="P8" s="728"/>
    </row>
    <row r="9" spans="1:16" ht="42" customHeight="1">
      <c r="A9" s="713" t="s">
        <v>853</v>
      </c>
      <c r="B9" s="716" t="s">
        <v>854</v>
      </c>
      <c r="C9" s="710"/>
      <c r="D9" s="714"/>
      <c r="E9" s="717"/>
      <c r="F9" s="718"/>
      <c r="G9" s="848" t="s">
        <v>855</v>
      </c>
      <c r="H9" s="852" t="s">
        <v>856</v>
      </c>
      <c r="I9" s="853"/>
      <c r="J9" s="854"/>
      <c r="K9" s="855" t="s">
        <v>857</v>
      </c>
      <c r="L9" s="856"/>
      <c r="M9" s="857"/>
      <c r="N9" s="726"/>
      <c r="O9" s="727"/>
      <c r="P9" s="728"/>
    </row>
    <row r="10" spans="1:16" ht="42" customHeight="1">
      <c r="A10" s="713" t="s">
        <v>858</v>
      </c>
      <c r="B10" s="716"/>
      <c r="C10" s="710"/>
      <c r="D10" s="714"/>
      <c r="E10" s="717"/>
      <c r="F10" s="718"/>
      <c r="G10" s="848"/>
      <c r="H10" s="720"/>
      <c r="I10" s="721"/>
      <c r="J10" s="722"/>
      <c r="K10" s="723"/>
      <c r="L10" s="724"/>
      <c r="M10" s="725"/>
      <c r="N10" s="726"/>
      <c r="O10" s="727"/>
      <c r="P10" s="728"/>
    </row>
    <row r="11" spans="1:16" ht="42" customHeight="1">
      <c r="A11" s="713" t="s">
        <v>859</v>
      </c>
      <c r="B11" s="716" t="s">
        <v>860</v>
      </c>
      <c r="C11" s="710"/>
      <c r="D11" s="714" t="s">
        <v>861</v>
      </c>
      <c r="E11" s="717"/>
      <c r="F11" s="718"/>
      <c r="G11" s="719"/>
      <c r="H11" s="720"/>
      <c r="I11" s="721"/>
      <c r="J11" s="722"/>
      <c r="K11" s="723"/>
      <c r="L11" s="724"/>
      <c r="M11" s="725" t="s">
        <v>862</v>
      </c>
      <c r="N11" s="726"/>
      <c r="O11" s="727"/>
      <c r="P11" s="728"/>
    </row>
    <row r="12" spans="1:16" ht="42" customHeight="1">
      <c r="A12" s="713" t="s">
        <v>863</v>
      </c>
      <c r="B12" s="716"/>
      <c r="C12" s="710"/>
      <c r="D12" s="714"/>
      <c r="E12" s="717"/>
      <c r="F12" s="718"/>
      <c r="G12" s="719"/>
      <c r="H12" s="720"/>
      <c r="I12" s="721"/>
      <c r="J12" s="722"/>
      <c r="K12" s="855" t="s">
        <v>864</v>
      </c>
      <c r="L12" s="856"/>
      <c r="M12" s="857"/>
      <c r="N12" s="726"/>
      <c r="O12" s="727"/>
      <c r="P12" s="728"/>
    </row>
    <row r="13" spans="1:16" ht="42" customHeight="1">
      <c r="A13" s="713" t="s">
        <v>865</v>
      </c>
      <c r="B13" s="716"/>
      <c r="C13" s="710"/>
      <c r="D13" s="714" t="s">
        <v>866</v>
      </c>
      <c r="E13" s="717"/>
      <c r="F13" s="718"/>
      <c r="G13" s="719"/>
      <c r="H13" s="720"/>
      <c r="I13" s="721"/>
      <c r="J13" s="722"/>
      <c r="K13" s="723"/>
      <c r="L13" s="724"/>
      <c r="M13" s="725"/>
      <c r="N13" s="726"/>
      <c r="O13" s="727"/>
      <c r="P13" s="728"/>
    </row>
    <row r="14" spans="1:16" ht="42" customHeight="1">
      <c r="A14" s="713" t="s">
        <v>867</v>
      </c>
      <c r="B14" s="716"/>
      <c r="C14" s="710"/>
      <c r="D14" s="714"/>
      <c r="E14" s="717"/>
      <c r="F14" s="718"/>
      <c r="G14" s="719"/>
      <c r="H14" s="720"/>
      <c r="I14" s="721"/>
      <c r="J14" s="722"/>
      <c r="K14" s="723"/>
      <c r="L14" s="724"/>
      <c r="M14" s="725"/>
      <c r="N14" s="726"/>
      <c r="O14" s="727"/>
      <c r="P14" s="728"/>
    </row>
    <row r="15" spans="1:16" ht="42" customHeight="1">
      <c r="A15" s="713" t="s">
        <v>868</v>
      </c>
      <c r="B15" s="716"/>
      <c r="C15" s="710"/>
      <c r="D15" s="714" t="s">
        <v>869</v>
      </c>
      <c r="E15" s="717"/>
      <c r="F15" s="718"/>
      <c r="G15" s="719"/>
      <c r="H15" s="720"/>
      <c r="I15" s="721"/>
      <c r="J15" s="722"/>
      <c r="K15" s="723"/>
      <c r="L15" s="724"/>
      <c r="M15" s="725"/>
      <c r="N15" s="726"/>
      <c r="O15" s="727"/>
      <c r="P15" s="728"/>
    </row>
    <row r="16" spans="1:16" ht="42" customHeight="1">
      <c r="A16" s="713" t="s">
        <v>870</v>
      </c>
      <c r="B16" s="716"/>
      <c r="C16" s="710"/>
      <c r="D16" s="714"/>
      <c r="E16" s="717"/>
      <c r="F16" s="718"/>
      <c r="G16" s="719"/>
      <c r="H16" s="720"/>
      <c r="I16" s="721"/>
      <c r="J16" s="722"/>
      <c r="K16" s="723"/>
      <c r="L16" s="724"/>
      <c r="M16" s="725"/>
      <c r="N16" s="726"/>
      <c r="O16" s="727"/>
      <c r="P16" s="728"/>
    </row>
    <row r="17" spans="1:16" ht="42" customHeight="1">
      <c r="A17" s="713" t="s">
        <v>871</v>
      </c>
      <c r="B17" s="716"/>
      <c r="C17" s="710"/>
      <c r="D17" s="714"/>
      <c r="E17" s="717"/>
      <c r="F17" s="718"/>
      <c r="G17" s="719" t="s">
        <v>872</v>
      </c>
      <c r="H17" s="720"/>
      <c r="I17" s="721"/>
      <c r="J17" s="722"/>
      <c r="K17" s="723"/>
      <c r="L17" s="724"/>
      <c r="M17" s="725"/>
      <c r="N17" s="726"/>
      <c r="O17" s="727"/>
      <c r="P17" s="728"/>
    </row>
    <row r="18" spans="1:16" ht="42" customHeight="1">
      <c r="A18" s="713" t="s">
        <v>873</v>
      </c>
      <c r="B18" s="716"/>
      <c r="C18" s="710"/>
      <c r="D18" s="714"/>
      <c r="E18" s="849" t="s">
        <v>874</v>
      </c>
      <c r="F18" s="850"/>
      <c r="G18" s="851"/>
      <c r="H18" s="720"/>
      <c r="I18" s="721"/>
      <c r="J18" s="722"/>
      <c r="K18" s="723"/>
      <c r="L18" s="724"/>
      <c r="M18" s="725"/>
      <c r="N18" s="726"/>
      <c r="O18" s="727"/>
      <c r="P18" s="728"/>
    </row>
    <row r="19" spans="1:16" ht="42" customHeight="1">
      <c r="A19" s="713" t="s">
        <v>875</v>
      </c>
      <c r="B19" s="716"/>
      <c r="C19" s="710"/>
      <c r="D19" s="714"/>
      <c r="E19" s="717"/>
      <c r="F19" s="718"/>
      <c r="G19" s="719"/>
      <c r="H19" s="720"/>
      <c r="I19" s="721"/>
      <c r="J19" s="722"/>
      <c r="K19" s="723"/>
      <c r="L19" s="724"/>
      <c r="M19" s="725"/>
      <c r="N19" s="726"/>
      <c r="O19" s="727"/>
      <c r="P19" s="728"/>
    </row>
    <row r="20" spans="1:16" ht="42" customHeight="1">
      <c r="A20" s="713" t="s">
        <v>876</v>
      </c>
      <c r="B20" s="716"/>
      <c r="C20" s="710"/>
      <c r="D20" s="714"/>
      <c r="E20" s="717"/>
      <c r="F20" s="718"/>
      <c r="G20" s="719"/>
      <c r="H20" s="720"/>
      <c r="I20" s="721"/>
      <c r="J20" s="722"/>
      <c r="K20" s="723"/>
      <c r="L20" s="724"/>
      <c r="M20" s="725"/>
      <c r="N20" s="726"/>
      <c r="O20" s="727"/>
      <c r="P20" s="728"/>
    </row>
    <row r="21" spans="1:16" ht="42" customHeight="1">
      <c r="A21" s="713" t="s">
        <v>877</v>
      </c>
      <c r="B21" s="716"/>
      <c r="C21" s="710"/>
      <c r="D21" s="714"/>
      <c r="E21" s="717"/>
      <c r="F21" s="718"/>
      <c r="G21" s="719"/>
      <c r="H21" s="720"/>
      <c r="I21" s="721"/>
      <c r="J21" s="722"/>
      <c r="K21" s="723"/>
      <c r="L21" s="724"/>
      <c r="M21" s="725"/>
      <c r="N21" s="726"/>
      <c r="O21" s="727"/>
      <c r="P21" s="728"/>
    </row>
    <row r="22" spans="1:16" ht="42" customHeight="1">
      <c r="A22" s="713" t="s">
        <v>878</v>
      </c>
      <c r="B22" s="716"/>
      <c r="C22" s="710"/>
      <c r="D22" s="714"/>
      <c r="E22" s="717"/>
      <c r="F22" s="718"/>
      <c r="G22" s="719"/>
      <c r="H22" s="720"/>
      <c r="I22" s="721"/>
      <c r="J22" s="722"/>
      <c r="K22" s="723"/>
      <c r="L22" s="724"/>
      <c r="M22" s="725"/>
      <c r="N22" s="726"/>
      <c r="O22" s="727"/>
      <c r="P22" s="728"/>
    </row>
    <row r="23" spans="1:16" ht="42" customHeight="1">
      <c r="A23" s="713" t="s">
        <v>879</v>
      </c>
      <c r="B23" s="729"/>
      <c r="C23" s="730"/>
      <c r="D23" s="715"/>
      <c r="E23" s="731"/>
      <c r="F23" s="732"/>
      <c r="G23" s="733"/>
      <c r="H23" s="734"/>
      <c r="I23" s="735"/>
      <c r="J23" s="736"/>
      <c r="K23" s="737"/>
      <c r="L23" s="738"/>
      <c r="M23" s="739"/>
      <c r="N23" s="740"/>
      <c r="O23" s="741"/>
      <c r="P23" s="742"/>
    </row>
  </sheetData>
  <mergeCells count="10">
    <mergeCell ref="G9:G10"/>
    <mergeCell ref="E18:G18"/>
    <mergeCell ref="H9:J9"/>
    <mergeCell ref="K9:M9"/>
    <mergeCell ref="K12:M12"/>
    <mergeCell ref="B1:D1"/>
    <mergeCell ref="E1:G1"/>
    <mergeCell ref="H1:J1"/>
    <mergeCell ref="K1:M1"/>
    <mergeCell ref="N1:P1"/>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47EFC6-D5AA-4431-9AD3-49AA4F0E921A}">
  <sheetPr filterMode="1">
    <pageSetUpPr fitToPage="1"/>
  </sheetPr>
  <dimension ref="A1:BPV161"/>
  <sheetViews>
    <sheetView tabSelected="1" workbookViewId="0">
      <pane ySplit="1" topLeftCell="A147" activePane="bottomLeft" state="frozen"/>
      <selection pane="bottomLeft" activeCell="G163" sqref="G163"/>
    </sheetView>
  </sheetViews>
  <sheetFormatPr defaultRowHeight="15.6"/>
  <cols>
    <col min="1" max="1" width="18.85546875" style="11" customWidth="1"/>
    <col min="2" max="2" width="17.140625" style="8" bestFit="1" customWidth="1"/>
    <col min="3" max="3" width="29.140625" style="777" customWidth="1"/>
    <col min="4" max="4" width="21.42578125" style="578" customWidth="1"/>
    <col min="5" max="5" width="13.85546875" style="578" customWidth="1"/>
    <col min="6" max="6" width="14.7109375" style="258" hidden="1" customWidth="1"/>
    <col min="7" max="7" width="103.140625" style="241" customWidth="1"/>
    <col min="8" max="8" width="21" style="470" customWidth="1"/>
    <col min="9" max="9" width="31.28515625" style="470" customWidth="1"/>
  </cols>
  <sheetData>
    <row r="1" spans="1:9" s="664" customFormat="1" ht="41.25" customHeight="1">
      <c r="A1" s="661" t="s">
        <v>880</v>
      </c>
      <c r="B1" s="661" t="s">
        <v>881</v>
      </c>
      <c r="C1" s="775" t="s">
        <v>882</v>
      </c>
      <c r="D1" s="662" t="s">
        <v>883</v>
      </c>
      <c r="E1" s="662" t="s">
        <v>884</v>
      </c>
      <c r="F1" s="579" t="s">
        <v>885</v>
      </c>
      <c r="G1" s="747" t="s">
        <v>886</v>
      </c>
      <c r="H1" s="663" t="s">
        <v>887</v>
      </c>
      <c r="I1" s="663" t="s">
        <v>888</v>
      </c>
    </row>
    <row r="2" spans="1:9" ht="63.75" hidden="1" customHeight="1">
      <c r="A2" s="276" t="s">
        <v>178</v>
      </c>
      <c r="B2" s="172" t="s">
        <v>889</v>
      </c>
      <c r="C2" s="173" t="s">
        <v>890</v>
      </c>
      <c r="D2" s="231">
        <v>45905</v>
      </c>
      <c r="E2" s="231"/>
      <c r="F2" s="174">
        <v>45908</v>
      </c>
      <c r="G2" s="207" t="s">
        <v>891</v>
      </c>
      <c r="H2" s="173" t="s">
        <v>892</v>
      </c>
      <c r="I2" s="176" t="s">
        <v>893</v>
      </c>
    </row>
    <row r="3" spans="1:9" ht="30.6" hidden="1">
      <c r="A3" s="276" t="s">
        <v>121</v>
      </c>
      <c r="B3" s="172" t="s">
        <v>889</v>
      </c>
      <c r="C3" s="173" t="s">
        <v>894</v>
      </c>
      <c r="D3" s="174" t="s">
        <v>783</v>
      </c>
      <c r="E3" s="174"/>
      <c r="F3" s="174" t="s">
        <v>783</v>
      </c>
      <c r="G3" s="175" t="s">
        <v>895</v>
      </c>
      <c r="H3" s="172" t="s">
        <v>896</v>
      </c>
      <c r="I3" s="176" t="s">
        <v>897</v>
      </c>
    </row>
    <row r="4" spans="1:9" ht="50.25" hidden="1" customHeight="1">
      <c r="A4" s="516" t="s">
        <v>521</v>
      </c>
      <c r="B4" s="97" t="s">
        <v>889</v>
      </c>
      <c r="C4" s="93" t="s">
        <v>898</v>
      </c>
      <c r="D4" s="126" t="s">
        <v>899</v>
      </c>
      <c r="E4" s="126"/>
      <c r="F4" s="126" t="s">
        <v>900</v>
      </c>
      <c r="G4" s="93" t="s">
        <v>901</v>
      </c>
      <c r="H4" s="97" t="s">
        <v>902</v>
      </c>
      <c r="I4" s="97" t="s">
        <v>893</v>
      </c>
    </row>
    <row r="5" spans="1:9" ht="18.75" hidden="1" customHeight="1">
      <c r="A5" s="516" t="s">
        <v>276</v>
      </c>
      <c r="B5" s="97" t="s">
        <v>889</v>
      </c>
      <c r="C5" s="93" t="s">
        <v>903</v>
      </c>
      <c r="D5" s="132" t="s">
        <v>904</v>
      </c>
      <c r="E5" s="132"/>
      <c r="F5" s="132" t="s">
        <v>897</v>
      </c>
      <c r="G5" s="125" t="s">
        <v>905</v>
      </c>
      <c r="H5" s="97" t="s">
        <v>896</v>
      </c>
      <c r="I5" s="97" t="s">
        <v>906</v>
      </c>
    </row>
    <row r="6" spans="1:9" ht="30.6" hidden="1">
      <c r="A6" s="516" t="s">
        <v>907</v>
      </c>
      <c r="B6" s="97" t="s">
        <v>889</v>
      </c>
      <c r="C6" s="93" t="s">
        <v>908</v>
      </c>
      <c r="D6" s="132" t="s">
        <v>909</v>
      </c>
      <c r="E6" s="132"/>
      <c r="F6" s="132" t="s">
        <v>897</v>
      </c>
      <c r="G6" s="93" t="s">
        <v>910</v>
      </c>
      <c r="H6" s="97" t="s">
        <v>896</v>
      </c>
      <c r="I6" s="97" t="s">
        <v>906</v>
      </c>
    </row>
    <row r="7" spans="1:9" ht="36.75" hidden="1" customHeight="1">
      <c r="A7" s="516" t="s">
        <v>911</v>
      </c>
      <c r="B7" s="97" t="s">
        <v>889</v>
      </c>
      <c r="C7" s="159" t="s">
        <v>912</v>
      </c>
      <c r="D7" s="126" t="s">
        <v>913</v>
      </c>
      <c r="E7" s="126"/>
      <c r="F7" s="126" t="s">
        <v>897</v>
      </c>
      <c r="G7" s="125" t="s">
        <v>914</v>
      </c>
      <c r="H7" s="97" t="s">
        <v>897</v>
      </c>
      <c r="I7" s="120" t="s">
        <v>897</v>
      </c>
    </row>
    <row r="8" spans="1:9" ht="17.25" hidden="1" customHeight="1">
      <c r="A8" s="517" t="s">
        <v>299</v>
      </c>
      <c r="B8" s="166" t="s">
        <v>889</v>
      </c>
      <c r="C8" s="167" t="s">
        <v>915</v>
      </c>
      <c r="D8" s="168" t="s">
        <v>916</v>
      </c>
      <c r="E8" s="168"/>
      <c r="F8" s="168" t="s">
        <v>917</v>
      </c>
      <c r="G8" s="169"/>
      <c r="H8" s="166" t="s">
        <v>918</v>
      </c>
      <c r="I8" s="246" t="s">
        <v>893</v>
      </c>
    </row>
    <row r="9" spans="1:9" ht="15" hidden="1">
      <c r="A9" s="518" t="s">
        <v>919</v>
      </c>
      <c r="B9" s="148" t="s">
        <v>889</v>
      </c>
      <c r="C9" s="149" t="s">
        <v>920</v>
      </c>
      <c r="D9" s="150" t="s">
        <v>268</v>
      </c>
      <c r="E9" s="150"/>
      <c r="F9" s="150" t="s">
        <v>268</v>
      </c>
      <c r="G9" s="151" t="s">
        <v>921</v>
      </c>
      <c r="H9" s="148"/>
      <c r="I9" s="152"/>
    </row>
    <row r="10" spans="1:9" ht="45.6" hidden="1">
      <c r="A10" s="276" t="s">
        <v>521</v>
      </c>
      <c r="B10" s="172" t="s">
        <v>889</v>
      </c>
      <c r="C10" s="173" t="s">
        <v>922</v>
      </c>
      <c r="D10" s="177" t="s">
        <v>899</v>
      </c>
      <c r="E10" s="177"/>
      <c r="F10" s="174" t="s">
        <v>923</v>
      </c>
      <c r="G10" s="173" t="s">
        <v>924</v>
      </c>
      <c r="H10" s="172" t="s">
        <v>902</v>
      </c>
      <c r="I10" s="172" t="s">
        <v>893</v>
      </c>
    </row>
    <row r="11" spans="1:9" hidden="1">
      <c r="A11" s="516" t="s">
        <v>521</v>
      </c>
      <c r="B11" s="97" t="s">
        <v>889</v>
      </c>
      <c r="C11" s="93" t="s">
        <v>925</v>
      </c>
      <c r="D11" s="232" t="s">
        <v>926</v>
      </c>
      <c r="E11" s="232"/>
      <c r="F11" s="132" t="s">
        <v>783</v>
      </c>
      <c r="G11" s="205" t="s">
        <v>927</v>
      </c>
      <c r="H11" s="97" t="s">
        <v>928</v>
      </c>
      <c r="I11" s="97" t="s">
        <v>897</v>
      </c>
    </row>
    <row r="12" spans="1:9" ht="60.6" hidden="1">
      <c r="A12" s="519" t="s">
        <v>929</v>
      </c>
      <c r="B12" s="161" t="s">
        <v>889</v>
      </c>
      <c r="C12" s="162" t="s">
        <v>930</v>
      </c>
      <c r="D12" s="163">
        <v>45912</v>
      </c>
      <c r="E12" s="163"/>
      <c r="F12" s="163">
        <v>45912</v>
      </c>
      <c r="G12" s="164" t="s">
        <v>931</v>
      </c>
      <c r="H12" s="161" t="s">
        <v>896</v>
      </c>
      <c r="I12" s="165" t="s">
        <v>897</v>
      </c>
    </row>
    <row r="13" spans="1:9" ht="60.75" hidden="1" customHeight="1">
      <c r="A13" s="520" t="s">
        <v>521</v>
      </c>
      <c r="B13" s="183" t="s">
        <v>889</v>
      </c>
      <c r="C13" s="184" t="s">
        <v>932</v>
      </c>
      <c r="D13" s="233" t="s">
        <v>933</v>
      </c>
      <c r="E13" s="233"/>
      <c r="F13" s="185" t="s">
        <v>934</v>
      </c>
      <c r="G13" s="229" t="s">
        <v>935</v>
      </c>
      <c r="H13" s="184" t="s">
        <v>936</v>
      </c>
      <c r="I13" s="187" t="s">
        <v>893</v>
      </c>
    </row>
    <row r="14" spans="1:9" ht="71.25" hidden="1" customHeight="1">
      <c r="A14" s="518" t="s">
        <v>937</v>
      </c>
      <c r="B14" s="148" t="s">
        <v>889</v>
      </c>
      <c r="C14" s="149" t="s">
        <v>938</v>
      </c>
      <c r="D14" s="257">
        <v>45966</v>
      </c>
      <c r="E14" s="582"/>
      <c r="F14" s="580" t="s">
        <v>939</v>
      </c>
      <c r="G14" s="205" t="s">
        <v>940</v>
      </c>
      <c r="H14" s="581" t="s">
        <v>918</v>
      </c>
      <c r="I14" s="148" t="s">
        <v>893</v>
      </c>
    </row>
    <row r="15" spans="1:9" s="145" customFormat="1" ht="71.25" hidden="1" customHeight="1">
      <c r="A15" s="521" t="s">
        <v>343</v>
      </c>
      <c r="B15" s="182" t="s">
        <v>889</v>
      </c>
      <c r="C15" s="190" t="s">
        <v>941</v>
      </c>
      <c r="D15" s="220" t="s">
        <v>942</v>
      </c>
      <c r="E15" s="220"/>
      <c r="F15" s="220" t="s">
        <v>942</v>
      </c>
      <c r="G15" s="207" t="s">
        <v>943</v>
      </c>
      <c r="H15" s="189" t="s">
        <v>268</v>
      </c>
      <c r="I15" s="193" t="s">
        <v>897</v>
      </c>
    </row>
    <row r="16" spans="1:9" ht="71.25" hidden="1" customHeight="1">
      <c r="A16" s="276" t="s">
        <v>289</v>
      </c>
      <c r="B16" s="172" t="s">
        <v>889</v>
      </c>
      <c r="C16" s="173" t="s">
        <v>944</v>
      </c>
      <c r="D16" s="178">
        <v>45866</v>
      </c>
      <c r="E16" s="178"/>
      <c r="F16" s="178" t="s">
        <v>897</v>
      </c>
      <c r="G16" s="173" t="s">
        <v>945</v>
      </c>
      <c r="H16" s="172" t="s">
        <v>896</v>
      </c>
      <c r="I16" s="172" t="s">
        <v>897</v>
      </c>
    </row>
    <row r="17" spans="1:9" ht="71.25" hidden="1" customHeight="1">
      <c r="A17" s="516" t="s">
        <v>946</v>
      </c>
      <c r="B17" s="97" t="s">
        <v>889</v>
      </c>
      <c r="C17" s="93" t="s">
        <v>947</v>
      </c>
      <c r="D17" s="133">
        <v>45867</v>
      </c>
      <c r="E17" s="133"/>
      <c r="F17" s="134" t="s">
        <v>948</v>
      </c>
      <c r="G17" s="93" t="s">
        <v>949</v>
      </c>
      <c r="H17" s="97" t="s">
        <v>950</v>
      </c>
      <c r="I17" s="97" t="s">
        <v>893</v>
      </c>
    </row>
    <row r="18" spans="1:9" ht="71.25" hidden="1" customHeight="1">
      <c r="A18" s="516" t="s">
        <v>951</v>
      </c>
      <c r="B18" s="97" t="s">
        <v>889</v>
      </c>
      <c r="C18" s="93" t="s">
        <v>952</v>
      </c>
      <c r="D18" s="133">
        <v>45867</v>
      </c>
      <c r="E18" s="133"/>
      <c r="F18" s="133" t="s">
        <v>923</v>
      </c>
      <c r="G18" s="93" t="s">
        <v>953</v>
      </c>
      <c r="H18" s="97" t="s">
        <v>896</v>
      </c>
      <c r="I18" s="97" t="s">
        <v>893</v>
      </c>
    </row>
    <row r="19" spans="1:9" ht="71.25" hidden="1" customHeight="1">
      <c r="A19" s="516" t="s">
        <v>954</v>
      </c>
      <c r="B19" s="97" t="s">
        <v>889</v>
      </c>
      <c r="C19" s="93" t="s">
        <v>955</v>
      </c>
      <c r="D19" s="133" t="s">
        <v>956</v>
      </c>
      <c r="E19" s="133"/>
      <c r="F19" s="132" t="s">
        <v>923</v>
      </c>
      <c r="G19" s="93" t="s">
        <v>957</v>
      </c>
      <c r="H19" s="97" t="s">
        <v>896</v>
      </c>
      <c r="I19" s="97" t="s">
        <v>581</v>
      </c>
    </row>
    <row r="20" spans="1:9" ht="71.25" hidden="1" customHeight="1">
      <c r="A20" s="516" t="s">
        <v>179</v>
      </c>
      <c r="B20" s="97" t="s">
        <v>889</v>
      </c>
      <c r="C20" s="93" t="s">
        <v>958</v>
      </c>
      <c r="D20" s="129" t="s">
        <v>82</v>
      </c>
      <c r="E20" s="129"/>
      <c r="F20" s="126" t="s">
        <v>923</v>
      </c>
      <c r="G20" s="93" t="s">
        <v>959</v>
      </c>
      <c r="H20" s="97" t="s">
        <v>896</v>
      </c>
      <c r="I20" s="97" t="s">
        <v>893</v>
      </c>
    </row>
    <row r="21" spans="1:9" ht="71.25" hidden="1" customHeight="1">
      <c r="A21" s="516" t="s">
        <v>343</v>
      </c>
      <c r="B21" s="97" t="s">
        <v>889</v>
      </c>
      <c r="C21" s="93" t="s">
        <v>960</v>
      </c>
      <c r="D21" s="126" t="s">
        <v>961</v>
      </c>
      <c r="E21" s="126"/>
      <c r="F21" s="126" t="s">
        <v>82</v>
      </c>
      <c r="G21" s="93" t="s">
        <v>962</v>
      </c>
      <c r="H21" s="97" t="s">
        <v>896</v>
      </c>
      <c r="I21" s="97" t="s">
        <v>893</v>
      </c>
    </row>
    <row r="22" spans="1:9" ht="71.25" hidden="1" customHeight="1">
      <c r="A22" s="516" t="s">
        <v>963</v>
      </c>
      <c r="B22" s="97" t="s">
        <v>889</v>
      </c>
      <c r="C22" s="93" t="s">
        <v>964</v>
      </c>
      <c r="D22" s="126" t="s">
        <v>956</v>
      </c>
      <c r="E22" s="126"/>
      <c r="F22" s="126" t="s">
        <v>923</v>
      </c>
      <c r="G22" s="122" t="s">
        <v>965</v>
      </c>
      <c r="H22" s="120" t="s">
        <v>902</v>
      </c>
      <c r="I22" s="97" t="s">
        <v>893</v>
      </c>
    </row>
    <row r="23" spans="1:9" ht="71.25" hidden="1" customHeight="1">
      <c r="A23" s="516" t="s">
        <v>521</v>
      </c>
      <c r="B23" s="97" t="s">
        <v>889</v>
      </c>
      <c r="C23" s="93" t="s">
        <v>966</v>
      </c>
      <c r="D23" s="232" t="s">
        <v>967</v>
      </c>
      <c r="E23" s="232"/>
      <c r="F23" s="132" t="s">
        <v>967</v>
      </c>
      <c r="G23" s="206" t="s">
        <v>968</v>
      </c>
      <c r="H23" s="97" t="s">
        <v>928</v>
      </c>
      <c r="I23" s="97"/>
    </row>
    <row r="24" spans="1:9" ht="71.25" hidden="1" customHeight="1">
      <c r="A24" s="519" t="s">
        <v>521</v>
      </c>
      <c r="B24" s="161" t="s">
        <v>889</v>
      </c>
      <c r="C24" s="162" t="s">
        <v>969</v>
      </c>
      <c r="D24" s="234" t="s">
        <v>970</v>
      </c>
      <c r="E24" s="234"/>
      <c r="F24" s="170" t="s">
        <v>897</v>
      </c>
      <c r="G24" s="229" t="s">
        <v>971</v>
      </c>
      <c r="H24" s="161" t="s">
        <v>928</v>
      </c>
      <c r="I24" s="161" t="s">
        <v>897</v>
      </c>
    </row>
    <row r="25" spans="1:9" ht="71.25" hidden="1" customHeight="1">
      <c r="A25" s="522" t="s">
        <v>359</v>
      </c>
      <c r="B25" s="148" t="s">
        <v>889</v>
      </c>
      <c r="C25" s="208" t="s">
        <v>941</v>
      </c>
      <c r="D25" s="235">
        <v>45960</v>
      </c>
      <c r="E25" s="235"/>
      <c r="F25" s="150" t="s">
        <v>268</v>
      </c>
      <c r="G25" s="205" t="s">
        <v>972</v>
      </c>
      <c r="H25" s="148" t="s">
        <v>268</v>
      </c>
      <c r="I25" s="152" t="s">
        <v>897</v>
      </c>
    </row>
    <row r="26" spans="1:9" ht="71.25" hidden="1" customHeight="1">
      <c r="A26" s="276" t="s">
        <v>973</v>
      </c>
      <c r="B26" s="172" t="s">
        <v>889</v>
      </c>
      <c r="C26" s="173" t="s">
        <v>955</v>
      </c>
      <c r="D26" s="179" t="s">
        <v>974</v>
      </c>
      <c r="E26" s="179"/>
      <c r="F26" s="179" t="s">
        <v>974</v>
      </c>
      <c r="G26" s="173" t="s">
        <v>975</v>
      </c>
      <c r="H26" s="172" t="s">
        <v>268</v>
      </c>
      <c r="I26" s="172" t="s">
        <v>672</v>
      </c>
    </row>
    <row r="27" spans="1:9" ht="71.25" hidden="1" customHeight="1">
      <c r="A27" s="516" t="s">
        <v>963</v>
      </c>
      <c r="B27" s="97" t="s">
        <v>889</v>
      </c>
      <c r="C27" s="93" t="s">
        <v>976</v>
      </c>
      <c r="D27" s="126" t="s">
        <v>82</v>
      </c>
      <c r="E27" s="126"/>
      <c r="F27" s="126" t="s">
        <v>923</v>
      </c>
      <c r="G27" s="122" t="s">
        <v>977</v>
      </c>
      <c r="H27" s="97" t="s">
        <v>268</v>
      </c>
      <c r="I27" s="97" t="s">
        <v>893</v>
      </c>
    </row>
    <row r="28" spans="1:9" ht="71.25" hidden="1" customHeight="1">
      <c r="A28" s="516" t="s">
        <v>359</v>
      </c>
      <c r="B28" s="97" t="s">
        <v>889</v>
      </c>
      <c r="C28" s="93" t="s">
        <v>978</v>
      </c>
      <c r="D28" s="126" t="s">
        <v>82</v>
      </c>
      <c r="E28" s="126"/>
      <c r="F28" s="126" t="s">
        <v>923</v>
      </c>
      <c r="G28" s="93" t="s">
        <v>979</v>
      </c>
      <c r="H28" s="97" t="s">
        <v>896</v>
      </c>
      <c r="I28" s="97" t="s">
        <v>893</v>
      </c>
    </row>
    <row r="29" spans="1:9" ht="71.25" hidden="1" customHeight="1">
      <c r="A29" s="516" t="s">
        <v>980</v>
      </c>
      <c r="B29" s="97" t="s">
        <v>889</v>
      </c>
      <c r="C29" s="93" t="s">
        <v>981</v>
      </c>
      <c r="D29" s="127" t="s">
        <v>268</v>
      </c>
      <c r="E29" s="127"/>
      <c r="F29" s="127" t="s">
        <v>82</v>
      </c>
      <c r="G29" s="93" t="s">
        <v>982</v>
      </c>
      <c r="H29" s="120"/>
      <c r="I29" s="120"/>
    </row>
    <row r="30" spans="1:9" ht="71.25" hidden="1" customHeight="1">
      <c r="A30" s="516" t="s">
        <v>980</v>
      </c>
      <c r="B30" s="97" t="s">
        <v>889</v>
      </c>
      <c r="C30" s="93" t="s">
        <v>983</v>
      </c>
      <c r="D30" s="127" t="s">
        <v>268</v>
      </c>
      <c r="E30" s="127"/>
      <c r="F30" s="127" t="s">
        <v>82</v>
      </c>
      <c r="G30" s="93" t="s">
        <v>984</v>
      </c>
      <c r="H30" s="120"/>
      <c r="I30" s="120"/>
    </row>
    <row r="31" spans="1:9" ht="71.25" hidden="1" customHeight="1">
      <c r="A31" s="516" t="s">
        <v>980</v>
      </c>
      <c r="B31" s="97" t="s">
        <v>889</v>
      </c>
      <c r="C31" s="93" t="s">
        <v>985</v>
      </c>
      <c r="D31" s="127" t="s">
        <v>268</v>
      </c>
      <c r="E31" s="127"/>
      <c r="F31" s="127" t="s">
        <v>82</v>
      </c>
      <c r="G31" s="93" t="s">
        <v>984</v>
      </c>
      <c r="H31" s="120"/>
      <c r="I31" s="120"/>
    </row>
    <row r="32" spans="1:9" ht="71.25" hidden="1" customHeight="1">
      <c r="A32" s="516" t="s">
        <v>830</v>
      </c>
      <c r="B32" s="97" t="s">
        <v>889</v>
      </c>
      <c r="C32" s="93" t="s">
        <v>986</v>
      </c>
      <c r="D32" s="127" t="s">
        <v>268</v>
      </c>
      <c r="E32" s="127"/>
      <c r="F32" s="127" t="s">
        <v>82</v>
      </c>
      <c r="G32" s="93" t="s">
        <v>987</v>
      </c>
      <c r="H32" s="120" t="s">
        <v>268</v>
      </c>
      <c r="I32" s="120"/>
    </row>
    <row r="33" spans="1:9" ht="71.25" hidden="1" customHeight="1">
      <c r="A33" s="516" t="s">
        <v>516</v>
      </c>
      <c r="B33" s="97" t="s">
        <v>889</v>
      </c>
      <c r="C33" s="93" t="s">
        <v>988</v>
      </c>
      <c r="D33" s="127" t="s">
        <v>268</v>
      </c>
      <c r="E33" s="127"/>
      <c r="F33" s="127" t="s">
        <v>82</v>
      </c>
      <c r="G33" s="93" t="s">
        <v>989</v>
      </c>
      <c r="H33" s="120" t="s">
        <v>990</v>
      </c>
      <c r="I33" s="120" t="s">
        <v>991</v>
      </c>
    </row>
    <row r="34" spans="1:9" ht="71.25" hidden="1" customHeight="1">
      <c r="A34" s="516" t="s">
        <v>992</v>
      </c>
      <c r="B34" s="97" t="s">
        <v>889</v>
      </c>
      <c r="C34" s="93" t="s">
        <v>993</v>
      </c>
      <c r="D34" s="127" t="s">
        <v>268</v>
      </c>
      <c r="E34" s="127"/>
      <c r="F34" s="127" t="s">
        <v>923</v>
      </c>
      <c r="G34" s="93" t="s">
        <v>994</v>
      </c>
      <c r="H34" s="97" t="s">
        <v>896</v>
      </c>
      <c r="I34" s="120" t="s">
        <v>893</v>
      </c>
    </row>
    <row r="35" spans="1:9" ht="71.25" hidden="1" customHeight="1">
      <c r="A35" s="516" t="s">
        <v>995</v>
      </c>
      <c r="B35" s="97" t="s">
        <v>889</v>
      </c>
      <c r="C35" s="93" t="s">
        <v>996</v>
      </c>
      <c r="D35" s="127" t="s">
        <v>268</v>
      </c>
      <c r="E35" s="127"/>
      <c r="F35" s="127" t="s">
        <v>82</v>
      </c>
      <c r="G35" s="93" t="s">
        <v>997</v>
      </c>
      <c r="H35" s="120" t="s">
        <v>896</v>
      </c>
      <c r="I35" s="120" t="s">
        <v>893</v>
      </c>
    </row>
    <row r="36" spans="1:9" ht="71.25" hidden="1" customHeight="1">
      <c r="A36" s="516" t="s">
        <v>998</v>
      </c>
      <c r="B36" s="97" t="s">
        <v>889</v>
      </c>
      <c r="C36" s="93" t="s">
        <v>999</v>
      </c>
      <c r="D36" s="127" t="s">
        <v>268</v>
      </c>
      <c r="E36" s="127"/>
      <c r="F36" s="126" t="s">
        <v>923</v>
      </c>
      <c r="G36" s="122" t="s">
        <v>1000</v>
      </c>
      <c r="H36" s="97" t="s">
        <v>902</v>
      </c>
      <c r="I36" s="97" t="s">
        <v>893</v>
      </c>
    </row>
    <row r="37" spans="1:9" ht="71.25" hidden="1" customHeight="1">
      <c r="A37" s="516" t="s">
        <v>834</v>
      </c>
      <c r="B37" s="97" t="s">
        <v>889</v>
      </c>
      <c r="C37" s="93" t="s">
        <v>1001</v>
      </c>
      <c r="D37" s="127" t="s">
        <v>268</v>
      </c>
      <c r="E37" s="127"/>
      <c r="F37" s="127" t="s">
        <v>82</v>
      </c>
      <c r="G37" s="93" t="s">
        <v>1002</v>
      </c>
      <c r="H37" s="120" t="s">
        <v>896</v>
      </c>
      <c r="I37" s="120" t="s">
        <v>776</v>
      </c>
    </row>
    <row r="38" spans="1:9" ht="71.25" hidden="1" customHeight="1">
      <c r="A38" s="516" t="s">
        <v>1003</v>
      </c>
      <c r="B38" s="97" t="s">
        <v>889</v>
      </c>
      <c r="C38" s="93" t="s">
        <v>1004</v>
      </c>
      <c r="D38" s="127" t="s">
        <v>268</v>
      </c>
      <c r="E38" s="127"/>
      <c r="F38" s="127" t="s">
        <v>923</v>
      </c>
      <c r="G38" s="93" t="s">
        <v>1005</v>
      </c>
      <c r="H38" s="120" t="s">
        <v>897</v>
      </c>
      <c r="I38" s="120" t="s">
        <v>897</v>
      </c>
    </row>
    <row r="39" spans="1:9" ht="71.25" hidden="1" customHeight="1">
      <c r="A39" s="516" t="s">
        <v>1006</v>
      </c>
      <c r="B39" s="97" t="s">
        <v>889</v>
      </c>
      <c r="C39" s="93" t="s">
        <v>1007</v>
      </c>
      <c r="D39" s="127" t="s">
        <v>268</v>
      </c>
      <c r="E39" s="127"/>
      <c r="F39" s="126" t="s">
        <v>923</v>
      </c>
      <c r="G39" s="125" t="s">
        <v>1008</v>
      </c>
      <c r="H39" s="97" t="s">
        <v>896</v>
      </c>
      <c r="I39" s="120" t="s">
        <v>893</v>
      </c>
    </row>
    <row r="40" spans="1:9" ht="71.25" hidden="1" customHeight="1">
      <c r="A40" s="516" t="s">
        <v>1009</v>
      </c>
      <c r="B40" s="97" t="s">
        <v>889</v>
      </c>
      <c r="C40" s="93" t="s">
        <v>1010</v>
      </c>
      <c r="D40" s="127" t="s">
        <v>268</v>
      </c>
      <c r="E40" s="127"/>
      <c r="F40" s="127" t="s">
        <v>82</v>
      </c>
      <c r="G40" s="93" t="s">
        <v>1011</v>
      </c>
      <c r="H40" s="120" t="s">
        <v>268</v>
      </c>
      <c r="I40" s="120" t="s">
        <v>893</v>
      </c>
    </row>
    <row r="41" spans="1:9" ht="71.25" hidden="1" customHeight="1">
      <c r="A41" s="516" t="s">
        <v>1012</v>
      </c>
      <c r="B41" s="97" t="s">
        <v>889</v>
      </c>
      <c r="C41" s="93" t="s">
        <v>1013</v>
      </c>
      <c r="D41" s="127" t="s">
        <v>268</v>
      </c>
      <c r="E41" s="127"/>
      <c r="F41" s="127" t="s">
        <v>82</v>
      </c>
      <c r="G41" s="93" t="s">
        <v>1014</v>
      </c>
      <c r="H41" s="120" t="s">
        <v>1015</v>
      </c>
      <c r="I41" s="120" t="s">
        <v>1016</v>
      </c>
    </row>
    <row r="42" spans="1:9" ht="71.25" hidden="1" customHeight="1">
      <c r="A42" s="516" t="s">
        <v>1017</v>
      </c>
      <c r="B42" s="97" t="s">
        <v>889</v>
      </c>
      <c r="C42" s="93" t="s">
        <v>1018</v>
      </c>
      <c r="D42" s="127" t="s">
        <v>268</v>
      </c>
      <c r="E42" s="127"/>
      <c r="F42" s="127" t="s">
        <v>82</v>
      </c>
      <c r="G42" s="93" t="s">
        <v>1019</v>
      </c>
      <c r="H42" s="97" t="s">
        <v>896</v>
      </c>
      <c r="I42" s="97" t="s">
        <v>897</v>
      </c>
    </row>
    <row r="43" spans="1:9" ht="71.25" hidden="1" customHeight="1">
      <c r="A43" s="516" t="s">
        <v>1020</v>
      </c>
      <c r="B43" s="97" t="s">
        <v>889</v>
      </c>
      <c r="C43" s="93" t="s">
        <v>1021</v>
      </c>
      <c r="D43" s="127" t="s">
        <v>268</v>
      </c>
      <c r="E43" s="127"/>
      <c r="F43" s="126" t="s">
        <v>82</v>
      </c>
      <c r="G43" s="93" t="s">
        <v>753</v>
      </c>
      <c r="H43" s="120" t="s">
        <v>1022</v>
      </c>
      <c r="I43" s="120" t="s">
        <v>581</v>
      </c>
    </row>
    <row r="44" spans="1:9" ht="71.25" hidden="1" customHeight="1">
      <c r="A44" s="516" t="s">
        <v>1023</v>
      </c>
      <c r="B44" s="97" t="s">
        <v>889</v>
      </c>
      <c r="C44" s="93" t="s">
        <v>1024</v>
      </c>
      <c r="D44" s="127" t="s">
        <v>268</v>
      </c>
      <c r="E44" s="127"/>
      <c r="F44" s="126" t="s">
        <v>82</v>
      </c>
      <c r="G44" s="93" t="s">
        <v>753</v>
      </c>
      <c r="H44" s="120" t="s">
        <v>1022</v>
      </c>
      <c r="I44" s="120" t="s">
        <v>1025</v>
      </c>
    </row>
    <row r="45" spans="1:9" ht="71.25" hidden="1" customHeight="1">
      <c r="A45" s="516" t="s">
        <v>1026</v>
      </c>
      <c r="B45" s="97" t="s">
        <v>889</v>
      </c>
      <c r="C45" s="93" t="s">
        <v>1027</v>
      </c>
      <c r="D45" s="127" t="s">
        <v>268</v>
      </c>
      <c r="E45" s="127"/>
      <c r="F45" s="126" t="s">
        <v>82</v>
      </c>
      <c r="G45" s="125" t="s">
        <v>761</v>
      </c>
      <c r="H45" s="120" t="s">
        <v>1022</v>
      </c>
      <c r="I45" s="120" t="s">
        <v>1025</v>
      </c>
    </row>
    <row r="46" spans="1:9" ht="71.25" hidden="1" customHeight="1">
      <c r="A46" s="516" t="s">
        <v>435</v>
      </c>
      <c r="B46" s="97" t="s">
        <v>889</v>
      </c>
      <c r="C46" s="93" t="s">
        <v>1028</v>
      </c>
      <c r="D46" s="127" t="s">
        <v>268</v>
      </c>
      <c r="E46" s="127"/>
      <c r="F46" s="127" t="s">
        <v>581</v>
      </c>
      <c r="G46" s="93" t="s">
        <v>1029</v>
      </c>
      <c r="H46" s="120" t="s">
        <v>896</v>
      </c>
      <c r="I46" s="120" t="s">
        <v>581</v>
      </c>
    </row>
    <row r="47" spans="1:9" ht="71.25" hidden="1" customHeight="1">
      <c r="A47" s="516" t="s">
        <v>1030</v>
      </c>
      <c r="B47" s="97" t="s">
        <v>889</v>
      </c>
      <c r="C47" s="93" t="s">
        <v>1031</v>
      </c>
      <c r="D47" s="127" t="s">
        <v>268</v>
      </c>
      <c r="E47" s="127"/>
      <c r="F47" s="126" t="s">
        <v>82</v>
      </c>
      <c r="G47" s="125" t="s">
        <v>1032</v>
      </c>
      <c r="H47" s="120" t="s">
        <v>896</v>
      </c>
      <c r="I47" s="120" t="s">
        <v>1033</v>
      </c>
    </row>
    <row r="48" spans="1:9" ht="71.25" hidden="1" customHeight="1">
      <c r="A48" s="516" t="s">
        <v>1034</v>
      </c>
      <c r="B48" s="97" t="s">
        <v>889</v>
      </c>
      <c r="C48" s="93" t="s">
        <v>1035</v>
      </c>
      <c r="D48" s="127" t="s">
        <v>268</v>
      </c>
      <c r="E48" s="127"/>
      <c r="F48" s="127" t="s">
        <v>1036</v>
      </c>
      <c r="G48" s="125" t="s">
        <v>1037</v>
      </c>
      <c r="H48" s="120" t="s">
        <v>896</v>
      </c>
      <c r="I48" s="120" t="s">
        <v>1038</v>
      </c>
    </row>
    <row r="49" spans="1:9" ht="71.25" hidden="1" customHeight="1">
      <c r="A49" s="516" t="s">
        <v>1039</v>
      </c>
      <c r="B49" s="97" t="s">
        <v>889</v>
      </c>
      <c r="C49" s="93" t="s">
        <v>1040</v>
      </c>
      <c r="D49" s="127" t="s">
        <v>268</v>
      </c>
      <c r="E49" s="127"/>
      <c r="F49" s="126" t="s">
        <v>923</v>
      </c>
      <c r="G49" s="125"/>
      <c r="H49" s="97" t="s">
        <v>896</v>
      </c>
      <c r="I49" s="120" t="s">
        <v>1041</v>
      </c>
    </row>
    <row r="50" spans="1:9" ht="71.25" hidden="1" customHeight="1">
      <c r="A50" s="519" t="s">
        <v>907</v>
      </c>
      <c r="B50" s="161" t="s">
        <v>889</v>
      </c>
      <c r="C50" s="162" t="s">
        <v>1042</v>
      </c>
      <c r="D50" s="171">
        <v>45868</v>
      </c>
      <c r="E50" s="171"/>
      <c r="F50" s="171" t="s">
        <v>897</v>
      </c>
      <c r="G50" s="162" t="s">
        <v>1043</v>
      </c>
      <c r="H50" s="161" t="s">
        <v>896</v>
      </c>
      <c r="I50" s="161" t="s">
        <v>906</v>
      </c>
    </row>
    <row r="51" spans="1:9" ht="71.25" hidden="1" customHeight="1">
      <c r="A51" s="276" t="s">
        <v>435</v>
      </c>
      <c r="B51" s="172" t="s">
        <v>889</v>
      </c>
      <c r="C51" s="173" t="s">
        <v>1044</v>
      </c>
      <c r="D51" s="231" t="s">
        <v>1045</v>
      </c>
      <c r="E51" s="231"/>
      <c r="F51" s="174" t="s">
        <v>991</v>
      </c>
      <c r="G51" s="207" t="s">
        <v>1046</v>
      </c>
      <c r="H51" s="172" t="s">
        <v>896</v>
      </c>
      <c r="I51" s="172" t="s">
        <v>1047</v>
      </c>
    </row>
    <row r="52" spans="1:9" ht="71.25" hidden="1" customHeight="1">
      <c r="A52" s="519" t="s">
        <v>907</v>
      </c>
      <c r="B52" s="161" t="s">
        <v>889</v>
      </c>
      <c r="C52" s="162" t="s">
        <v>1048</v>
      </c>
      <c r="D52" s="236" t="s">
        <v>1049</v>
      </c>
      <c r="E52" s="236"/>
      <c r="F52" s="188" t="s">
        <v>268</v>
      </c>
      <c r="G52" s="222" t="s">
        <v>1050</v>
      </c>
      <c r="H52" s="165" t="s">
        <v>896</v>
      </c>
      <c r="I52" s="165" t="s">
        <v>268</v>
      </c>
    </row>
    <row r="53" spans="1:9" s="145" customFormat="1" ht="71.25" hidden="1" customHeight="1">
      <c r="A53" s="518" t="s">
        <v>1051</v>
      </c>
      <c r="B53" s="148" t="s">
        <v>889</v>
      </c>
      <c r="C53" s="260" t="s">
        <v>1052</v>
      </c>
      <c r="D53" s="256">
        <v>46036</v>
      </c>
      <c r="E53" s="256"/>
      <c r="F53" s="256">
        <v>46010</v>
      </c>
      <c r="G53" s="266" t="s">
        <v>1053</v>
      </c>
      <c r="H53" s="148" t="s">
        <v>1054</v>
      </c>
      <c r="I53" s="148" t="s">
        <v>1055</v>
      </c>
    </row>
    <row r="54" spans="1:9" ht="71.25" hidden="1" customHeight="1">
      <c r="A54" s="523" t="s">
        <v>1056</v>
      </c>
      <c r="B54" s="195" t="s">
        <v>889</v>
      </c>
      <c r="C54" s="196" t="s">
        <v>1057</v>
      </c>
      <c r="D54" s="586" t="s">
        <v>1058</v>
      </c>
      <c r="E54" s="586"/>
      <c r="F54" s="367" t="s">
        <v>897</v>
      </c>
      <c r="G54" s="587" t="s">
        <v>1059</v>
      </c>
      <c r="H54" s="368" t="s">
        <v>672</v>
      </c>
      <c r="I54" s="189" t="s">
        <v>897</v>
      </c>
    </row>
    <row r="55" spans="1:9" ht="71.25" hidden="1" customHeight="1">
      <c r="A55" s="518" t="s">
        <v>937</v>
      </c>
      <c r="B55" s="148" t="s">
        <v>889</v>
      </c>
      <c r="C55" s="260" t="s">
        <v>1060</v>
      </c>
      <c r="D55" s="257" t="s">
        <v>1061</v>
      </c>
      <c r="E55" s="582"/>
      <c r="F55" s="582"/>
      <c r="G55" s="205" t="s">
        <v>1062</v>
      </c>
      <c r="H55" s="581" t="s">
        <v>1063</v>
      </c>
      <c r="I55" s="264" t="s">
        <v>893</v>
      </c>
    </row>
    <row r="56" spans="1:9" ht="71.25" hidden="1" customHeight="1">
      <c r="A56" s="523" t="s">
        <v>359</v>
      </c>
      <c r="B56" s="195" t="s">
        <v>889</v>
      </c>
      <c r="C56" s="196" t="s">
        <v>1064</v>
      </c>
      <c r="D56" s="586" t="s">
        <v>1065</v>
      </c>
      <c r="E56" s="586"/>
      <c r="F56" s="257" t="s">
        <v>897</v>
      </c>
      <c r="G56" s="511" t="s">
        <v>1066</v>
      </c>
      <c r="H56" s="144" t="s">
        <v>1067</v>
      </c>
      <c r="I56" s="148" t="s">
        <v>897</v>
      </c>
    </row>
    <row r="57" spans="1:9" ht="71.25" hidden="1" customHeight="1">
      <c r="A57" s="518" t="s">
        <v>937</v>
      </c>
      <c r="B57" s="148" t="s">
        <v>889</v>
      </c>
      <c r="C57" s="260" t="s">
        <v>1068</v>
      </c>
      <c r="D57" s="261" t="s">
        <v>1058</v>
      </c>
      <c r="E57" s="628"/>
      <c r="F57" s="583">
        <v>45981</v>
      </c>
      <c r="G57" s="205" t="s">
        <v>1069</v>
      </c>
      <c r="H57" s="584" t="s">
        <v>1063</v>
      </c>
      <c r="I57" s="152" t="s">
        <v>893</v>
      </c>
    </row>
    <row r="58" spans="1:9" ht="71.25" hidden="1" customHeight="1">
      <c r="A58" s="276" t="s">
        <v>1070</v>
      </c>
      <c r="B58" s="172" t="s">
        <v>889</v>
      </c>
      <c r="C58" s="173" t="s">
        <v>1071</v>
      </c>
      <c r="D58" s="704" t="s">
        <v>1072</v>
      </c>
      <c r="E58" s="275"/>
      <c r="F58" s="276" t="s">
        <v>897</v>
      </c>
      <c r="G58" s="221" t="s">
        <v>1073</v>
      </c>
      <c r="H58" s="172" t="s">
        <v>896</v>
      </c>
      <c r="I58" s="172" t="s">
        <v>268</v>
      </c>
    </row>
    <row r="59" spans="1:9" ht="71.25" hidden="1" customHeight="1">
      <c r="A59" s="518" t="s">
        <v>339</v>
      </c>
      <c r="B59" s="518" t="s">
        <v>1074</v>
      </c>
      <c r="C59" s="149" t="s">
        <v>1075</v>
      </c>
      <c r="D59" s="256" t="s">
        <v>268</v>
      </c>
      <c r="E59" s="256"/>
      <c r="F59" s="257" t="s">
        <v>82</v>
      </c>
      <c r="G59" s="205" t="s">
        <v>1076</v>
      </c>
      <c r="H59" s="161" t="s">
        <v>896</v>
      </c>
      <c r="I59" s="161" t="s">
        <v>1041</v>
      </c>
    </row>
    <row r="60" spans="1:9" s="145" customFormat="1" ht="71.25" hidden="1" customHeight="1">
      <c r="A60" s="518" t="s">
        <v>435</v>
      </c>
      <c r="B60" s="148" t="s">
        <v>889</v>
      </c>
      <c r="C60" s="149" t="s">
        <v>1077</v>
      </c>
      <c r="D60" s="235" t="s">
        <v>1078</v>
      </c>
      <c r="E60" s="235"/>
      <c r="F60" s="230" t="s">
        <v>1079</v>
      </c>
      <c r="G60" s="206" t="s">
        <v>1080</v>
      </c>
      <c r="H60" s="148" t="s">
        <v>896</v>
      </c>
      <c r="I60" s="148" t="s">
        <v>581</v>
      </c>
    </row>
    <row r="61" spans="1:9" ht="71.25" hidden="1" customHeight="1">
      <c r="A61" s="276" t="s">
        <v>269</v>
      </c>
      <c r="B61" s="172" t="s">
        <v>889</v>
      </c>
      <c r="C61" s="173" t="s">
        <v>1081</v>
      </c>
      <c r="D61" s="194" t="s">
        <v>268</v>
      </c>
      <c r="E61" s="194"/>
      <c r="F61" s="194" t="s">
        <v>268</v>
      </c>
      <c r="G61" s="175" t="s">
        <v>1082</v>
      </c>
      <c r="H61" s="172" t="s">
        <v>896</v>
      </c>
      <c r="I61" s="172" t="s">
        <v>906</v>
      </c>
    </row>
    <row r="62" spans="1:9" ht="71.25" hidden="1" customHeight="1">
      <c r="A62" s="516" t="s">
        <v>639</v>
      </c>
      <c r="B62" s="97" t="s">
        <v>889</v>
      </c>
      <c r="C62" s="93" t="s">
        <v>1083</v>
      </c>
      <c r="D62" s="232" t="s">
        <v>1084</v>
      </c>
      <c r="E62" s="232"/>
      <c r="F62" s="132">
        <v>45910</v>
      </c>
      <c r="G62" s="243" t="s">
        <v>1085</v>
      </c>
      <c r="H62" s="97" t="s">
        <v>896</v>
      </c>
      <c r="I62" s="97" t="s">
        <v>1086</v>
      </c>
    </row>
    <row r="63" spans="1:9" ht="71.25" hidden="1" customHeight="1">
      <c r="A63" s="519" t="s">
        <v>1087</v>
      </c>
      <c r="B63" s="161" t="s">
        <v>889</v>
      </c>
      <c r="C63" s="162" t="s">
        <v>1088</v>
      </c>
      <c r="D63" s="163" t="s">
        <v>268</v>
      </c>
      <c r="E63" s="163"/>
      <c r="F63" s="163" t="s">
        <v>82</v>
      </c>
      <c r="G63" s="164" t="s">
        <v>1089</v>
      </c>
      <c r="H63" s="161" t="s">
        <v>896</v>
      </c>
      <c r="I63" s="165" t="s">
        <v>581</v>
      </c>
    </row>
    <row r="64" spans="1:9" ht="71.25" hidden="1" customHeight="1">
      <c r="A64" s="518" t="s">
        <v>281</v>
      </c>
      <c r="B64" s="148" t="s">
        <v>889</v>
      </c>
      <c r="C64" s="149" t="s">
        <v>1090</v>
      </c>
      <c r="D64" s="150" t="s">
        <v>1091</v>
      </c>
      <c r="E64" s="150"/>
      <c r="F64" s="150" t="s">
        <v>581</v>
      </c>
      <c r="G64" s="206" t="s">
        <v>1092</v>
      </c>
      <c r="H64" s="148" t="s">
        <v>896</v>
      </c>
      <c r="I64" s="152" t="s">
        <v>581</v>
      </c>
    </row>
    <row r="65" spans="1:9" ht="71.25" hidden="1" customHeight="1">
      <c r="A65" s="523" t="s">
        <v>401</v>
      </c>
      <c r="B65" s="148" t="s">
        <v>889</v>
      </c>
      <c r="C65" s="196" t="s">
        <v>1093</v>
      </c>
      <c r="D65" s="237" t="s">
        <v>1094</v>
      </c>
      <c r="E65" s="237"/>
      <c r="F65" s="197" t="s">
        <v>1095</v>
      </c>
      <c r="G65" s="244" t="s">
        <v>1096</v>
      </c>
      <c r="H65" s="195" t="s">
        <v>1097</v>
      </c>
      <c r="I65" s="198" t="s">
        <v>1098</v>
      </c>
    </row>
    <row r="66" spans="1:9" ht="71.25" hidden="1" customHeight="1">
      <c r="A66" s="518" t="s">
        <v>396</v>
      </c>
      <c r="B66" s="148" t="s">
        <v>889</v>
      </c>
      <c r="C66" s="149" t="s">
        <v>1099</v>
      </c>
      <c r="D66" s="150" t="s">
        <v>581</v>
      </c>
      <c r="E66" s="150"/>
      <c r="F66" s="150">
        <v>45926</v>
      </c>
      <c r="G66" s="151" t="s">
        <v>1100</v>
      </c>
      <c r="H66" s="148" t="s">
        <v>581</v>
      </c>
      <c r="I66" s="152" t="s">
        <v>581</v>
      </c>
    </row>
    <row r="67" spans="1:9" ht="71.25" hidden="1" customHeight="1">
      <c r="A67" s="518" t="s">
        <v>114</v>
      </c>
      <c r="B67" s="148" t="s">
        <v>889</v>
      </c>
      <c r="C67" s="149" t="s">
        <v>1101</v>
      </c>
      <c r="D67" s="150" t="s">
        <v>581</v>
      </c>
      <c r="E67" s="150"/>
      <c r="F67" s="150" t="s">
        <v>581</v>
      </c>
      <c r="G67" s="151" t="s">
        <v>1102</v>
      </c>
      <c r="H67" s="148" t="s">
        <v>581</v>
      </c>
      <c r="I67" s="152" t="s">
        <v>581</v>
      </c>
    </row>
    <row r="68" spans="1:9" ht="71.25" hidden="1" customHeight="1">
      <c r="A68" s="521" t="s">
        <v>309</v>
      </c>
      <c r="B68" s="189" t="s">
        <v>889</v>
      </c>
      <c r="C68" s="190" t="s">
        <v>1101</v>
      </c>
      <c r="D68" s="191" t="s">
        <v>581</v>
      </c>
      <c r="E68" s="191"/>
      <c r="F68" s="191" t="s">
        <v>581</v>
      </c>
      <c r="G68" s="192" t="s">
        <v>1103</v>
      </c>
      <c r="H68" s="189" t="s">
        <v>581</v>
      </c>
      <c r="I68" s="193" t="s">
        <v>581</v>
      </c>
    </row>
    <row r="69" spans="1:9" ht="71.25" hidden="1" customHeight="1">
      <c r="A69" s="518" t="s">
        <v>1104</v>
      </c>
      <c r="B69" s="148" t="s">
        <v>889</v>
      </c>
      <c r="C69" s="149" t="s">
        <v>1105</v>
      </c>
      <c r="D69" s="150" t="s">
        <v>581</v>
      </c>
      <c r="E69" s="150"/>
      <c r="F69" s="150" t="s">
        <v>581</v>
      </c>
      <c r="G69" s="151" t="s">
        <v>1106</v>
      </c>
      <c r="H69" s="148" t="s">
        <v>581</v>
      </c>
      <c r="I69" s="152" t="s">
        <v>581</v>
      </c>
    </row>
    <row r="70" spans="1:9" ht="71.25" hidden="1" customHeight="1">
      <c r="A70" s="520" t="s">
        <v>1104</v>
      </c>
      <c r="B70" s="183" t="s">
        <v>889</v>
      </c>
      <c r="C70" s="184" t="s">
        <v>1107</v>
      </c>
      <c r="D70" s="185" t="s">
        <v>581</v>
      </c>
      <c r="E70" s="185"/>
      <c r="F70" s="185" t="s">
        <v>581</v>
      </c>
      <c r="G70" s="186" t="s">
        <v>1108</v>
      </c>
      <c r="H70" s="183" t="s">
        <v>581</v>
      </c>
      <c r="I70" s="187" t="s">
        <v>581</v>
      </c>
    </row>
    <row r="71" spans="1:9" s="145" customFormat="1" ht="71.25" hidden="1" customHeight="1">
      <c r="A71" s="518" t="s">
        <v>435</v>
      </c>
      <c r="B71" s="148" t="s">
        <v>889</v>
      </c>
      <c r="C71" s="149" t="s">
        <v>1109</v>
      </c>
      <c r="D71" s="150" t="s">
        <v>268</v>
      </c>
      <c r="E71" s="150"/>
      <c r="F71" s="230" t="s">
        <v>268</v>
      </c>
      <c r="G71" s="206" t="s">
        <v>1110</v>
      </c>
      <c r="H71" s="148"/>
      <c r="I71" s="148"/>
    </row>
    <row r="72" spans="1:9" ht="71.25" hidden="1" customHeight="1">
      <c r="A72" s="518" t="s">
        <v>1111</v>
      </c>
      <c r="B72" s="148" t="s">
        <v>889</v>
      </c>
      <c r="C72" s="149" t="s">
        <v>1112</v>
      </c>
      <c r="D72" s="150" t="s">
        <v>268</v>
      </c>
      <c r="E72" s="150"/>
      <c r="F72" s="230" t="s">
        <v>268</v>
      </c>
      <c r="G72" s="151" t="s">
        <v>1113</v>
      </c>
      <c r="H72" s="148" t="s">
        <v>896</v>
      </c>
      <c r="I72" s="148" t="s">
        <v>268</v>
      </c>
    </row>
    <row r="73" spans="1:9" ht="71.25" hidden="1" customHeight="1">
      <c r="A73" s="519" t="s">
        <v>343</v>
      </c>
      <c r="B73" s="183" t="s">
        <v>889</v>
      </c>
      <c r="C73" s="162" t="s">
        <v>1114</v>
      </c>
      <c r="D73" s="265" t="s">
        <v>1115</v>
      </c>
      <c r="E73" s="265"/>
      <c r="F73" s="265" t="s">
        <v>897</v>
      </c>
      <c r="G73" s="222" t="s">
        <v>1116</v>
      </c>
      <c r="H73" s="144" t="s">
        <v>1117</v>
      </c>
      <c r="I73" s="161"/>
    </row>
    <row r="74" spans="1:9" ht="71.25" hidden="1" customHeight="1">
      <c r="A74" s="518" t="s">
        <v>937</v>
      </c>
      <c r="B74" s="148" t="s">
        <v>889</v>
      </c>
      <c r="C74" s="149" t="s">
        <v>1118</v>
      </c>
      <c r="D74" s="257" t="s">
        <v>1115</v>
      </c>
      <c r="E74" s="582"/>
      <c r="F74" s="582">
        <v>45966</v>
      </c>
      <c r="G74" s="205" t="s">
        <v>1119</v>
      </c>
      <c r="H74" s="581" t="s">
        <v>918</v>
      </c>
      <c r="I74" s="148" t="s">
        <v>893</v>
      </c>
    </row>
    <row r="75" spans="1:9" ht="71.25" hidden="1" customHeight="1">
      <c r="A75" s="521" t="s">
        <v>396</v>
      </c>
      <c r="B75" s="189" t="s">
        <v>889</v>
      </c>
      <c r="C75" s="190" t="s">
        <v>1120</v>
      </c>
      <c r="D75" s="366" t="s">
        <v>1121</v>
      </c>
      <c r="E75" s="366"/>
      <c r="F75" s="257">
        <v>45967</v>
      </c>
      <c r="G75" s="221" t="s">
        <v>1122</v>
      </c>
      <c r="H75" s="144" t="s">
        <v>1123</v>
      </c>
      <c r="I75" s="148" t="s">
        <v>893</v>
      </c>
    </row>
    <row r="76" spans="1:9" ht="71.25" hidden="1" customHeight="1">
      <c r="A76" s="518" t="s">
        <v>343</v>
      </c>
      <c r="B76" s="148" t="s">
        <v>889</v>
      </c>
      <c r="C76" s="149" t="s">
        <v>1124</v>
      </c>
      <c r="D76" s="256">
        <v>45975</v>
      </c>
      <c r="E76" s="256"/>
      <c r="F76" s="257" t="s">
        <v>897</v>
      </c>
      <c r="G76" s="205" t="s">
        <v>1125</v>
      </c>
      <c r="H76" s="144" t="s">
        <v>1117</v>
      </c>
      <c r="I76" s="148" t="s">
        <v>897</v>
      </c>
    </row>
    <row r="77" spans="1:9" ht="71.25" hidden="1" customHeight="1">
      <c r="A77" s="518" t="s">
        <v>359</v>
      </c>
      <c r="B77" s="148" t="s">
        <v>889</v>
      </c>
      <c r="C77" s="149" t="s">
        <v>1064</v>
      </c>
      <c r="D77" s="256">
        <v>45978</v>
      </c>
      <c r="E77" s="256"/>
      <c r="F77" s="257">
        <v>45975</v>
      </c>
      <c r="G77" s="267" t="s">
        <v>1126</v>
      </c>
      <c r="H77" s="144" t="s">
        <v>1067</v>
      </c>
      <c r="I77" s="148" t="s">
        <v>893</v>
      </c>
    </row>
    <row r="78" spans="1:9" ht="71.25" hidden="1" customHeight="1">
      <c r="A78" s="518" t="s">
        <v>1127</v>
      </c>
      <c r="B78" s="148" t="s">
        <v>889</v>
      </c>
      <c r="C78" s="260" t="s">
        <v>1128</v>
      </c>
      <c r="D78" s="256" t="s">
        <v>1129</v>
      </c>
      <c r="E78" s="256"/>
      <c r="F78" s="257" t="s">
        <v>897</v>
      </c>
      <c r="G78" s="205" t="s">
        <v>1130</v>
      </c>
      <c r="H78" s="144" t="s">
        <v>1131</v>
      </c>
      <c r="I78" s="148"/>
    </row>
    <row r="79" spans="1:9" ht="71.25" hidden="1" customHeight="1">
      <c r="A79" s="518" t="s">
        <v>363</v>
      </c>
      <c r="B79" s="518" t="s">
        <v>1074</v>
      </c>
      <c r="C79" s="149" t="s">
        <v>1132</v>
      </c>
      <c r="D79" s="256" t="s">
        <v>672</v>
      </c>
      <c r="E79" s="256"/>
      <c r="F79" s="257" t="s">
        <v>672</v>
      </c>
      <c r="G79" s="205" t="s">
        <v>1133</v>
      </c>
      <c r="H79" s="144" t="s">
        <v>672</v>
      </c>
      <c r="I79" s="148" t="s">
        <v>1016</v>
      </c>
    </row>
    <row r="80" spans="1:9" ht="71.25" hidden="1" customHeight="1">
      <c r="A80" s="520" t="s">
        <v>364</v>
      </c>
      <c r="B80" s="520" t="s">
        <v>1074</v>
      </c>
      <c r="C80" s="184" t="s">
        <v>1132</v>
      </c>
      <c r="D80" s="588" t="s">
        <v>672</v>
      </c>
      <c r="E80" s="588"/>
      <c r="F80" s="257" t="s">
        <v>672</v>
      </c>
      <c r="G80" s="222" t="s">
        <v>1133</v>
      </c>
      <c r="H80" s="144" t="s">
        <v>672</v>
      </c>
      <c r="I80" s="148" t="s">
        <v>1016</v>
      </c>
    </row>
    <row r="81" spans="1:9" ht="71.25" hidden="1" customHeight="1">
      <c r="A81" s="518" t="s">
        <v>937</v>
      </c>
      <c r="B81" s="148" t="s">
        <v>889</v>
      </c>
      <c r="C81" s="149" t="s">
        <v>1134</v>
      </c>
      <c r="D81" s="257" t="s">
        <v>1135</v>
      </c>
      <c r="E81" s="582"/>
      <c r="F81" s="582" t="s">
        <v>897</v>
      </c>
      <c r="G81" s="205" t="s">
        <v>1136</v>
      </c>
      <c r="H81" s="581" t="s">
        <v>918</v>
      </c>
      <c r="I81" s="183" t="s">
        <v>897</v>
      </c>
    </row>
    <row r="82" spans="1:9" ht="71.25" hidden="1" customHeight="1">
      <c r="A82" s="523" t="s">
        <v>796</v>
      </c>
      <c r="B82" s="369" t="s">
        <v>889</v>
      </c>
      <c r="C82" s="196" t="s">
        <v>1137</v>
      </c>
      <c r="D82" s="586" t="s">
        <v>897</v>
      </c>
      <c r="E82" s="586"/>
      <c r="F82" s="257" t="s">
        <v>897</v>
      </c>
      <c r="G82" s="587" t="s">
        <v>1138</v>
      </c>
      <c r="H82" s="161"/>
      <c r="I82" s="161"/>
    </row>
    <row r="83" spans="1:9" ht="71.25" hidden="1" customHeight="1">
      <c r="A83" s="469" t="s">
        <v>937</v>
      </c>
      <c r="B83" s="281" t="s">
        <v>889</v>
      </c>
      <c r="C83" s="260" t="s">
        <v>1139</v>
      </c>
      <c r="D83" s="282" t="s">
        <v>1140</v>
      </c>
      <c r="E83" s="629"/>
      <c r="F83" s="585" t="s">
        <v>897</v>
      </c>
      <c r="G83" s="267" t="s">
        <v>1141</v>
      </c>
      <c r="H83" s="536" t="s">
        <v>918</v>
      </c>
      <c r="I83" s="304"/>
    </row>
    <row r="84" spans="1:9" ht="71.25" hidden="1" customHeight="1">
      <c r="A84" s="510" t="s">
        <v>401</v>
      </c>
      <c r="B84" s="369" t="s">
        <v>889</v>
      </c>
      <c r="C84" s="370" t="s">
        <v>1142</v>
      </c>
      <c r="D84" s="371">
        <v>46007</v>
      </c>
      <c r="E84" s="371"/>
      <c r="F84" s="364" t="s">
        <v>897</v>
      </c>
      <c r="G84" s="376" t="s">
        <v>1143</v>
      </c>
      <c r="H84" s="365"/>
      <c r="I84" s="165"/>
    </row>
    <row r="85" spans="1:9" ht="71.25" hidden="1" customHeight="1">
      <c r="A85" s="469" t="s">
        <v>834</v>
      </c>
      <c r="B85" s="369" t="s">
        <v>889</v>
      </c>
      <c r="C85" s="260" t="s">
        <v>1144</v>
      </c>
      <c r="D85" s="282" t="s">
        <v>1145</v>
      </c>
      <c r="E85" s="282"/>
      <c r="F85" s="283">
        <v>46056</v>
      </c>
      <c r="G85" s="267" t="s">
        <v>1146</v>
      </c>
      <c r="H85" s="264" t="s">
        <v>1147</v>
      </c>
      <c r="I85" s="357" t="s">
        <v>1148</v>
      </c>
    </row>
    <row r="86" spans="1:9" s="145" customFormat="1" ht="71.25" hidden="1" customHeight="1">
      <c r="A86" s="510" t="s">
        <v>137</v>
      </c>
      <c r="B86" s="369" t="s">
        <v>889</v>
      </c>
      <c r="C86" s="370" t="s">
        <v>1149</v>
      </c>
      <c r="D86" s="371" t="s">
        <v>1150</v>
      </c>
      <c r="E86" s="371"/>
      <c r="F86" s="372" t="s">
        <v>1151</v>
      </c>
      <c r="G86" s="373" t="s">
        <v>1152</v>
      </c>
      <c r="H86" s="374" t="s">
        <v>1153</v>
      </c>
      <c r="I86" s="375" t="s">
        <v>1153</v>
      </c>
    </row>
    <row r="87" spans="1:9" ht="71.25" hidden="1" customHeight="1">
      <c r="A87" s="469" t="s">
        <v>137</v>
      </c>
      <c r="B87" s="369" t="s">
        <v>889</v>
      </c>
      <c r="C87" s="260" t="s">
        <v>1154</v>
      </c>
      <c r="D87" s="282" t="s">
        <v>1155</v>
      </c>
      <c r="E87" s="282"/>
      <c r="F87" s="283" t="s">
        <v>672</v>
      </c>
      <c r="G87" s="267" t="s">
        <v>1156</v>
      </c>
      <c r="H87" s="264" t="s">
        <v>1153</v>
      </c>
      <c r="I87" s="347" t="s">
        <v>1153</v>
      </c>
    </row>
    <row r="88" spans="1:9" ht="71.25" hidden="1" customHeight="1">
      <c r="A88" s="469" t="s">
        <v>293</v>
      </c>
      <c r="B88" s="369" t="s">
        <v>889</v>
      </c>
      <c r="C88" s="260" t="s">
        <v>1157</v>
      </c>
      <c r="D88" s="282" t="s">
        <v>1158</v>
      </c>
      <c r="E88" s="282"/>
      <c r="F88" s="283"/>
      <c r="G88" s="267" t="s">
        <v>1159</v>
      </c>
      <c r="H88" s="356" t="s">
        <v>1160</v>
      </c>
      <c r="I88" s="348"/>
    </row>
    <row r="89" spans="1:9" s="145" customFormat="1" ht="71.25" hidden="1" customHeight="1">
      <c r="A89" s="510" t="s">
        <v>447</v>
      </c>
      <c r="B89" s="369" t="s">
        <v>889</v>
      </c>
      <c r="C89" s="370" t="s">
        <v>1161</v>
      </c>
      <c r="D89" s="371" t="s">
        <v>1162</v>
      </c>
      <c r="E89" s="371"/>
      <c r="F89" s="372" t="s">
        <v>897</v>
      </c>
      <c r="G89" s="376" t="s">
        <v>1163</v>
      </c>
      <c r="H89" s="377" t="s">
        <v>1164</v>
      </c>
      <c r="I89" s="378"/>
    </row>
    <row r="90" spans="1:9" ht="71.25" hidden="1" customHeight="1">
      <c r="A90" s="469" t="s">
        <v>937</v>
      </c>
      <c r="B90" s="369" t="s">
        <v>889</v>
      </c>
      <c r="C90" s="260" t="s">
        <v>1165</v>
      </c>
      <c r="D90" s="282">
        <v>46064</v>
      </c>
      <c r="E90" s="629"/>
      <c r="F90" s="585" t="s">
        <v>897</v>
      </c>
      <c r="G90" s="267" t="s">
        <v>1166</v>
      </c>
      <c r="H90" s="536" t="s">
        <v>918</v>
      </c>
      <c r="I90" s="347"/>
    </row>
    <row r="91" spans="1:9" ht="71.25" hidden="1" customHeight="1">
      <c r="A91" s="510" t="s">
        <v>396</v>
      </c>
      <c r="B91" s="369" t="s">
        <v>889</v>
      </c>
      <c r="C91" s="370" t="s">
        <v>1167</v>
      </c>
      <c r="D91" s="371" t="s">
        <v>1150</v>
      </c>
      <c r="E91" s="371"/>
      <c r="F91" s="372"/>
      <c r="G91" s="376" t="s">
        <v>1168</v>
      </c>
      <c r="H91" s="377" t="s">
        <v>396</v>
      </c>
      <c r="I91" s="378"/>
    </row>
    <row r="92" spans="1:9" ht="71.25" hidden="1" customHeight="1">
      <c r="A92" s="469" t="s">
        <v>1169</v>
      </c>
      <c r="B92" s="369" t="s">
        <v>889</v>
      </c>
      <c r="C92" s="260" t="s">
        <v>1170</v>
      </c>
      <c r="D92" s="283" t="s">
        <v>1171</v>
      </c>
      <c r="E92" s="283"/>
      <c r="F92" s="283" t="s">
        <v>1171</v>
      </c>
      <c r="G92" s="260" t="s">
        <v>1172</v>
      </c>
      <c r="H92" s="356" t="s">
        <v>1173</v>
      </c>
      <c r="I92" s="120" t="s">
        <v>1174</v>
      </c>
    </row>
    <row r="93" spans="1:9" ht="71.25" hidden="1" customHeight="1">
      <c r="A93" s="524" t="s">
        <v>1175</v>
      </c>
      <c r="B93" s="369" t="s">
        <v>889</v>
      </c>
      <c r="C93" s="362" t="s">
        <v>1176</v>
      </c>
      <c r="D93" s="363" t="s">
        <v>1177</v>
      </c>
      <c r="E93" s="363"/>
      <c r="F93" s="364" t="s">
        <v>897</v>
      </c>
      <c r="G93" s="503" t="s">
        <v>1178</v>
      </c>
      <c r="H93" s="504" t="s">
        <v>1179</v>
      </c>
      <c r="I93" s="165" t="s">
        <v>897</v>
      </c>
    </row>
    <row r="94" spans="1:9" s="145" customFormat="1" ht="71.25" hidden="1" customHeight="1">
      <c r="A94" s="469" t="s">
        <v>149</v>
      </c>
      <c r="B94" s="369" t="s">
        <v>889</v>
      </c>
      <c r="C94" s="260" t="s">
        <v>1180</v>
      </c>
      <c r="D94" s="282">
        <v>46080</v>
      </c>
      <c r="E94" s="282"/>
      <c r="F94" s="283" t="s">
        <v>897</v>
      </c>
      <c r="G94" s="267" t="s">
        <v>1181</v>
      </c>
      <c r="H94" s="468" t="s">
        <v>1182</v>
      </c>
      <c r="I94" s="347" t="s">
        <v>1148</v>
      </c>
    </row>
    <row r="95" spans="1:9" ht="71.25" hidden="1" customHeight="1">
      <c r="A95" s="509" t="s">
        <v>137</v>
      </c>
      <c r="B95" s="369" t="s">
        <v>889</v>
      </c>
      <c r="C95" s="505" t="s">
        <v>1154</v>
      </c>
      <c r="D95" s="506" t="s">
        <v>1183</v>
      </c>
      <c r="E95" s="506"/>
      <c r="F95" s="507" t="s">
        <v>897</v>
      </c>
      <c r="G95" s="505" t="s">
        <v>1184</v>
      </c>
      <c r="H95" s="508" t="s">
        <v>1153</v>
      </c>
      <c r="I95" s="176" t="s">
        <v>897</v>
      </c>
    </row>
    <row r="96" spans="1:9" ht="71.25" hidden="1" customHeight="1">
      <c r="A96" s="518" t="s">
        <v>161</v>
      </c>
      <c r="B96" s="369" t="s">
        <v>889</v>
      </c>
      <c r="C96" s="149" t="s">
        <v>1185</v>
      </c>
      <c r="D96" s="256">
        <v>46086</v>
      </c>
      <c r="E96" s="256"/>
      <c r="F96" s="257" t="s">
        <v>897</v>
      </c>
      <c r="G96" s="205" t="s">
        <v>1186</v>
      </c>
      <c r="H96" s="520" t="s">
        <v>1187</v>
      </c>
      <c r="I96" s="520" t="s">
        <v>1148</v>
      </c>
    </row>
    <row r="97" spans="1:1790" ht="71.25" hidden="1" customHeight="1">
      <c r="A97" s="469" t="s">
        <v>1188</v>
      </c>
      <c r="B97" s="369" t="s">
        <v>889</v>
      </c>
      <c r="C97" s="260" t="s">
        <v>1189</v>
      </c>
      <c r="D97" s="282" t="s">
        <v>1190</v>
      </c>
      <c r="E97" s="282"/>
      <c r="F97" s="283" t="s">
        <v>672</v>
      </c>
      <c r="G97" s="267" t="s">
        <v>1191</v>
      </c>
      <c r="H97" s="347" t="s">
        <v>1182</v>
      </c>
      <c r="I97" s="347" t="s">
        <v>1148</v>
      </c>
    </row>
    <row r="98" spans="1:1790" ht="71.25" hidden="1" customHeight="1">
      <c r="A98" s="518" t="s">
        <v>1175</v>
      </c>
      <c r="B98" s="518" t="s">
        <v>1074</v>
      </c>
      <c r="C98" s="149" t="s">
        <v>1176</v>
      </c>
      <c r="D98" s="256">
        <v>46070</v>
      </c>
      <c r="E98" s="256"/>
      <c r="F98" s="257" t="s">
        <v>897</v>
      </c>
      <c r="G98" s="205" t="s">
        <v>1192</v>
      </c>
      <c r="H98" s="161" t="s">
        <v>1193</v>
      </c>
      <c r="I98" s="161" t="s">
        <v>897</v>
      </c>
    </row>
    <row r="99" spans="1:1790" ht="71.25" hidden="1" customHeight="1">
      <c r="A99" s="524" t="s">
        <v>223</v>
      </c>
      <c r="B99" s="369" t="s">
        <v>889</v>
      </c>
      <c r="C99" s="362" t="s">
        <v>1194</v>
      </c>
      <c r="D99" s="363" t="s">
        <v>1177</v>
      </c>
      <c r="E99" s="363"/>
      <c r="F99" s="364" t="s">
        <v>897</v>
      </c>
      <c r="G99" s="503" t="s">
        <v>1195</v>
      </c>
      <c r="H99" s="128" t="s">
        <v>1196</v>
      </c>
      <c r="I99" s="128" t="s">
        <v>1197</v>
      </c>
    </row>
    <row r="100" spans="1:1790" ht="71.25" hidden="1" customHeight="1">
      <c r="A100" s="469" t="s">
        <v>1198</v>
      </c>
      <c r="B100" s="369" t="s">
        <v>889</v>
      </c>
      <c r="C100" s="260" t="s">
        <v>1199</v>
      </c>
      <c r="D100" s="282">
        <v>46076</v>
      </c>
      <c r="E100" s="282"/>
      <c r="F100" s="283" t="s">
        <v>268</v>
      </c>
      <c r="G100" s="267" t="s">
        <v>1200</v>
      </c>
      <c r="H100" s="469" t="s">
        <v>1201</v>
      </c>
      <c r="I100" s="469"/>
    </row>
    <row r="101" spans="1:1790" ht="71.25" hidden="1" customHeight="1">
      <c r="A101" s="510" t="s">
        <v>161</v>
      </c>
      <c r="B101" s="369" t="s">
        <v>889</v>
      </c>
      <c r="C101" s="370" t="s">
        <v>1202</v>
      </c>
      <c r="D101" s="371">
        <v>46072</v>
      </c>
      <c r="E101" s="371"/>
      <c r="F101" s="372" t="s">
        <v>672</v>
      </c>
      <c r="G101" s="511" t="s">
        <v>1203</v>
      </c>
      <c r="H101" s="510" t="s">
        <v>1187</v>
      </c>
      <c r="I101" s="510" t="s">
        <v>1148</v>
      </c>
    </row>
    <row r="102" spans="1:1790" ht="71.25" hidden="1" customHeight="1">
      <c r="A102" s="469" t="s">
        <v>161</v>
      </c>
      <c r="B102" s="369" t="s">
        <v>889</v>
      </c>
      <c r="C102" s="260" t="s">
        <v>1185</v>
      </c>
      <c r="D102" s="282">
        <v>46079</v>
      </c>
      <c r="E102" s="282"/>
      <c r="F102" s="283" t="s">
        <v>672</v>
      </c>
      <c r="G102" s="267" t="s">
        <v>1204</v>
      </c>
      <c r="H102" s="469" t="s">
        <v>1187</v>
      </c>
      <c r="I102" s="469" t="s">
        <v>1148</v>
      </c>
    </row>
    <row r="103" spans="1:1790" s="8" customFormat="1" ht="71.25" hidden="1" customHeight="1">
      <c r="A103" s="525" t="s">
        <v>1205</v>
      </c>
      <c r="B103" s="518" t="s">
        <v>1074</v>
      </c>
      <c r="C103" s="525" t="s">
        <v>672</v>
      </c>
      <c r="D103" s="256" t="s">
        <v>672</v>
      </c>
      <c r="E103" s="256"/>
      <c r="F103" s="257" t="s">
        <v>672</v>
      </c>
      <c r="G103" s="527" t="s">
        <v>672</v>
      </c>
      <c r="H103" s="520"/>
      <c r="I103" s="526" t="s">
        <v>1206</v>
      </c>
    </row>
    <row r="104" spans="1:1790" ht="71.25" hidden="1" customHeight="1">
      <c r="A104" s="469" t="s">
        <v>359</v>
      </c>
      <c r="B104" s="469" t="s">
        <v>1074</v>
      </c>
      <c r="C104" s="260" t="s">
        <v>1207</v>
      </c>
      <c r="D104" s="282">
        <v>46086</v>
      </c>
      <c r="E104" s="282"/>
      <c r="F104" s="283" t="s">
        <v>672</v>
      </c>
      <c r="G104" s="267" t="s">
        <v>1208</v>
      </c>
      <c r="H104" s="469" t="s">
        <v>1067</v>
      </c>
      <c r="I104" s="469" t="s">
        <v>897</v>
      </c>
    </row>
    <row r="105" spans="1:1790" ht="71.25" hidden="1" customHeight="1">
      <c r="A105" s="469" t="s">
        <v>1188</v>
      </c>
      <c r="B105" s="369" t="s">
        <v>889</v>
      </c>
      <c r="C105" s="260" t="s">
        <v>1209</v>
      </c>
      <c r="D105" s="282">
        <v>46086</v>
      </c>
      <c r="E105" s="282"/>
      <c r="F105" s="283"/>
      <c r="G105" s="267" t="s">
        <v>1210</v>
      </c>
      <c r="H105" s="347" t="s">
        <v>1182</v>
      </c>
      <c r="I105" s="347" t="s">
        <v>1148</v>
      </c>
    </row>
    <row r="106" spans="1:1790" ht="71.25" hidden="1" customHeight="1">
      <c r="A106" s="524" t="s">
        <v>223</v>
      </c>
      <c r="B106" s="369" t="s">
        <v>889</v>
      </c>
      <c r="C106" s="362" t="s">
        <v>1211</v>
      </c>
      <c r="D106" s="363">
        <v>46083</v>
      </c>
      <c r="E106" s="363"/>
      <c r="F106" s="283" t="s">
        <v>672</v>
      </c>
      <c r="G106" s="503" t="s">
        <v>1212</v>
      </c>
      <c r="H106" s="62" t="s">
        <v>1213</v>
      </c>
      <c r="I106" s="347" t="s">
        <v>1214</v>
      </c>
    </row>
    <row r="107" spans="1:1790" ht="71.25" hidden="1" customHeight="1">
      <c r="A107" s="524" t="s">
        <v>937</v>
      </c>
      <c r="B107" s="369" t="s">
        <v>889</v>
      </c>
      <c r="C107" s="362" t="s">
        <v>1215</v>
      </c>
      <c r="D107" s="363">
        <v>46080</v>
      </c>
      <c r="E107" s="630"/>
      <c r="F107" s="585" t="s">
        <v>672</v>
      </c>
      <c r="G107" s="503" t="s">
        <v>1216</v>
      </c>
      <c r="H107" s="624" t="s">
        <v>918</v>
      </c>
      <c r="I107" s="590"/>
    </row>
    <row r="108" spans="1:1790" s="665" customFormat="1" ht="50.25" hidden="1" customHeight="1">
      <c r="A108" s="666" t="s">
        <v>323</v>
      </c>
      <c r="B108" s="666" t="s">
        <v>1217</v>
      </c>
      <c r="C108" s="667" t="s">
        <v>1218</v>
      </c>
      <c r="D108" s="668" t="s">
        <v>1219</v>
      </c>
      <c r="E108" s="668" t="s">
        <v>1220</v>
      </c>
      <c r="F108" s="892" t="s">
        <v>1221</v>
      </c>
      <c r="G108" s="893" t="s">
        <v>1222</v>
      </c>
      <c r="H108" s="894" t="s">
        <v>1223</v>
      </c>
      <c r="I108" s="895" t="s">
        <v>1174</v>
      </c>
      <c r="J108" s="896"/>
      <c r="K108" s="896"/>
      <c r="L108" s="896"/>
      <c r="M108" s="664"/>
      <c r="N108" s="664"/>
      <c r="O108" s="688"/>
      <c r="P108" s="689"/>
      <c r="Q108" s="689"/>
      <c r="R108" s="897"/>
      <c r="S108" s="898"/>
      <c r="T108" s="898"/>
      <c r="U108" s="896"/>
      <c r="V108" s="896"/>
      <c r="W108" s="896"/>
      <c r="X108" s="896"/>
      <c r="Y108" s="896"/>
      <c r="Z108" s="666"/>
      <c r="AA108" s="666"/>
      <c r="AB108" s="667"/>
      <c r="AC108" s="668"/>
      <c r="AD108" s="668"/>
      <c r="AE108" s="892"/>
      <c r="AF108" s="895"/>
      <c r="AG108" s="895"/>
      <c r="AH108" s="896"/>
      <c r="AI108" s="896"/>
      <c r="AJ108" s="896"/>
      <c r="AK108" s="896"/>
      <c r="AL108" s="666"/>
      <c r="AM108" s="666"/>
      <c r="AN108" s="667"/>
      <c r="AO108" s="668"/>
      <c r="AP108" s="668"/>
      <c r="AQ108" s="892"/>
      <c r="AR108" s="894"/>
      <c r="AS108" s="895"/>
      <c r="AT108" s="896"/>
      <c r="AU108" s="896"/>
      <c r="AV108" s="896"/>
      <c r="AW108" s="896"/>
      <c r="AX108" s="896"/>
      <c r="AY108" s="899"/>
      <c r="AZ108" s="899"/>
      <c r="BA108" s="899"/>
      <c r="BB108" s="899"/>
      <c r="BC108" s="899"/>
      <c r="BD108" s="899"/>
      <c r="BE108" s="899"/>
      <c r="BF108" s="899"/>
      <c r="BG108" s="899"/>
      <c r="BH108" s="899"/>
      <c r="BI108" s="899"/>
      <c r="BJ108" s="899"/>
      <c r="BK108" s="899"/>
      <c r="BL108" s="899"/>
      <c r="BM108" s="899"/>
      <c r="BN108" s="899"/>
      <c r="BO108" s="899"/>
      <c r="BP108" s="899"/>
      <c r="BQ108" s="899"/>
      <c r="BR108" s="899"/>
      <c r="BS108" s="899"/>
      <c r="BT108" s="899"/>
      <c r="BU108" s="899"/>
      <c r="BV108" s="899"/>
      <c r="BW108" s="899"/>
      <c r="BX108" s="899"/>
      <c r="BY108" s="899"/>
      <c r="BZ108" s="899"/>
      <c r="CA108" s="899"/>
      <c r="CB108" s="899"/>
      <c r="CC108" s="899"/>
      <c r="CD108" s="899"/>
      <c r="CE108" s="899"/>
      <c r="CF108" s="899"/>
      <c r="CG108" s="899"/>
      <c r="CH108" s="899"/>
      <c r="CI108" s="899"/>
      <c r="CJ108" s="899"/>
      <c r="CK108" s="899"/>
      <c r="CL108" s="899"/>
      <c r="CM108" s="899"/>
      <c r="CN108" s="899"/>
      <c r="CO108" s="899"/>
      <c r="CP108" s="899"/>
      <c r="CQ108" s="899"/>
      <c r="CR108" s="899"/>
      <c r="CS108" s="899"/>
      <c r="CT108" s="899"/>
      <c r="CU108" s="899"/>
      <c r="CV108" s="899"/>
      <c r="CW108" s="899"/>
      <c r="CX108" s="899"/>
      <c r="CY108" s="899"/>
      <c r="CZ108" s="899"/>
      <c r="DA108" s="899"/>
      <c r="DB108" s="899"/>
      <c r="DC108" s="899"/>
      <c r="DD108" s="899"/>
      <c r="DE108" s="899"/>
      <c r="DF108" s="899"/>
      <c r="DG108" s="899"/>
      <c r="DH108" s="899"/>
      <c r="DI108" s="899"/>
      <c r="DJ108" s="899"/>
      <c r="DK108" s="899"/>
      <c r="DL108" s="899"/>
      <c r="DM108" s="899"/>
      <c r="DN108" s="899"/>
      <c r="DO108" s="899"/>
      <c r="DP108" s="899"/>
      <c r="DQ108" s="899"/>
      <c r="DR108" s="899"/>
      <c r="DS108" s="899"/>
      <c r="DT108" s="899"/>
      <c r="DU108" s="899"/>
      <c r="DV108" s="899"/>
      <c r="DW108" s="899"/>
      <c r="DX108" s="899"/>
      <c r="DY108" s="899"/>
      <c r="DZ108" s="899"/>
      <c r="EA108" s="899"/>
      <c r="EB108" s="899"/>
      <c r="EC108" s="899"/>
      <c r="ED108" s="899"/>
      <c r="EE108" s="899"/>
      <c r="EF108" s="899"/>
      <c r="EG108" s="899"/>
      <c r="EH108" s="899"/>
      <c r="EI108" s="899"/>
      <c r="EJ108" s="899"/>
      <c r="EK108" s="899"/>
      <c r="EL108" s="899"/>
      <c r="EM108" s="899"/>
      <c r="EN108" s="899"/>
      <c r="EO108" s="899"/>
      <c r="EP108" s="899"/>
      <c r="EQ108" s="899"/>
      <c r="ER108" s="899"/>
      <c r="ES108" s="899"/>
      <c r="ET108" s="899"/>
      <c r="EU108" s="899"/>
      <c r="EV108" s="899"/>
      <c r="EW108" s="899"/>
      <c r="EX108" s="899"/>
      <c r="EY108" s="899"/>
      <c r="EZ108" s="899"/>
      <c r="FA108" s="899"/>
      <c r="FB108" s="899"/>
      <c r="FC108" s="899"/>
      <c r="FD108" s="899"/>
      <c r="FE108" s="899"/>
      <c r="FF108" s="899"/>
      <c r="FG108" s="899"/>
      <c r="FH108" s="899"/>
      <c r="FI108" s="899"/>
      <c r="FJ108" s="899"/>
      <c r="FK108" s="899"/>
      <c r="FL108" s="899"/>
      <c r="FM108" s="899"/>
      <c r="FN108" s="899"/>
      <c r="FO108" s="899"/>
      <c r="FP108" s="899"/>
      <c r="FQ108" s="899"/>
      <c r="FR108" s="899"/>
      <c r="FS108" s="899"/>
      <c r="FT108" s="899"/>
      <c r="FU108" s="899"/>
      <c r="FV108" s="899"/>
      <c r="FW108" s="899"/>
      <c r="FX108" s="899"/>
      <c r="FY108" s="899"/>
      <c r="FZ108" s="899"/>
      <c r="GA108" s="899"/>
      <c r="GB108" s="899"/>
      <c r="GC108" s="899"/>
      <c r="GD108" s="899"/>
      <c r="GE108" s="899"/>
      <c r="GF108" s="899"/>
      <c r="GG108" s="899"/>
      <c r="GH108" s="899"/>
      <c r="GI108" s="899"/>
      <c r="GJ108" s="899"/>
      <c r="GK108" s="899"/>
      <c r="GL108" s="899"/>
      <c r="GM108" s="899"/>
      <c r="GN108" s="899"/>
      <c r="GO108" s="899"/>
      <c r="GP108" s="899"/>
      <c r="GQ108" s="899"/>
      <c r="GR108" s="899"/>
      <c r="GS108" s="899"/>
      <c r="GT108" s="899"/>
      <c r="GU108" s="899"/>
      <c r="GV108" s="899"/>
      <c r="GW108" s="899"/>
      <c r="GX108" s="899"/>
      <c r="GY108" s="899"/>
      <c r="GZ108" s="899"/>
      <c r="HA108" s="899"/>
      <c r="HB108" s="899"/>
      <c r="HC108" s="899"/>
      <c r="HD108" s="899"/>
      <c r="HE108" s="899"/>
      <c r="HF108" s="899"/>
      <c r="HG108" s="899"/>
      <c r="HH108" s="899"/>
      <c r="HI108" s="899"/>
      <c r="HJ108" s="899"/>
      <c r="HK108" s="899"/>
      <c r="HL108" s="899"/>
      <c r="HM108" s="899"/>
      <c r="HN108" s="899"/>
      <c r="HO108" s="899"/>
      <c r="HP108" s="899"/>
      <c r="HQ108" s="899"/>
      <c r="HR108" s="899"/>
      <c r="HS108" s="899"/>
      <c r="HT108" s="899"/>
      <c r="HU108" s="899"/>
      <c r="HV108" s="899"/>
      <c r="HW108" s="899"/>
      <c r="HX108" s="899"/>
      <c r="HY108" s="899"/>
      <c r="HZ108" s="899"/>
      <c r="IA108" s="899"/>
      <c r="IB108" s="899"/>
      <c r="IC108" s="899"/>
      <c r="ID108" s="899"/>
      <c r="IE108" s="899"/>
      <c r="IF108" s="899"/>
      <c r="IG108" s="899"/>
      <c r="IH108" s="899"/>
      <c r="II108" s="899"/>
      <c r="IJ108" s="899"/>
      <c r="IK108" s="899"/>
      <c r="IL108" s="899"/>
      <c r="IM108" s="899"/>
      <c r="IN108" s="899"/>
      <c r="IO108" s="899"/>
      <c r="IP108" s="899"/>
      <c r="IQ108" s="899"/>
      <c r="IR108" s="899"/>
      <c r="IS108" s="899"/>
      <c r="IT108" s="899"/>
      <c r="IU108" s="899"/>
      <c r="IV108" s="899"/>
      <c r="IW108" s="899"/>
      <c r="IX108" s="899"/>
      <c r="IY108" s="899"/>
      <c r="IZ108" s="899"/>
      <c r="JA108" s="899"/>
      <c r="JB108" s="899"/>
      <c r="JC108" s="899"/>
      <c r="JD108" s="899"/>
      <c r="JE108" s="899"/>
      <c r="JF108" s="899"/>
      <c r="JG108" s="899"/>
      <c r="JH108" s="899"/>
      <c r="JI108" s="899"/>
      <c r="JJ108" s="899"/>
      <c r="JK108" s="899"/>
      <c r="JL108" s="899"/>
      <c r="JM108" s="899"/>
      <c r="JN108" s="899"/>
      <c r="JO108" s="899"/>
      <c r="JP108" s="899"/>
      <c r="JQ108" s="899"/>
      <c r="JR108" s="899"/>
      <c r="JS108" s="899"/>
      <c r="JT108" s="899"/>
      <c r="JU108" s="899"/>
      <c r="JV108" s="899"/>
      <c r="JW108" s="899"/>
      <c r="JX108" s="899"/>
      <c r="JY108" s="899"/>
      <c r="JZ108" s="899"/>
      <c r="KA108" s="899"/>
      <c r="KB108" s="899"/>
      <c r="KC108" s="899"/>
      <c r="KD108" s="899"/>
      <c r="KE108" s="899"/>
      <c r="KF108" s="899"/>
      <c r="KG108" s="899"/>
      <c r="KH108" s="899"/>
      <c r="KI108" s="899"/>
      <c r="KJ108" s="899"/>
      <c r="KK108" s="899"/>
      <c r="KL108" s="899"/>
      <c r="KM108" s="899"/>
      <c r="KN108" s="899"/>
      <c r="KO108" s="899"/>
      <c r="KP108" s="899"/>
      <c r="KQ108" s="899"/>
      <c r="KR108" s="899"/>
      <c r="KS108" s="899"/>
      <c r="KT108" s="899"/>
      <c r="KU108" s="899"/>
      <c r="KV108" s="899"/>
      <c r="KW108" s="899"/>
      <c r="KX108" s="899"/>
      <c r="KY108" s="899"/>
      <c r="KZ108" s="899"/>
      <c r="LA108" s="899"/>
      <c r="LB108" s="899"/>
      <c r="LC108" s="899"/>
      <c r="LD108" s="899"/>
      <c r="LE108" s="899"/>
      <c r="LF108" s="899"/>
      <c r="LG108" s="899"/>
      <c r="LH108" s="899"/>
      <c r="LI108" s="899"/>
      <c r="LJ108" s="899"/>
      <c r="LK108" s="899"/>
      <c r="LL108" s="899"/>
      <c r="LM108" s="899"/>
      <c r="LN108" s="899"/>
      <c r="LO108" s="899"/>
      <c r="LP108" s="899"/>
      <c r="LQ108" s="899"/>
      <c r="LR108" s="899"/>
      <c r="LS108" s="899"/>
      <c r="LT108" s="899"/>
      <c r="LU108" s="899"/>
      <c r="LV108" s="899"/>
      <c r="LW108" s="899"/>
      <c r="LX108" s="899"/>
      <c r="LY108" s="899"/>
      <c r="LZ108" s="899"/>
      <c r="MA108" s="899"/>
      <c r="MB108" s="899"/>
      <c r="MC108" s="899"/>
      <c r="MD108" s="899"/>
      <c r="ME108" s="899"/>
      <c r="MF108" s="899"/>
      <c r="MG108" s="899"/>
      <c r="MH108" s="899"/>
      <c r="MI108" s="899"/>
      <c r="MJ108" s="899"/>
      <c r="MK108" s="899"/>
      <c r="ML108" s="899"/>
      <c r="MM108" s="899"/>
      <c r="MN108" s="899"/>
      <c r="MO108" s="899"/>
      <c r="MP108" s="899"/>
      <c r="MQ108" s="899"/>
      <c r="MR108" s="899"/>
      <c r="MS108" s="899"/>
      <c r="MT108" s="899"/>
      <c r="MU108" s="899"/>
      <c r="MV108" s="899"/>
      <c r="MW108" s="899"/>
      <c r="MX108" s="899"/>
      <c r="MY108" s="899"/>
      <c r="MZ108" s="899"/>
      <c r="NA108" s="899"/>
      <c r="NB108" s="899"/>
      <c r="NC108" s="899"/>
      <c r="ND108" s="899"/>
      <c r="NE108" s="899"/>
      <c r="NF108" s="899"/>
      <c r="NG108" s="899"/>
      <c r="NH108" s="899"/>
      <c r="NI108" s="899"/>
      <c r="NJ108" s="899"/>
      <c r="NK108" s="899"/>
      <c r="NL108" s="899"/>
      <c r="NM108" s="899"/>
      <c r="NN108" s="899"/>
      <c r="NO108" s="899"/>
      <c r="NP108" s="899"/>
      <c r="NQ108" s="899"/>
      <c r="NR108" s="899"/>
      <c r="NS108" s="899"/>
      <c r="NT108" s="899"/>
      <c r="NU108" s="899"/>
      <c r="NV108" s="899"/>
      <c r="NW108" s="899"/>
      <c r="NX108" s="899"/>
      <c r="NY108" s="899"/>
      <c r="NZ108" s="899"/>
      <c r="OA108" s="899"/>
      <c r="OB108" s="899"/>
      <c r="OC108" s="899"/>
      <c r="OD108" s="899"/>
      <c r="OE108" s="899"/>
      <c r="OF108" s="899"/>
      <c r="OG108" s="899"/>
      <c r="OH108" s="899"/>
      <c r="OI108" s="899"/>
      <c r="OJ108" s="899"/>
      <c r="OK108" s="899"/>
      <c r="OL108" s="899"/>
      <c r="OM108" s="899"/>
      <c r="ON108" s="899"/>
      <c r="OO108" s="899"/>
      <c r="OP108" s="899"/>
      <c r="OQ108" s="899"/>
      <c r="OR108" s="899"/>
      <c r="OS108" s="899"/>
      <c r="OT108" s="899"/>
      <c r="OU108" s="899"/>
      <c r="OV108" s="899"/>
      <c r="OW108" s="899"/>
      <c r="OX108" s="899"/>
      <c r="OY108" s="899"/>
      <c r="OZ108" s="899"/>
      <c r="PA108" s="899"/>
      <c r="PB108" s="899"/>
      <c r="PC108" s="899"/>
      <c r="PD108" s="899"/>
      <c r="PE108" s="899"/>
      <c r="PF108" s="899"/>
      <c r="PG108" s="899"/>
      <c r="PH108" s="899"/>
      <c r="PI108" s="899"/>
      <c r="PJ108" s="899"/>
      <c r="PK108" s="899"/>
      <c r="PL108" s="899"/>
      <c r="PM108" s="899"/>
      <c r="PN108" s="899"/>
      <c r="PO108" s="899"/>
      <c r="PP108" s="899"/>
      <c r="PQ108" s="899"/>
      <c r="PR108" s="899"/>
      <c r="PS108" s="899"/>
      <c r="PT108" s="899"/>
      <c r="PU108" s="899"/>
      <c r="PV108" s="899"/>
      <c r="PW108" s="899"/>
      <c r="PX108" s="899"/>
      <c r="PY108" s="899"/>
      <c r="PZ108" s="899"/>
      <c r="QA108" s="899"/>
      <c r="QB108" s="899"/>
      <c r="QC108" s="899"/>
      <c r="QD108" s="899"/>
      <c r="QE108" s="899"/>
      <c r="QF108" s="899"/>
      <c r="QG108" s="899"/>
      <c r="QH108" s="899"/>
      <c r="QI108" s="899"/>
      <c r="QJ108" s="899"/>
      <c r="QK108" s="899"/>
      <c r="QL108" s="899"/>
      <c r="QM108" s="899"/>
      <c r="QN108" s="899"/>
      <c r="QO108" s="899"/>
      <c r="QP108" s="899"/>
      <c r="QQ108" s="899"/>
      <c r="QR108" s="899"/>
      <c r="QS108" s="899"/>
      <c r="QT108" s="899"/>
      <c r="QU108" s="899"/>
      <c r="QV108" s="899"/>
      <c r="QW108" s="899"/>
      <c r="QX108" s="899"/>
      <c r="QY108" s="899"/>
      <c r="QZ108" s="899"/>
      <c r="RA108" s="899"/>
      <c r="RB108" s="899"/>
      <c r="RC108" s="899"/>
      <c r="RD108" s="899"/>
      <c r="RE108" s="899"/>
      <c r="RF108" s="899"/>
      <c r="RG108" s="899"/>
      <c r="RH108" s="899"/>
      <c r="RI108" s="899"/>
      <c r="RJ108" s="899"/>
      <c r="RK108" s="899"/>
      <c r="RL108" s="899"/>
      <c r="RM108" s="899"/>
      <c r="RN108" s="899"/>
      <c r="RO108" s="899"/>
      <c r="RP108" s="899"/>
      <c r="RQ108" s="899"/>
      <c r="RR108" s="899"/>
      <c r="RS108" s="899"/>
      <c r="RT108" s="899"/>
      <c r="RU108" s="899"/>
      <c r="RV108" s="899"/>
      <c r="RW108" s="899"/>
      <c r="RX108" s="899"/>
      <c r="RY108" s="899"/>
      <c r="RZ108" s="899"/>
      <c r="SA108" s="899"/>
      <c r="SB108" s="899"/>
      <c r="SC108" s="899"/>
      <c r="SD108" s="899"/>
      <c r="SE108" s="899"/>
      <c r="SF108" s="899"/>
      <c r="SG108" s="899"/>
      <c r="SH108" s="899"/>
      <c r="SI108" s="899"/>
      <c r="SJ108" s="899"/>
      <c r="SK108" s="899"/>
      <c r="SL108" s="899"/>
      <c r="SM108" s="899"/>
      <c r="SN108" s="899"/>
      <c r="SO108" s="899"/>
      <c r="SP108" s="899"/>
      <c r="SQ108" s="899"/>
      <c r="SR108" s="899"/>
      <c r="SS108" s="899"/>
      <c r="ST108" s="899"/>
      <c r="SU108" s="899"/>
      <c r="SV108" s="899"/>
      <c r="SW108" s="899"/>
      <c r="SX108" s="899"/>
      <c r="SY108" s="899"/>
      <c r="SZ108" s="899"/>
      <c r="TA108" s="899"/>
      <c r="TB108" s="899"/>
      <c r="TC108" s="899"/>
      <c r="TD108" s="899"/>
      <c r="TE108" s="899"/>
      <c r="TF108" s="899"/>
      <c r="TG108" s="899"/>
      <c r="TH108" s="899"/>
      <c r="TI108" s="899"/>
      <c r="TJ108" s="899"/>
      <c r="TK108" s="899"/>
      <c r="TL108" s="899"/>
      <c r="TM108" s="899"/>
      <c r="TN108" s="899"/>
      <c r="TO108" s="899"/>
      <c r="TP108" s="899"/>
      <c r="TQ108" s="899"/>
      <c r="TR108" s="899"/>
      <c r="TS108" s="899"/>
      <c r="TT108" s="899"/>
      <c r="TU108" s="899"/>
      <c r="TV108" s="899"/>
      <c r="TW108" s="899"/>
      <c r="TX108" s="899"/>
      <c r="TY108" s="899"/>
      <c r="TZ108" s="899"/>
      <c r="UA108" s="899"/>
      <c r="UB108" s="899"/>
      <c r="UC108" s="899"/>
      <c r="UD108" s="899"/>
      <c r="UE108" s="899"/>
      <c r="UF108" s="899"/>
      <c r="UG108" s="899"/>
      <c r="UH108" s="899"/>
      <c r="UI108" s="899"/>
      <c r="UJ108" s="899"/>
      <c r="UK108" s="899"/>
      <c r="UL108" s="899"/>
      <c r="UM108" s="899"/>
      <c r="UN108" s="899"/>
      <c r="UO108" s="899"/>
      <c r="UP108" s="899"/>
      <c r="UQ108" s="899"/>
      <c r="UR108" s="899"/>
      <c r="US108" s="899"/>
      <c r="UT108" s="899"/>
      <c r="UU108" s="899"/>
      <c r="UV108" s="899"/>
      <c r="UW108" s="899"/>
      <c r="UX108" s="899"/>
      <c r="UY108" s="899"/>
      <c r="UZ108" s="899"/>
      <c r="VA108" s="899"/>
      <c r="VB108" s="899"/>
      <c r="VC108" s="899"/>
      <c r="VD108" s="899"/>
      <c r="VE108" s="899"/>
      <c r="VF108" s="899"/>
      <c r="VG108" s="899"/>
      <c r="VH108" s="899"/>
      <c r="VI108" s="899"/>
      <c r="VJ108" s="899"/>
      <c r="VK108" s="899"/>
      <c r="VL108" s="899"/>
      <c r="VM108" s="899"/>
      <c r="VN108" s="899"/>
      <c r="VO108" s="899"/>
      <c r="VP108" s="899"/>
      <c r="VQ108" s="899"/>
      <c r="VR108" s="899"/>
      <c r="VS108" s="899"/>
      <c r="VT108" s="899"/>
      <c r="VU108" s="899"/>
      <c r="VV108" s="899"/>
      <c r="VW108" s="899"/>
      <c r="VX108" s="899"/>
      <c r="VY108" s="899"/>
      <c r="VZ108" s="899"/>
      <c r="WA108" s="899"/>
      <c r="WB108" s="899"/>
      <c r="WC108" s="899"/>
      <c r="WD108" s="899"/>
      <c r="WE108" s="899"/>
      <c r="WF108" s="899"/>
      <c r="WG108" s="899"/>
      <c r="WH108" s="899"/>
      <c r="WI108" s="899"/>
      <c r="WJ108" s="899"/>
      <c r="WK108" s="899"/>
      <c r="WL108" s="899"/>
      <c r="WM108" s="899"/>
      <c r="WN108" s="899"/>
      <c r="WO108" s="899"/>
      <c r="WP108" s="899"/>
      <c r="WQ108" s="899"/>
      <c r="WR108" s="899"/>
      <c r="WS108" s="899"/>
      <c r="WT108" s="899"/>
      <c r="WU108" s="899"/>
      <c r="WV108" s="899"/>
      <c r="WW108" s="899"/>
      <c r="WX108" s="899"/>
      <c r="WY108" s="899"/>
      <c r="WZ108" s="899"/>
      <c r="XA108" s="899"/>
      <c r="XB108" s="899"/>
      <c r="XC108" s="899"/>
      <c r="XD108" s="899"/>
      <c r="XE108" s="899"/>
      <c r="XF108" s="899"/>
      <c r="XG108" s="899"/>
      <c r="XH108" s="899"/>
      <c r="XI108" s="899"/>
      <c r="XJ108" s="899"/>
      <c r="XK108" s="899"/>
      <c r="XL108" s="899"/>
      <c r="XM108" s="899"/>
      <c r="XN108" s="899"/>
      <c r="XO108" s="899"/>
      <c r="XP108" s="899"/>
      <c r="XQ108" s="899"/>
      <c r="XR108" s="899"/>
      <c r="XS108" s="899"/>
      <c r="XT108" s="899"/>
      <c r="XU108" s="899"/>
      <c r="XV108" s="899"/>
      <c r="XW108" s="899"/>
      <c r="XX108" s="899"/>
      <c r="XY108" s="899"/>
      <c r="XZ108" s="899"/>
      <c r="YA108" s="899"/>
      <c r="YB108" s="899"/>
      <c r="YC108" s="899"/>
      <c r="YD108" s="899"/>
      <c r="YE108" s="899"/>
      <c r="YF108" s="899"/>
      <c r="YG108" s="899"/>
      <c r="YH108" s="899"/>
      <c r="YI108" s="899"/>
      <c r="YJ108" s="899"/>
      <c r="YK108" s="899"/>
      <c r="YL108" s="899"/>
      <c r="YM108" s="899"/>
      <c r="YN108" s="899"/>
      <c r="YO108" s="899"/>
      <c r="YP108" s="899"/>
      <c r="YQ108" s="899"/>
      <c r="YR108" s="899"/>
      <c r="YS108" s="899"/>
      <c r="YT108" s="899"/>
      <c r="YU108" s="899"/>
      <c r="YV108" s="899"/>
      <c r="YW108" s="899"/>
      <c r="YX108" s="899"/>
      <c r="YY108" s="899"/>
      <c r="YZ108" s="899"/>
      <c r="ZA108" s="899"/>
      <c r="ZB108" s="899"/>
      <c r="ZC108" s="899"/>
      <c r="ZD108" s="899"/>
      <c r="ZE108" s="899"/>
      <c r="ZF108" s="899"/>
      <c r="ZG108" s="899"/>
      <c r="ZH108" s="899"/>
      <c r="ZI108" s="899"/>
      <c r="ZJ108" s="899"/>
      <c r="ZK108" s="899"/>
      <c r="ZL108" s="899"/>
      <c r="ZM108" s="899"/>
      <c r="ZN108" s="899"/>
      <c r="ZO108" s="899"/>
      <c r="ZP108" s="899"/>
      <c r="ZQ108" s="899"/>
      <c r="ZR108" s="899"/>
      <c r="ZS108" s="899"/>
      <c r="ZT108" s="899"/>
      <c r="ZU108" s="899"/>
      <c r="ZV108" s="899"/>
      <c r="ZW108" s="899"/>
      <c r="ZX108" s="899"/>
      <c r="ZY108" s="899"/>
      <c r="ZZ108" s="899"/>
      <c r="AAA108" s="899"/>
      <c r="AAB108" s="899"/>
      <c r="AAC108" s="899"/>
      <c r="AAD108" s="899"/>
      <c r="AAE108" s="899"/>
      <c r="AAF108" s="899"/>
      <c r="AAG108" s="899"/>
      <c r="AAH108" s="899"/>
      <c r="AAI108" s="899"/>
      <c r="AAJ108" s="899"/>
      <c r="AAK108" s="899"/>
      <c r="AAL108" s="899"/>
      <c r="AAM108" s="899"/>
      <c r="AAN108" s="899"/>
      <c r="AAO108" s="899"/>
      <c r="AAP108" s="899"/>
      <c r="AAQ108" s="899"/>
      <c r="AAR108" s="899"/>
      <c r="AAS108" s="899"/>
      <c r="AAT108" s="899"/>
      <c r="AAU108" s="899"/>
      <c r="AAV108" s="899"/>
      <c r="AAW108" s="899"/>
      <c r="AAX108" s="899"/>
      <c r="AAY108" s="899"/>
      <c r="AAZ108" s="899"/>
      <c r="ABA108" s="899"/>
      <c r="ABB108" s="899"/>
      <c r="ABC108" s="899"/>
      <c r="ABD108" s="899"/>
      <c r="ABE108" s="899"/>
      <c r="ABF108" s="899"/>
      <c r="ABG108" s="899"/>
      <c r="ABH108" s="899"/>
      <c r="ABI108" s="899"/>
      <c r="ABJ108" s="899"/>
      <c r="ABK108" s="899"/>
      <c r="ABL108" s="899"/>
      <c r="ABM108" s="899"/>
      <c r="ABN108" s="899"/>
      <c r="ABO108" s="899"/>
      <c r="ABP108" s="899"/>
      <c r="ABQ108" s="899"/>
      <c r="ABR108" s="899"/>
      <c r="ABS108" s="899"/>
      <c r="ABT108" s="899"/>
      <c r="ABU108" s="899"/>
      <c r="ABV108" s="899"/>
      <c r="ABW108" s="899"/>
      <c r="ABX108" s="899"/>
      <c r="ABY108" s="899"/>
      <c r="ABZ108" s="899"/>
      <c r="ACA108" s="899"/>
      <c r="ACB108" s="899"/>
      <c r="ACC108" s="899"/>
      <c r="ACD108" s="899"/>
      <c r="ACE108" s="899"/>
      <c r="ACF108" s="899"/>
      <c r="ACG108" s="899"/>
      <c r="ACH108" s="899"/>
      <c r="ACI108" s="899"/>
      <c r="ACJ108" s="899"/>
      <c r="ACK108" s="899"/>
      <c r="ACL108" s="899"/>
      <c r="ACM108" s="899"/>
      <c r="ACN108" s="899"/>
      <c r="ACO108" s="899"/>
      <c r="ACP108" s="899"/>
      <c r="ACQ108" s="899"/>
      <c r="ACR108" s="899"/>
      <c r="ACS108" s="899"/>
      <c r="ACT108" s="899"/>
      <c r="ACU108" s="899"/>
      <c r="ACV108" s="899"/>
      <c r="ACW108" s="899"/>
      <c r="ACX108" s="899"/>
      <c r="ACY108" s="899"/>
      <c r="ACZ108" s="899"/>
      <c r="ADA108" s="899"/>
      <c r="ADB108" s="899"/>
      <c r="ADC108" s="899"/>
      <c r="ADD108" s="899"/>
      <c r="ADE108" s="899"/>
      <c r="ADF108" s="899"/>
      <c r="ADG108" s="899"/>
      <c r="ADH108" s="899"/>
      <c r="ADI108" s="899"/>
      <c r="ADJ108" s="899"/>
      <c r="ADK108" s="899"/>
      <c r="ADL108" s="899"/>
      <c r="ADM108" s="899"/>
      <c r="ADN108" s="899"/>
      <c r="ADO108" s="899"/>
      <c r="ADP108" s="899"/>
      <c r="ADQ108" s="899"/>
      <c r="ADR108" s="899"/>
      <c r="ADS108" s="899"/>
      <c r="ADT108" s="899"/>
      <c r="ADU108" s="899"/>
      <c r="ADV108" s="899"/>
      <c r="ADW108" s="899"/>
      <c r="ADX108" s="899"/>
      <c r="ADY108" s="899"/>
      <c r="ADZ108" s="899"/>
      <c r="AEA108" s="899"/>
      <c r="AEB108" s="899"/>
      <c r="AEC108" s="899"/>
      <c r="AED108" s="899"/>
      <c r="AEE108" s="899"/>
      <c r="AEF108" s="899"/>
      <c r="AEG108" s="899"/>
      <c r="AEH108" s="899"/>
      <c r="AEI108" s="899"/>
      <c r="AEJ108" s="899"/>
      <c r="AEK108" s="899"/>
      <c r="AEL108" s="899"/>
      <c r="AEM108" s="899"/>
      <c r="AEN108" s="899"/>
      <c r="AEO108" s="899"/>
      <c r="AEP108" s="899"/>
      <c r="AEQ108" s="899"/>
      <c r="AER108" s="899"/>
      <c r="AES108" s="899"/>
      <c r="AET108" s="899"/>
      <c r="AEU108" s="899"/>
      <c r="AEV108" s="899"/>
      <c r="AEW108" s="899"/>
      <c r="AEX108" s="899"/>
      <c r="AEY108" s="899"/>
      <c r="AEZ108" s="899"/>
      <c r="AFA108" s="899"/>
      <c r="AFB108" s="899"/>
      <c r="AFC108" s="899"/>
      <c r="AFD108" s="899"/>
      <c r="AFE108" s="899"/>
      <c r="AFF108" s="899"/>
      <c r="AFG108" s="899"/>
      <c r="AFH108" s="899"/>
      <c r="AFI108" s="899"/>
      <c r="AFJ108" s="899"/>
      <c r="AFK108" s="899"/>
      <c r="AFL108" s="899"/>
      <c r="AFM108" s="899"/>
      <c r="AFN108" s="899"/>
      <c r="AFO108" s="899"/>
      <c r="AFP108" s="899"/>
      <c r="AFQ108" s="899"/>
      <c r="AFR108" s="899"/>
      <c r="AFS108" s="899"/>
      <c r="AFT108" s="899"/>
      <c r="AFU108" s="899"/>
      <c r="AFV108" s="899"/>
      <c r="AFW108" s="899"/>
      <c r="AFX108" s="899"/>
      <c r="AFY108" s="899"/>
      <c r="AFZ108" s="899"/>
      <c r="AGA108" s="899"/>
      <c r="AGB108" s="899"/>
      <c r="AGC108" s="899"/>
      <c r="AGD108" s="899"/>
      <c r="AGE108" s="899"/>
      <c r="AGF108" s="899"/>
      <c r="AGG108" s="899"/>
      <c r="AGH108" s="899"/>
      <c r="AGI108" s="899"/>
      <c r="AGJ108" s="899"/>
      <c r="AGK108" s="899"/>
      <c r="AGL108" s="899"/>
      <c r="AGM108" s="899"/>
      <c r="AGN108" s="899"/>
      <c r="AGO108" s="899"/>
      <c r="AGP108" s="899"/>
      <c r="AGQ108" s="899"/>
      <c r="AGR108" s="899"/>
      <c r="AGS108" s="899"/>
      <c r="AGT108" s="899"/>
      <c r="AGU108" s="899"/>
      <c r="AGV108" s="899"/>
      <c r="AGW108" s="899"/>
      <c r="AGX108" s="899"/>
      <c r="AGY108" s="899"/>
      <c r="AGZ108" s="899"/>
      <c r="AHA108" s="899"/>
      <c r="AHB108" s="899"/>
      <c r="AHC108" s="899"/>
      <c r="AHD108" s="899"/>
      <c r="AHE108" s="899"/>
      <c r="AHF108" s="899"/>
      <c r="AHG108" s="899"/>
      <c r="AHH108" s="899"/>
      <c r="AHI108" s="899"/>
      <c r="AHJ108" s="899"/>
      <c r="AHK108" s="899"/>
      <c r="AHL108" s="899"/>
      <c r="AHM108" s="899"/>
      <c r="AHN108" s="899"/>
      <c r="AHO108" s="899"/>
      <c r="AHP108" s="899"/>
      <c r="AHQ108" s="899"/>
      <c r="AHR108" s="899"/>
      <c r="AHS108" s="899"/>
      <c r="AHT108" s="899"/>
      <c r="AHU108" s="899"/>
      <c r="AHV108" s="899"/>
      <c r="AHW108" s="899"/>
      <c r="AHX108" s="899"/>
      <c r="AHY108" s="899"/>
      <c r="AHZ108" s="899"/>
      <c r="AIA108" s="899"/>
      <c r="AIB108" s="899"/>
      <c r="AIC108" s="899"/>
      <c r="AID108" s="899"/>
      <c r="AIE108" s="899"/>
      <c r="AIF108" s="899"/>
      <c r="AIG108" s="899"/>
      <c r="AIH108" s="899"/>
      <c r="AII108" s="899"/>
      <c r="AIJ108" s="899"/>
      <c r="AIK108" s="899"/>
      <c r="AIL108" s="899"/>
      <c r="AIM108" s="899"/>
      <c r="AIN108" s="899"/>
      <c r="AIO108" s="899"/>
      <c r="AIP108" s="899"/>
      <c r="AIQ108" s="899"/>
      <c r="AIR108" s="899"/>
      <c r="AIS108" s="899"/>
      <c r="AIT108" s="899"/>
      <c r="AIU108" s="899"/>
      <c r="AIV108" s="899"/>
      <c r="AIW108" s="899"/>
      <c r="AIX108" s="899"/>
      <c r="AIY108" s="899"/>
      <c r="AIZ108" s="899"/>
      <c r="AJA108" s="899"/>
      <c r="AJB108" s="899"/>
      <c r="AJC108" s="899"/>
      <c r="AJD108" s="899"/>
      <c r="AJE108" s="899"/>
      <c r="AJF108" s="899"/>
      <c r="AJG108" s="899"/>
      <c r="AJH108" s="899"/>
      <c r="AJI108" s="899"/>
      <c r="AJJ108" s="899"/>
      <c r="AJK108" s="899"/>
      <c r="AJL108" s="899"/>
      <c r="AJM108" s="899"/>
      <c r="AJN108" s="899"/>
      <c r="AJO108" s="899"/>
      <c r="AJP108" s="899"/>
      <c r="AJQ108" s="899"/>
      <c r="AJR108" s="899"/>
      <c r="AJS108" s="899"/>
      <c r="AJT108" s="899"/>
      <c r="AJU108" s="899"/>
      <c r="AJV108" s="899"/>
      <c r="AJW108" s="899"/>
      <c r="AJX108" s="899"/>
      <c r="AJY108" s="899"/>
      <c r="AJZ108" s="899"/>
      <c r="AKA108" s="899"/>
      <c r="AKB108" s="899"/>
      <c r="AKC108" s="899"/>
      <c r="AKD108" s="899"/>
      <c r="AKE108" s="899"/>
      <c r="AKF108" s="899"/>
      <c r="AKG108" s="899"/>
      <c r="AKH108" s="899"/>
      <c r="AKI108" s="899"/>
      <c r="AKJ108" s="899"/>
      <c r="AKK108" s="899"/>
      <c r="AKL108" s="899"/>
      <c r="AKM108" s="899"/>
      <c r="AKN108" s="899"/>
      <c r="AKO108" s="899"/>
      <c r="AKP108" s="899"/>
      <c r="AKQ108" s="899"/>
      <c r="AKR108" s="899"/>
      <c r="AKS108" s="899"/>
      <c r="AKT108" s="899"/>
      <c r="AKU108" s="899"/>
      <c r="AKV108" s="899"/>
      <c r="AKW108" s="899"/>
      <c r="AKX108" s="899"/>
      <c r="AKY108" s="899"/>
      <c r="AKZ108" s="899"/>
      <c r="ALA108" s="899"/>
      <c r="ALB108" s="899"/>
      <c r="ALC108" s="899"/>
      <c r="ALD108" s="899"/>
      <c r="ALE108" s="899"/>
      <c r="ALF108" s="899"/>
      <c r="ALG108" s="899"/>
      <c r="ALH108" s="899"/>
      <c r="ALI108" s="899"/>
      <c r="ALJ108" s="899"/>
      <c r="ALK108" s="899"/>
      <c r="ALL108" s="899"/>
      <c r="ALM108" s="899"/>
      <c r="ALN108" s="899"/>
      <c r="ALO108" s="899"/>
      <c r="ALP108" s="899"/>
      <c r="ALQ108" s="899"/>
      <c r="ALR108" s="899"/>
      <c r="ALS108" s="899"/>
      <c r="ALT108" s="899"/>
      <c r="ALU108" s="899"/>
      <c r="ALV108" s="899"/>
      <c r="ALW108" s="899"/>
      <c r="ALX108" s="899"/>
      <c r="ALY108" s="899"/>
      <c r="ALZ108" s="899"/>
      <c r="AMA108" s="899"/>
      <c r="AMB108" s="899"/>
      <c r="AMC108" s="899"/>
      <c r="AMD108" s="899"/>
      <c r="AME108" s="899"/>
      <c r="AMF108" s="899"/>
      <c r="AMG108" s="899"/>
      <c r="AMH108" s="899"/>
      <c r="AMI108" s="899"/>
      <c r="AMJ108" s="899"/>
      <c r="AMK108" s="899"/>
      <c r="AML108" s="899"/>
      <c r="AMM108" s="899"/>
      <c r="AMN108" s="899"/>
      <c r="AMO108" s="899"/>
      <c r="AMP108" s="899"/>
      <c r="AMQ108" s="899"/>
      <c r="AMR108" s="899"/>
      <c r="AMS108" s="899"/>
      <c r="AMT108" s="899"/>
      <c r="AMU108" s="899"/>
      <c r="AMV108" s="899"/>
      <c r="AMW108" s="899"/>
      <c r="AMX108" s="899"/>
      <c r="AMY108" s="899"/>
      <c r="AMZ108" s="899"/>
      <c r="ANA108" s="899"/>
      <c r="ANB108" s="899"/>
      <c r="ANC108" s="899"/>
      <c r="AND108" s="899"/>
      <c r="ANE108" s="899"/>
      <c r="ANF108" s="899"/>
      <c r="ANG108" s="899"/>
      <c r="ANH108" s="899"/>
      <c r="ANI108" s="899"/>
      <c r="ANJ108" s="899"/>
      <c r="ANK108" s="899"/>
      <c r="ANL108" s="899"/>
      <c r="ANM108" s="899"/>
      <c r="ANN108" s="899"/>
      <c r="ANO108" s="899"/>
      <c r="ANP108" s="899"/>
      <c r="ANQ108" s="899"/>
      <c r="ANR108" s="899"/>
      <c r="ANS108" s="899"/>
      <c r="ANT108" s="899"/>
      <c r="ANU108" s="899"/>
      <c r="ANV108" s="899"/>
      <c r="ANW108" s="899"/>
      <c r="ANX108" s="899"/>
      <c r="ANY108" s="899"/>
      <c r="ANZ108" s="899"/>
      <c r="AOA108" s="899"/>
      <c r="AOB108" s="899"/>
      <c r="AOC108" s="899"/>
      <c r="AOD108" s="899"/>
      <c r="AOE108" s="899"/>
      <c r="AOF108" s="899"/>
      <c r="AOG108" s="899"/>
      <c r="AOH108" s="899"/>
      <c r="AOI108" s="899"/>
      <c r="AOJ108" s="899"/>
      <c r="AOK108" s="899"/>
      <c r="AOL108" s="899"/>
      <c r="AOM108" s="899"/>
      <c r="AON108" s="899"/>
      <c r="AOO108" s="899"/>
      <c r="AOP108" s="899"/>
      <c r="AOQ108" s="899"/>
      <c r="AOR108" s="899"/>
      <c r="AOS108" s="899"/>
      <c r="AOT108" s="899"/>
      <c r="AOU108" s="899"/>
      <c r="AOV108" s="899"/>
      <c r="AOW108" s="899"/>
      <c r="AOX108" s="899"/>
      <c r="AOY108" s="899"/>
      <c r="AOZ108" s="899"/>
      <c r="APA108" s="899"/>
      <c r="APB108" s="899"/>
      <c r="APC108" s="899"/>
      <c r="APD108" s="899"/>
      <c r="APE108" s="899"/>
      <c r="APF108" s="899"/>
      <c r="APG108" s="899"/>
      <c r="APH108" s="899"/>
      <c r="API108" s="899"/>
      <c r="APJ108" s="899"/>
      <c r="APK108" s="899"/>
      <c r="APL108" s="899"/>
      <c r="APM108" s="899"/>
      <c r="APN108" s="899"/>
      <c r="APO108" s="899"/>
      <c r="APP108" s="899"/>
      <c r="APQ108" s="899"/>
      <c r="APR108" s="899"/>
      <c r="APS108" s="899"/>
      <c r="APT108" s="899"/>
      <c r="APU108" s="899"/>
      <c r="APV108" s="899"/>
      <c r="APW108" s="899"/>
      <c r="APX108" s="899"/>
      <c r="APY108" s="899"/>
      <c r="APZ108" s="899"/>
      <c r="AQA108" s="899"/>
      <c r="AQB108" s="899"/>
      <c r="AQC108" s="899"/>
      <c r="AQD108" s="899"/>
      <c r="AQE108" s="899"/>
      <c r="AQF108" s="899"/>
      <c r="AQG108" s="899"/>
      <c r="AQH108" s="899"/>
      <c r="AQI108" s="899"/>
      <c r="AQJ108" s="899"/>
      <c r="AQK108" s="899"/>
      <c r="AQL108" s="899"/>
      <c r="AQM108" s="899"/>
      <c r="AQN108" s="899"/>
      <c r="AQO108" s="899"/>
      <c r="AQP108" s="899"/>
      <c r="AQQ108" s="899"/>
      <c r="AQR108" s="899"/>
      <c r="AQS108" s="899"/>
      <c r="AQT108" s="899"/>
      <c r="AQU108" s="899"/>
      <c r="AQV108" s="899"/>
      <c r="AQW108" s="899"/>
      <c r="AQX108" s="899"/>
      <c r="AQY108" s="899"/>
      <c r="AQZ108" s="899"/>
      <c r="ARA108" s="899"/>
      <c r="ARB108" s="899"/>
      <c r="ARC108" s="899"/>
      <c r="ARD108" s="899"/>
      <c r="ARE108" s="899"/>
      <c r="ARF108" s="899"/>
      <c r="ARG108" s="899"/>
      <c r="ARH108" s="899"/>
      <c r="ARI108" s="899"/>
      <c r="ARJ108" s="899"/>
      <c r="ARK108" s="899"/>
      <c r="ARL108" s="899"/>
      <c r="ARM108" s="899"/>
      <c r="ARN108" s="899"/>
      <c r="ARO108" s="899"/>
      <c r="ARP108" s="899"/>
      <c r="ARQ108" s="899"/>
      <c r="ARR108" s="899"/>
      <c r="ARS108" s="899"/>
      <c r="ART108" s="899"/>
      <c r="ARU108" s="899"/>
      <c r="ARV108" s="899"/>
      <c r="ARW108" s="899"/>
      <c r="ARX108" s="899"/>
      <c r="ARY108" s="899"/>
      <c r="ARZ108" s="899"/>
      <c r="ASA108" s="899"/>
      <c r="ASB108" s="899"/>
      <c r="ASC108" s="899"/>
      <c r="ASD108" s="899"/>
      <c r="ASE108" s="899"/>
      <c r="ASF108" s="899"/>
      <c r="ASG108" s="899"/>
      <c r="ASH108" s="899"/>
      <c r="ASI108" s="899"/>
      <c r="ASJ108" s="899"/>
      <c r="ASK108" s="899"/>
      <c r="ASL108" s="899"/>
      <c r="ASM108" s="899"/>
      <c r="ASN108" s="899"/>
      <c r="ASO108" s="899"/>
      <c r="ASP108" s="899"/>
      <c r="ASQ108" s="899"/>
      <c r="ASR108" s="899"/>
      <c r="ASS108" s="899"/>
      <c r="AST108" s="899"/>
      <c r="ASU108" s="899"/>
      <c r="ASV108" s="899"/>
      <c r="ASW108" s="899"/>
      <c r="ASX108" s="899"/>
      <c r="ASY108" s="899"/>
      <c r="ASZ108" s="899"/>
      <c r="ATA108" s="899"/>
      <c r="ATB108" s="899"/>
      <c r="ATC108" s="899"/>
      <c r="ATD108" s="899"/>
      <c r="ATE108" s="899"/>
      <c r="ATF108" s="899"/>
      <c r="ATG108" s="899"/>
      <c r="ATH108" s="899"/>
      <c r="ATI108" s="899"/>
      <c r="ATJ108" s="899"/>
      <c r="ATK108" s="899"/>
      <c r="ATL108" s="899"/>
      <c r="ATM108" s="899"/>
      <c r="ATN108" s="899"/>
      <c r="ATO108" s="899"/>
      <c r="ATP108" s="899"/>
      <c r="ATQ108" s="899"/>
      <c r="ATR108" s="899"/>
      <c r="ATS108" s="899"/>
      <c r="ATT108" s="899"/>
      <c r="ATU108" s="899"/>
      <c r="ATV108" s="899"/>
      <c r="ATW108" s="899"/>
      <c r="ATX108" s="899"/>
      <c r="ATY108" s="899"/>
      <c r="ATZ108" s="899"/>
      <c r="AUA108" s="899"/>
      <c r="AUB108" s="899"/>
      <c r="AUC108" s="899"/>
      <c r="AUD108" s="899"/>
      <c r="AUE108" s="899"/>
      <c r="AUF108" s="899"/>
      <c r="AUG108" s="899"/>
      <c r="AUH108" s="899"/>
      <c r="AUI108" s="899"/>
      <c r="AUJ108" s="899"/>
      <c r="AUK108" s="899"/>
      <c r="AUL108" s="899"/>
      <c r="AUM108" s="899"/>
      <c r="AUN108" s="899"/>
      <c r="AUO108" s="899"/>
      <c r="AUP108" s="899"/>
      <c r="AUQ108" s="899"/>
      <c r="AUR108" s="899"/>
      <c r="AUS108" s="899"/>
      <c r="AUT108" s="899"/>
      <c r="AUU108" s="899"/>
      <c r="AUV108" s="899"/>
      <c r="AUW108" s="899"/>
      <c r="AUX108" s="899"/>
      <c r="AUY108" s="899"/>
      <c r="AUZ108" s="899"/>
      <c r="AVA108" s="899"/>
      <c r="AVB108" s="899"/>
      <c r="AVC108" s="899"/>
      <c r="AVD108" s="899"/>
      <c r="AVE108" s="899"/>
      <c r="AVF108" s="899"/>
      <c r="AVG108" s="899"/>
      <c r="AVH108" s="899"/>
      <c r="AVI108" s="899"/>
      <c r="AVJ108" s="899"/>
      <c r="AVK108" s="899"/>
      <c r="AVL108" s="899"/>
      <c r="AVM108" s="899"/>
      <c r="AVN108" s="899"/>
      <c r="AVO108" s="899"/>
      <c r="AVP108" s="899"/>
      <c r="AVQ108" s="899"/>
      <c r="AVR108" s="899"/>
      <c r="AVS108" s="899"/>
      <c r="AVT108" s="899"/>
      <c r="AVU108" s="899"/>
      <c r="AVV108" s="899"/>
      <c r="AVW108" s="899"/>
      <c r="AVX108" s="899"/>
      <c r="AVY108" s="899"/>
      <c r="AVZ108" s="899"/>
      <c r="AWA108" s="899"/>
      <c r="AWB108" s="899"/>
      <c r="AWC108" s="899"/>
      <c r="AWD108" s="899"/>
      <c r="AWE108" s="899"/>
      <c r="AWF108" s="899"/>
      <c r="AWG108" s="899"/>
      <c r="AWH108" s="899"/>
      <c r="AWI108" s="899"/>
      <c r="AWJ108" s="899"/>
      <c r="AWK108" s="899"/>
      <c r="AWL108" s="899"/>
      <c r="AWM108" s="899"/>
      <c r="AWN108" s="899"/>
      <c r="AWO108" s="899"/>
      <c r="AWP108" s="899"/>
      <c r="AWQ108" s="899"/>
      <c r="AWR108" s="899"/>
      <c r="AWS108" s="899"/>
      <c r="AWT108" s="899"/>
      <c r="AWU108" s="899"/>
      <c r="AWV108" s="899"/>
      <c r="AWW108" s="899"/>
      <c r="AWX108" s="899"/>
      <c r="AWY108" s="899"/>
      <c r="AWZ108" s="899"/>
      <c r="AXA108" s="899"/>
      <c r="AXB108" s="899"/>
      <c r="AXC108" s="899"/>
      <c r="AXD108" s="899"/>
      <c r="AXE108" s="899"/>
      <c r="AXF108" s="899"/>
      <c r="AXG108" s="899"/>
      <c r="AXH108" s="899"/>
      <c r="AXI108" s="899"/>
      <c r="AXJ108" s="899"/>
      <c r="AXK108" s="899"/>
      <c r="AXL108" s="899"/>
      <c r="AXM108" s="899"/>
      <c r="AXN108" s="899"/>
      <c r="AXO108" s="899"/>
      <c r="AXP108" s="899"/>
      <c r="AXQ108" s="899"/>
      <c r="AXR108" s="899"/>
      <c r="AXS108" s="899"/>
      <c r="AXT108" s="899"/>
      <c r="AXU108" s="899"/>
      <c r="AXV108" s="899"/>
      <c r="AXW108" s="899"/>
      <c r="AXX108" s="899"/>
      <c r="AXY108" s="899"/>
      <c r="AXZ108" s="899"/>
      <c r="AYA108" s="899"/>
      <c r="AYB108" s="899"/>
      <c r="AYC108" s="899"/>
      <c r="AYD108" s="899"/>
      <c r="AYE108" s="899"/>
      <c r="AYF108" s="899"/>
      <c r="AYG108" s="899"/>
      <c r="AYH108" s="899"/>
      <c r="AYI108" s="899"/>
      <c r="AYJ108" s="899"/>
      <c r="AYK108" s="899"/>
      <c r="AYL108" s="899"/>
      <c r="AYM108" s="899"/>
      <c r="AYN108" s="899"/>
      <c r="AYO108" s="899"/>
      <c r="AYP108" s="899"/>
      <c r="AYQ108" s="899"/>
      <c r="AYR108" s="899"/>
      <c r="AYS108" s="899"/>
      <c r="AYT108" s="899"/>
      <c r="AYU108" s="899"/>
      <c r="AYV108" s="899"/>
      <c r="AYW108" s="899"/>
      <c r="AYX108" s="899"/>
      <c r="AYY108" s="899"/>
      <c r="AYZ108" s="899"/>
      <c r="AZA108" s="899"/>
      <c r="AZB108" s="899"/>
      <c r="AZC108" s="899"/>
      <c r="AZD108" s="899"/>
      <c r="AZE108" s="899"/>
      <c r="AZF108" s="899"/>
      <c r="AZG108" s="899"/>
      <c r="AZH108" s="899"/>
      <c r="AZI108" s="899"/>
      <c r="AZJ108" s="899"/>
      <c r="AZK108" s="899"/>
      <c r="AZL108" s="899"/>
      <c r="AZM108" s="899"/>
      <c r="AZN108" s="899"/>
      <c r="AZO108" s="899"/>
      <c r="AZP108" s="899"/>
      <c r="AZQ108" s="899"/>
      <c r="AZR108" s="899"/>
      <c r="AZS108" s="899"/>
      <c r="AZT108" s="899"/>
      <c r="AZU108" s="899"/>
      <c r="AZV108" s="899"/>
      <c r="AZW108" s="899"/>
      <c r="AZX108" s="899"/>
      <c r="AZY108" s="899"/>
      <c r="AZZ108" s="899"/>
      <c r="BAA108" s="899"/>
      <c r="BAB108" s="899"/>
      <c r="BAC108" s="899"/>
      <c r="BAD108" s="899"/>
      <c r="BAE108" s="899"/>
      <c r="BAF108" s="899"/>
      <c r="BAG108" s="899"/>
      <c r="BAH108" s="899"/>
      <c r="BAI108" s="899"/>
      <c r="BAJ108" s="899"/>
      <c r="BAK108" s="899"/>
      <c r="BAL108" s="899"/>
      <c r="BAM108" s="899"/>
      <c r="BAN108" s="899"/>
      <c r="BAO108" s="899"/>
      <c r="BAP108" s="899"/>
      <c r="BAQ108" s="899"/>
      <c r="BAR108" s="899"/>
      <c r="BAS108" s="899"/>
      <c r="BAT108" s="899"/>
      <c r="BAU108" s="899"/>
      <c r="BAV108" s="899"/>
      <c r="BAW108" s="899"/>
      <c r="BAX108" s="899"/>
      <c r="BAY108" s="899"/>
      <c r="BAZ108" s="899"/>
      <c r="BBA108" s="899"/>
      <c r="BBB108" s="899"/>
      <c r="BBC108" s="899"/>
      <c r="BBD108" s="899"/>
      <c r="BBE108" s="899"/>
      <c r="BBF108" s="899"/>
      <c r="BBG108" s="899"/>
      <c r="BBH108" s="899"/>
      <c r="BBI108" s="899"/>
      <c r="BBJ108" s="899"/>
      <c r="BBK108" s="899"/>
      <c r="BBL108" s="899"/>
      <c r="BBM108" s="899"/>
      <c r="BBN108" s="899"/>
      <c r="BBO108" s="899"/>
      <c r="BBP108" s="899"/>
      <c r="BBQ108" s="899"/>
      <c r="BBR108" s="899"/>
      <c r="BBS108" s="899"/>
      <c r="BBT108" s="899"/>
      <c r="BBU108" s="899"/>
      <c r="BBV108" s="899"/>
      <c r="BBW108" s="899"/>
      <c r="BBX108" s="899"/>
      <c r="BBY108" s="899"/>
      <c r="BBZ108" s="899"/>
      <c r="BCA108" s="899"/>
      <c r="BCB108" s="899"/>
      <c r="BCC108" s="899"/>
      <c r="BCD108" s="899"/>
      <c r="BCE108" s="899"/>
      <c r="BCF108" s="899"/>
      <c r="BCG108" s="899"/>
      <c r="BCH108" s="899"/>
      <c r="BCI108" s="899"/>
      <c r="BCJ108" s="899"/>
      <c r="BCK108" s="899"/>
      <c r="BCL108" s="899"/>
      <c r="BCM108" s="899"/>
      <c r="BCN108" s="899"/>
      <c r="BCO108" s="899"/>
      <c r="BCP108" s="899"/>
      <c r="BCQ108" s="899"/>
      <c r="BCR108" s="899"/>
      <c r="BCS108" s="899"/>
      <c r="BCT108" s="899"/>
      <c r="BCU108" s="899"/>
      <c r="BCV108" s="899"/>
      <c r="BCW108" s="899"/>
      <c r="BCX108" s="899"/>
      <c r="BCY108" s="899"/>
      <c r="BCZ108" s="899"/>
      <c r="BDA108" s="899"/>
      <c r="BDB108" s="899"/>
      <c r="BDC108" s="899"/>
      <c r="BDD108" s="899"/>
      <c r="BDE108" s="899"/>
      <c r="BDF108" s="899"/>
      <c r="BDG108" s="899"/>
      <c r="BDH108" s="899"/>
      <c r="BDI108" s="899"/>
      <c r="BDJ108" s="899"/>
      <c r="BDK108" s="899"/>
      <c r="BDL108" s="899"/>
      <c r="BDM108" s="899"/>
      <c r="BDN108" s="899"/>
      <c r="BDO108" s="899"/>
      <c r="BDP108" s="899"/>
      <c r="BDQ108" s="899"/>
      <c r="BDR108" s="899"/>
      <c r="BDS108" s="899"/>
      <c r="BDT108" s="899"/>
      <c r="BDU108" s="899"/>
      <c r="BDV108" s="899"/>
      <c r="BDW108" s="899"/>
      <c r="BDX108" s="899"/>
      <c r="BDY108" s="899"/>
      <c r="BDZ108" s="899"/>
      <c r="BEA108" s="899"/>
      <c r="BEB108" s="899"/>
      <c r="BEC108" s="899"/>
      <c r="BED108" s="899"/>
      <c r="BEE108" s="899"/>
      <c r="BEF108" s="899"/>
      <c r="BEG108" s="899"/>
      <c r="BEH108" s="899"/>
      <c r="BEI108" s="899"/>
      <c r="BEJ108" s="899"/>
      <c r="BEK108" s="899"/>
      <c r="BEL108" s="899"/>
      <c r="BEM108" s="899"/>
      <c r="BEN108" s="899"/>
      <c r="BEO108" s="899"/>
      <c r="BEP108" s="899"/>
      <c r="BEQ108" s="899"/>
      <c r="BER108" s="899"/>
      <c r="BES108" s="899"/>
      <c r="BET108" s="899"/>
      <c r="BEU108" s="899"/>
      <c r="BEV108" s="899"/>
      <c r="BEW108" s="899"/>
      <c r="BEX108" s="899"/>
      <c r="BEY108" s="899"/>
      <c r="BEZ108" s="899"/>
      <c r="BFA108" s="899"/>
      <c r="BFB108" s="899"/>
      <c r="BFC108" s="899"/>
      <c r="BFD108" s="899"/>
      <c r="BFE108" s="899"/>
      <c r="BFF108" s="899"/>
      <c r="BFG108" s="899"/>
      <c r="BFH108" s="899"/>
      <c r="BFI108" s="899"/>
      <c r="BFJ108" s="899"/>
      <c r="BFK108" s="899"/>
      <c r="BFL108" s="899"/>
      <c r="BFM108" s="899"/>
      <c r="BFN108" s="899"/>
      <c r="BFO108" s="899"/>
      <c r="BFP108" s="899"/>
      <c r="BFQ108" s="899"/>
      <c r="BFR108" s="899"/>
      <c r="BFS108" s="899"/>
      <c r="BFT108" s="899"/>
      <c r="BFU108" s="899"/>
      <c r="BFV108" s="899"/>
      <c r="BFW108" s="899"/>
      <c r="BFX108" s="899"/>
      <c r="BFY108" s="899"/>
      <c r="BFZ108" s="899"/>
      <c r="BGA108" s="899"/>
      <c r="BGB108" s="899"/>
      <c r="BGC108" s="899"/>
      <c r="BGD108" s="899"/>
      <c r="BGE108" s="899"/>
      <c r="BGF108" s="899"/>
      <c r="BGG108" s="899"/>
      <c r="BGH108" s="899"/>
      <c r="BGI108" s="899"/>
      <c r="BGJ108" s="899"/>
      <c r="BGK108" s="899"/>
      <c r="BGL108" s="899"/>
      <c r="BGM108" s="899"/>
      <c r="BGN108" s="899"/>
      <c r="BGO108" s="899"/>
      <c r="BGP108" s="899"/>
      <c r="BGQ108" s="899"/>
      <c r="BGR108" s="899"/>
      <c r="BGS108" s="899"/>
      <c r="BGT108" s="899"/>
      <c r="BGU108" s="899"/>
      <c r="BGV108" s="899"/>
      <c r="BGW108" s="899"/>
      <c r="BGX108" s="899"/>
      <c r="BGY108" s="899"/>
      <c r="BGZ108" s="899"/>
      <c r="BHA108" s="899"/>
      <c r="BHB108" s="899"/>
      <c r="BHC108" s="899"/>
      <c r="BHD108" s="899"/>
      <c r="BHE108" s="899"/>
      <c r="BHF108" s="899"/>
      <c r="BHG108" s="899"/>
      <c r="BHH108" s="899"/>
      <c r="BHI108" s="899"/>
      <c r="BHJ108" s="899"/>
      <c r="BHK108" s="899"/>
      <c r="BHL108" s="899"/>
      <c r="BHM108" s="899"/>
      <c r="BHN108" s="899"/>
      <c r="BHO108" s="899"/>
      <c r="BHP108" s="899"/>
      <c r="BHQ108" s="899"/>
      <c r="BHR108" s="899"/>
      <c r="BHS108" s="899"/>
      <c r="BHT108" s="899"/>
      <c r="BHU108" s="899"/>
      <c r="BHV108" s="899"/>
      <c r="BHW108" s="899"/>
      <c r="BHX108" s="899"/>
      <c r="BHY108" s="899"/>
      <c r="BHZ108" s="899"/>
      <c r="BIA108" s="899"/>
      <c r="BIB108" s="899"/>
      <c r="BIC108" s="899"/>
      <c r="BID108" s="899"/>
      <c r="BIE108" s="899"/>
      <c r="BIF108" s="899"/>
      <c r="BIG108" s="899"/>
      <c r="BIH108" s="899"/>
      <c r="BII108" s="899"/>
      <c r="BIJ108" s="899"/>
      <c r="BIK108" s="899"/>
      <c r="BIL108" s="899"/>
      <c r="BIM108" s="899"/>
      <c r="BIN108" s="899"/>
      <c r="BIO108" s="899"/>
      <c r="BIP108" s="899"/>
      <c r="BIQ108" s="899"/>
      <c r="BIR108" s="899"/>
      <c r="BIS108" s="899"/>
      <c r="BIT108" s="899"/>
      <c r="BIU108" s="899"/>
      <c r="BIV108" s="899"/>
      <c r="BIW108" s="899"/>
      <c r="BIX108" s="899"/>
      <c r="BIY108" s="899"/>
      <c r="BIZ108" s="899"/>
      <c r="BJA108" s="899"/>
      <c r="BJB108" s="899"/>
      <c r="BJC108" s="899"/>
      <c r="BJD108" s="899"/>
      <c r="BJE108" s="899"/>
      <c r="BJF108" s="899"/>
      <c r="BJG108" s="899"/>
      <c r="BJH108" s="899"/>
      <c r="BJI108" s="899"/>
      <c r="BJJ108" s="899"/>
      <c r="BJK108" s="899"/>
      <c r="BJL108" s="899"/>
      <c r="BJM108" s="899"/>
      <c r="BJN108" s="899"/>
      <c r="BJO108" s="899"/>
      <c r="BJP108" s="899"/>
      <c r="BJQ108" s="899"/>
      <c r="BJR108" s="899"/>
      <c r="BJS108" s="899"/>
      <c r="BJT108" s="899"/>
      <c r="BJU108" s="899"/>
      <c r="BJV108" s="899"/>
      <c r="BJW108" s="899"/>
      <c r="BJX108" s="899"/>
      <c r="BJY108" s="899"/>
      <c r="BJZ108" s="899"/>
      <c r="BKA108" s="899"/>
      <c r="BKB108" s="899"/>
      <c r="BKC108" s="899"/>
      <c r="BKD108" s="899"/>
      <c r="BKE108" s="899"/>
      <c r="BKF108" s="899"/>
      <c r="BKG108" s="899"/>
      <c r="BKH108" s="899"/>
      <c r="BKI108" s="899"/>
      <c r="BKJ108" s="899"/>
      <c r="BKK108" s="899"/>
      <c r="BKL108" s="899"/>
      <c r="BKM108" s="899"/>
      <c r="BKN108" s="899"/>
      <c r="BKO108" s="899"/>
      <c r="BKP108" s="899"/>
      <c r="BKQ108" s="899"/>
      <c r="BKR108" s="899"/>
      <c r="BKS108" s="899"/>
      <c r="BKT108" s="899"/>
      <c r="BKU108" s="899"/>
      <c r="BKV108" s="899"/>
      <c r="BKW108" s="899"/>
      <c r="BKX108" s="899"/>
      <c r="BKY108" s="899"/>
      <c r="BKZ108" s="899"/>
      <c r="BLA108" s="899"/>
      <c r="BLB108" s="899"/>
      <c r="BLC108" s="899"/>
      <c r="BLD108" s="899"/>
      <c r="BLE108" s="899"/>
      <c r="BLF108" s="899"/>
      <c r="BLG108" s="899"/>
      <c r="BLH108" s="899"/>
      <c r="BLI108" s="899"/>
      <c r="BLJ108" s="899"/>
      <c r="BLK108" s="899"/>
      <c r="BLL108" s="899"/>
      <c r="BLM108" s="899"/>
      <c r="BLN108" s="899"/>
      <c r="BLO108" s="899"/>
      <c r="BLP108" s="899"/>
      <c r="BLQ108" s="899"/>
      <c r="BLR108" s="899"/>
      <c r="BLS108" s="899"/>
      <c r="BLT108" s="899"/>
      <c r="BLU108" s="899"/>
      <c r="BLV108" s="899"/>
      <c r="BLW108" s="899"/>
      <c r="BLX108" s="899"/>
      <c r="BLY108" s="899"/>
      <c r="BLZ108" s="899"/>
      <c r="BMA108" s="899"/>
      <c r="BMB108" s="899"/>
      <c r="BMC108" s="899"/>
      <c r="BMD108" s="899"/>
      <c r="BME108" s="899"/>
      <c r="BMF108" s="899"/>
      <c r="BMG108" s="899"/>
      <c r="BMH108" s="899"/>
      <c r="BMI108" s="899"/>
      <c r="BMJ108" s="899"/>
      <c r="BMK108" s="899"/>
      <c r="BML108" s="899"/>
      <c r="BMM108" s="899"/>
      <c r="BMN108" s="899"/>
      <c r="BMO108" s="899"/>
      <c r="BMP108" s="899"/>
      <c r="BMQ108" s="899"/>
      <c r="BMR108" s="899"/>
      <c r="BMS108" s="899"/>
      <c r="BMT108" s="899"/>
      <c r="BMU108" s="899"/>
      <c r="BMV108" s="899"/>
      <c r="BMW108" s="899"/>
      <c r="BMX108" s="899"/>
      <c r="BMY108" s="899"/>
      <c r="BMZ108" s="899"/>
      <c r="BNA108" s="899"/>
      <c r="BNB108" s="899"/>
      <c r="BNC108" s="899"/>
      <c r="BND108" s="899"/>
      <c r="BNE108" s="899"/>
      <c r="BNF108" s="899"/>
      <c r="BNG108" s="899"/>
      <c r="BNH108" s="899"/>
      <c r="BNI108" s="899"/>
      <c r="BNJ108" s="899"/>
      <c r="BNK108" s="899"/>
      <c r="BNL108" s="899"/>
      <c r="BNM108" s="899"/>
      <c r="BNN108" s="899"/>
      <c r="BNO108" s="899"/>
      <c r="BNP108" s="899"/>
      <c r="BNQ108" s="899"/>
      <c r="BNR108" s="899"/>
      <c r="BNS108" s="899"/>
      <c r="BNT108" s="899"/>
      <c r="BNU108" s="899"/>
      <c r="BNV108" s="899"/>
      <c r="BNW108" s="899"/>
      <c r="BNX108" s="899"/>
      <c r="BNY108" s="899"/>
      <c r="BNZ108" s="899"/>
      <c r="BOA108" s="899"/>
      <c r="BOB108" s="899"/>
      <c r="BOC108" s="899"/>
      <c r="BOD108" s="899"/>
      <c r="BOE108" s="899"/>
      <c r="BOF108" s="899"/>
      <c r="BOG108" s="899"/>
      <c r="BOH108" s="899"/>
      <c r="BOI108" s="899"/>
      <c r="BOJ108" s="899"/>
      <c r="BOK108" s="899"/>
      <c r="BOL108" s="899"/>
      <c r="BOM108" s="899"/>
      <c r="BON108" s="899"/>
      <c r="BOO108" s="899"/>
      <c r="BOP108" s="899"/>
      <c r="BOQ108" s="899"/>
      <c r="BOR108" s="899"/>
      <c r="BOS108" s="899"/>
      <c r="BOT108" s="899"/>
      <c r="BOU108" s="899"/>
      <c r="BOV108" s="899"/>
      <c r="BOW108" s="899"/>
      <c r="BOX108" s="899"/>
      <c r="BOY108" s="899"/>
      <c r="BOZ108" s="899"/>
      <c r="BPA108" s="899"/>
      <c r="BPB108" s="899"/>
      <c r="BPC108" s="899"/>
      <c r="BPD108" s="899"/>
      <c r="BPE108" s="899"/>
      <c r="BPF108" s="899"/>
      <c r="BPG108" s="899"/>
      <c r="BPH108" s="899"/>
      <c r="BPI108" s="899"/>
      <c r="BPJ108" s="899"/>
      <c r="BPK108" s="899"/>
      <c r="BPL108" s="899"/>
      <c r="BPM108" s="899"/>
      <c r="BPN108" s="899"/>
      <c r="BPO108" s="899"/>
      <c r="BPP108" s="899"/>
      <c r="BPQ108" s="899"/>
      <c r="BPR108" s="899"/>
      <c r="BPS108" s="899"/>
      <c r="BPT108" s="899"/>
      <c r="BPU108" s="899"/>
      <c r="BPV108" s="899"/>
    </row>
    <row r="109" spans="1:1790" s="145" customFormat="1" ht="53.25" hidden="1" customHeight="1">
      <c r="A109" s="509" t="s">
        <v>323</v>
      </c>
      <c r="B109" s="509" t="s">
        <v>1074</v>
      </c>
      <c r="C109" s="505" t="s">
        <v>4</v>
      </c>
      <c r="D109" s="506">
        <v>46147</v>
      </c>
      <c r="E109" s="506" t="s">
        <v>268</v>
      </c>
      <c r="F109" s="283" t="s">
        <v>268</v>
      </c>
      <c r="G109" s="505" t="s">
        <v>1224</v>
      </c>
      <c r="H109" s="672" t="s">
        <v>1223</v>
      </c>
      <c r="I109" s="672" t="s">
        <v>1174</v>
      </c>
    </row>
    <row r="110" spans="1:1790" s="145" customFormat="1" ht="43.5" hidden="1" customHeight="1">
      <c r="A110" s="469" t="s">
        <v>323</v>
      </c>
      <c r="B110" s="469" t="s">
        <v>1074</v>
      </c>
      <c r="C110" s="260" t="s">
        <v>5</v>
      </c>
      <c r="D110" s="282">
        <v>46155</v>
      </c>
      <c r="E110" s="282" t="s">
        <v>268</v>
      </c>
      <c r="F110" s="283" t="s">
        <v>268</v>
      </c>
      <c r="G110" s="260" t="s">
        <v>1224</v>
      </c>
      <c r="H110" s="347" t="s">
        <v>1223</v>
      </c>
      <c r="I110" s="347" t="s">
        <v>1174</v>
      </c>
    </row>
    <row r="111" spans="1:1790" s="145" customFormat="1" ht="43.5" hidden="1" customHeight="1">
      <c r="A111" s="469" t="s">
        <v>323</v>
      </c>
      <c r="B111" s="469" t="s">
        <v>1074</v>
      </c>
      <c r="C111" s="260" t="s">
        <v>6</v>
      </c>
      <c r="D111" s="282" t="s">
        <v>268</v>
      </c>
      <c r="E111" s="282" t="s">
        <v>268</v>
      </c>
      <c r="F111" s="283" t="s">
        <v>268</v>
      </c>
      <c r="G111" s="260" t="s">
        <v>1224</v>
      </c>
      <c r="H111" s="347" t="s">
        <v>1223</v>
      </c>
      <c r="I111" s="347" t="s">
        <v>1174</v>
      </c>
    </row>
    <row r="112" spans="1:1790" s="145" customFormat="1" ht="43.5" hidden="1" customHeight="1">
      <c r="A112" s="469" t="s">
        <v>223</v>
      </c>
      <c r="B112" s="369" t="s">
        <v>889</v>
      </c>
      <c r="C112" s="260" t="s">
        <v>1225</v>
      </c>
      <c r="D112" s="282">
        <v>45715</v>
      </c>
      <c r="E112" s="282"/>
      <c r="F112" s="283" t="s">
        <v>672</v>
      </c>
      <c r="G112" s="260" t="s">
        <v>1226</v>
      </c>
      <c r="H112" s="347"/>
      <c r="I112" s="347"/>
    </row>
    <row r="113" spans="1:1790" s="145" customFormat="1" ht="43.5" hidden="1" customHeight="1">
      <c r="A113" s="469" t="s">
        <v>223</v>
      </c>
      <c r="B113" s="369" t="s">
        <v>889</v>
      </c>
      <c r="C113" s="260" t="s">
        <v>1227</v>
      </c>
      <c r="D113" s="282">
        <v>46086</v>
      </c>
      <c r="E113" s="282"/>
      <c r="F113" s="283" t="s">
        <v>672</v>
      </c>
      <c r="G113" s="260" t="s">
        <v>1228</v>
      </c>
      <c r="H113" s="62" t="s">
        <v>1213</v>
      </c>
      <c r="I113" s="347" t="s">
        <v>1214</v>
      </c>
    </row>
    <row r="114" spans="1:1790" s="145" customFormat="1" ht="43.5" hidden="1" customHeight="1">
      <c r="A114" s="469" t="s">
        <v>796</v>
      </c>
      <c r="B114" s="469" t="s">
        <v>1074</v>
      </c>
      <c r="C114" s="260" t="s">
        <v>1229</v>
      </c>
      <c r="D114" s="282">
        <v>46085</v>
      </c>
      <c r="E114" s="282" t="s">
        <v>897</v>
      </c>
      <c r="F114" s="283" t="s">
        <v>897</v>
      </c>
      <c r="G114" s="589" t="s">
        <v>1230</v>
      </c>
      <c r="H114" s="469" t="s">
        <v>796</v>
      </c>
      <c r="I114" s="347" t="s">
        <v>897</v>
      </c>
    </row>
    <row r="115" spans="1:1790" s="145" customFormat="1" ht="43.5" hidden="1" customHeight="1">
      <c r="A115" s="524" t="s">
        <v>229</v>
      </c>
      <c r="B115" s="369" t="s">
        <v>889</v>
      </c>
      <c r="C115" s="362" t="s">
        <v>1231</v>
      </c>
      <c r="D115" s="363">
        <v>46085</v>
      </c>
      <c r="E115" s="363"/>
      <c r="F115" s="283" t="s">
        <v>897</v>
      </c>
      <c r="G115" s="362" t="s">
        <v>1232</v>
      </c>
      <c r="H115" s="469" t="s">
        <v>229</v>
      </c>
      <c r="I115" s="347"/>
    </row>
    <row r="116" spans="1:1790" s="145" customFormat="1" ht="43.5" hidden="1" customHeight="1">
      <c r="A116" s="524" t="s">
        <v>937</v>
      </c>
      <c r="B116" s="369" t="s">
        <v>889</v>
      </c>
      <c r="C116" s="362" t="s">
        <v>1233</v>
      </c>
      <c r="D116" s="363" t="s">
        <v>1234</v>
      </c>
      <c r="E116" s="630"/>
      <c r="F116" s="585" t="s">
        <v>672</v>
      </c>
      <c r="G116" s="362" t="s">
        <v>1235</v>
      </c>
      <c r="H116" s="612" t="s">
        <v>918</v>
      </c>
      <c r="I116" s="590"/>
    </row>
    <row r="117" spans="1:1790" s="595" customFormat="1" ht="43.5" hidden="1" customHeight="1">
      <c r="A117" s="591" t="s">
        <v>309</v>
      </c>
      <c r="B117" s="469" t="s">
        <v>1074</v>
      </c>
      <c r="C117" s="631" t="s">
        <v>1236</v>
      </c>
      <c r="D117" s="593" t="s">
        <v>672</v>
      </c>
      <c r="E117" s="593" t="s">
        <v>268</v>
      </c>
      <c r="F117" s="258"/>
      <c r="G117" s="651" t="s">
        <v>1237</v>
      </c>
      <c r="H117" s="620" t="s">
        <v>1238</v>
      </c>
      <c r="I117" s="592" t="s">
        <v>672</v>
      </c>
    </row>
    <row r="118" spans="1:1790" ht="48.75" hidden="1" customHeight="1">
      <c r="A118" s="591" t="s">
        <v>265</v>
      </c>
      <c r="B118" s="369" t="s">
        <v>889</v>
      </c>
      <c r="C118" s="631" t="s">
        <v>1239</v>
      </c>
      <c r="D118" s="282">
        <v>46113</v>
      </c>
      <c r="E118" s="282" t="s">
        <v>268</v>
      </c>
      <c r="F118" s="632"/>
      <c r="G118" s="621" t="s">
        <v>1240</v>
      </c>
      <c r="H118" s="620" t="s">
        <v>1241</v>
      </c>
      <c r="I118" s="591" t="s">
        <v>672</v>
      </c>
      <c r="J118" s="615"/>
      <c r="K118" s="616"/>
      <c r="L118" s="617"/>
      <c r="M118" s="618"/>
      <c r="N118" s="619"/>
      <c r="O118" s="619"/>
    </row>
    <row r="119" spans="1:1790" ht="48.75" hidden="1" customHeight="1">
      <c r="A119" s="591" t="s">
        <v>265</v>
      </c>
      <c r="B119" s="369" t="s">
        <v>889</v>
      </c>
      <c r="C119" s="556" t="s">
        <v>1242</v>
      </c>
      <c r="D119" s="506">
        <v>46106</v>
      </c>
      <c r="E119" s="506" t="s">
        <v>268</v>
      </c>
      <c r="F119" s="594"/>
      <c r="G119" s="634" t="s">
        <v>1243</v>
      </c>
      <c r="H119" s="635" t="s">
        <v>1241</v>
      </c>
      <c r="I119" s="636" t="s">
        <v>672</v>
      </c>
      <c r="J119" s="615"/>
      <c r="K119" s="616"/>
      <c r="L119" s="617"/>
      <c r="M119" s="618"/>
      <c r="N119" s="619"/>
      <c r="O119" s="619"/>
    </row>
    <row r="120" spans="1:1790" hidden="1">
      <c r="A120" s="591" t="s">
        <v>121</v>
      </c>
      <c r="B120" s="369" t="s">
        <v>889</v>
      </c>
      <c r="C120" s="556" t="s">
        <v>1244</v>
      </c>
      <c r="D120" s="506" t="s">
        <v>1245</v>
      </c>
      <c r="E120" s="506">
        <v>46108</v>
      </c>
      <c r="F120" s="633"/>
      <c r="G120" s="592" t="s">
        <v>1246</v>
      </c>
      <c r="H120" s="591" t="s">
        <v>121</v>
      </c>
      <c r="I120" s="636" t="s">
        <v>1174</v>
      </c>
      <c r="J120" s="616"/>
      <c r="K120" s="617"/>
      <c r="L120" s="618"/>
      <c r="M120" s="619"/>
      <c r="N120" s="619"/>
    </row>
    <row r="121" spans="1:1790" ht="34.5" hidden="1" customHeight="1">
      <c r="A121" s="591" t="s">
        <v>320</v>
      </c>
      <c r="B121" s="369" t="s">
        <v>889</v>
      </c>
      <c r="C121" s="631" t="s">
        <v>1247</v>
      </c>
      <c r="D121" s="593" t="s">
        <v>672</v>
      </c>
      <c r="E121" s="593" t="s">
        <v>672</v>
      </c>
      <c r="F121" s="594"/>
      <c r="G121" s="620"/>
      <c r="H121" s="620" t="s">
        <v>320</v>
      </c>
      <c r="I121" s="656" t="s">
        <v>1174</v>
      </c>
      <c r="J121" s="595"/>
      <c r="K121" s="595"/>
      <c r="L121" s="595"/>
      <c r="M121" s="595"/>
      <c r="N121" s="595"/>
    </row>
    <row r="122" spans="1:1790" ht="30" hidden="1">
      <c r="A122" s="636" t="s">
        <v>121</v>
      </c>
      <c r="B122" s="369" t="s">
        <v>889</v>
      </c>
      <c r="C122" s="652" t="s">
        <v>1248</v>
      </c>
      <c r="D122" s="653">
        <v>46118</v>
      </c>
      <c r="E122" s="653">
        <v>46113</v>
      </c>
      <c r="F122" s="620"/>
      <c r="G122" s="654" t="s">
        <v>1249</v>
      </c>
      <c r="H122" s="657" t="s">
        <v>990</v>
      </c>
      <c r="I122" s="656" t="s">
        <v>1174</v>
      </c>
      <c r="J122" s="595"/>
      <c r="K122" s="595"/>
      <c r="L122" s="595"/>
      <c r="M122" s="595"/>
    </row>
    <row r="123" spans="1:1790" s="669" customFormat="1" ht="62.45" hidden="1">
      <c r="A123" s="666" t="s">
        <v>435</v>
      </c>
      <c r="B123" s="369" t="s">
        <v>889</v>
      </c>
      <c r="C123" s="667" t="s">
        <v>1250</v>
      </c>
      <c r="D123" s="668" t="s">
        <v>1251</v>
      </c>
      <c r="E123" s="668" t="s">
        <v>897</v>
      </c>
      <c r="F123" s="258"/>
      <c r="G123" s="667" t="s">
        <v>1252</v>
      </c>
      <c r="H123" s="895" t="s">
        <v>1253</v>
      </c>
      <c r="I123" s="895" t="s">
        <v>1254</v>
      </c>
      <c r="J123" s="896"/>
      <c r="K123" s="896"/>
      <c r="L123" s="896"/>
      <c r="M123" s="896"/>
      <c r="N123" s="896"/>
      <c r="O123" s="896"/>
      <c r="P123" s="896"/>
      <c r="Q123" s="896"/>
      <c r="R123" s="896"/>
      <c r="S123" s="896"/>
      <c r="T123" s="896"/>
      <c r="U123" s="896"/>
      <c r="V123" s="896"/>
      <c r="W123" s="896"/>
      <c r="X123" s="896"/>
      <c r="Y123" s="896"/>
      <c r="Z123" s="896"/>
      <c r="AA123" s="896"/>
      <c r="AB123" s="896"/>
      <c r="AC123" s="896"/>
      <c r="AD123" s="896"/>
      <c r="AE123" s="896"/>
      <c r="AF123" s="896"/>
      <c r="AG123" s="896"/>
      <c r="AH123" s="896"/>
      <c r="AI123" s="896"/>
      <c r="AJ123" s="896"/>
      <c r="AK123" s="896"/>
      <c r="AL123" s="896"/>
      <c r="AM123" s="896"/>
      <c r="AN123" s="896"/>
      <c r="AO123" s="896"/>
      <c r="AP123" s="896"/>
      <c r="AQ123" s="896"/>
      <c r="AR123" s="896"/>
      <c r="AS123" s="896"/>
      <c r="AT123" s="896"/>
      <c r="AU123" s="896"/>
      <c r="AV123" s="896"/>
      <c r="AW123" s="896"/>
      <c r="AX123" s="896"/>
      <c r="AY123" s="896"/>
      <c r="AZ123" s="896"/>
      <c r="BA123" s="896"/>
      <c r="BB123" s="896"/>
      <c r="BC123" s="896"/>
      <c r="BD123" s="896"/>
      <c r="BE123" s="896"/>
      <c r="BF123" s="896"/>
      <c r="BG123" s="896"/>
      <c r="BH123" s="896"/>
      <c r="BI123" s="896"/>
      <c r="BJ123" s="896"/>
      <c r="BK123" s="896"/>
      <c r="BL123" s="896"/>
      <c r="BM123" s="896"/>
      <c r="BN123" s="896"/>
      <c r="BO123" s="896"/>
      <c r="BP123" s="896"/>
      <c r="BQ123" s="896"/>
      <c r="BR123" s="896"/>
      <c r="BS123" s="896"/>
      <c r="BT123" s="896"/>
      <c r="BU123" s="896"/>
      <c r="BV123" s="896"/>
      <c r="BW123" s="896"/>
      <c r="BX123" s="896"/>
      <c r="BY123" s="896"/>
      <c r="BZ123" s="896"/>
      <c r="CA123" s="896"/>
      <c r="CB123" s="896"/>
      <c r="CC123" s="896"/>
      <c r="CD123" s="896"/>
      <c r="CE123" s="896"/>
      <c r="CF123" s="896"/>
      <c r="CG123" s="896"/>
      <c r="CH123" s="896"/>
      <c r="CI123" s="896"/>
      <c r="CJ123" s="896"/>
      <c r="CK123" s="896"/>
      <c r="CL123" s="896"/>
      <c r="CM123" s="896"/>
      <c r="CN123" s="896"/>
      <c r="CO123" s="896"/>
      <c r="CP123" s="896"/>
      <c r="CQ123" s="896"/>
      <c r="CR123" s="896"/>
      <c r="CS123" s="896"/>
      <c r="CT123" s="896"/>
      <c r="CU123" s="896"/>
      <c r="CV123" s="896"/>
      <c r="CW123" s="896"/>
      <c r="CX123" s="896"/>
      <c r="CY123" s="896"/>
      <c r="CZ123" s="896"/>
      <c r="DA123" s="896"/>
      <c r="DB123" s="896"/>
      <c r="DC123" s="896"/>
      <c r="DD123" s="896"/>
      <c r="DE123" s="896"/>
      <c r="DF123" s="896"/>
      <c r="DG123" s="896"/>
      <c r="DH123" s="896"/>
      <c r="DI123" s="896"/>
      <c r="DJ123" s="896"/>
      <c r="DK123" s="896"/>
      <c r="DL123" s="896"/>
      <c r="DM123" s="896"/>
      <c r="DN123" s="896"/>
      <c r="DO123" s="896"/>
      <c r="DP123" s="896"/>
      <c r="DQ123" s="896"/>
      <c r="DR123" s="896"/>
      <c r="DS123" s="896"/>
      <c r="DT123" s="896"/>
      <c r="DU123" s="896"/>
      <c r="DV123" s="896"/>
      <c r="DW123" s="896"/>
      <c r="DX123" s="896"/>
      <c r="DY123" s="896"/>
      <c r="DZ123" s="896"/>
      <c r="EA123" s="896"/>
      <c r="EB123" s="896"/>
      <c r="EC123" s="896"/>
      <c r="ED123" s="896"/>
      <c r="EE123" s="896"/>
      <c r="EF123" s="896"/>
      <c r="EG123" s="896"/>
      <c r="EH123" s="896"/>
      <c r="EI123" s="896"/>
      <c r="EJ123" s="896"/>
      <c r="EK123" s="896"/>
      <c r="EL123" s="896"/>
      <c r="EM123" s="896"/>
      <c r="EN123" s="896"/>
      <c r="EO123" s="896"/>
      <c r="EP123" s="896"/>
      <c r="EQ123" s="896"/>
      <c r="ER123" s="896"/>
      <c r="ES123" s="896"/>
      <c r="ET123" s="896"/>
      <c r="EU123" s="896"/>
      <c r="EV123" s="896"/>
      <c r="EW123" s="896"/>
      <c r="EX123" s="896"/>
      <c r="EY123" s="896"/>
      <c r="EZ123" s="896"/>
      <c r="FA123" s="896"/>
      <c r="FB123" s="896"/>
      <c r="FC123" s="896"/>
      <c r="FD123" s="896"/>
      <c r="FE123" s="896"/>
      <c r="FF123" s="896"/>
      <c r="FG123" s="896"/>
      <c r="FH123" s="896"/>
      <c r="FI123" s="896"/>
      <c r="FJ123" s="896"/>
      <c r="FK123" s="896"/>
      <c r="FL123" s="896"/>
      <c r="FM123" s="896"/>
      <c r="FN123" s="896"/>
      <c r="FO123" s="896"/>
      <c r="FP123" s="896"/>
      <c r="FQ123" s="896"/>
      <c r="FR123" s="896"/>
      <c r="FS123" s="896"/>
      <c r="FT123" s="896"/>
      <c r="FU123" s="896"/>
      <c r="FV123" s="896"/>
      <c r="FW123" s="896"/>
      <c r="FX123" s="896"/>
      <c r="FY123" s="896"/>
      <c r="FZ123" s="896"/>
      <c r="GA123" s="896"/>
      <c r="GB123" s="896"/>
      <c r="GC123" s="896"/>
      <c r="GD123" s="896"/>
      <c r="GE123" s="896"/>
      <c r="GF123" s="896"/>
      <c r="GG123" s="896"/>
      <c r="GH123" s="896"/>
      <c r="GI123" s="896"/>
      <c r="GJ123" s="896"/>
      <c r="GK123" s="896"/>
      <c r="GL123" s="896"/>
      <c r="GM123" s="896"/>
      <c r="GN123" s="896"/>
      <c r="GO123" s="896"/>
      <c r="GP123" s="896"/>
      <c r="GQ123" s="896"/>
      <c r="GR123" s="896"/>
      <c r="GS123" s="896"/>
      <c r="GT123" s="896"/>
      <c r="GU123" s="896"/>
      <c r="GV123" s="896"/>
      <c r="GW123" s="896"/>
      <c r="GX123" s="896"/>
      <c r="GY123" s="896"/>
      <c r="GZ123" s="896"/>
      <c r="HA123" s="896"/>
      <c r="HB123" s="896"/>
      <c r="HC123" s="896"/>
      <c r="HD123" s="896"/>
      <c r="HE123" s="896"/>
      <c r="HF123" s="896"/>
      <c r="HG123" s="896"/>
      <c r="HH123" s="896"/>
      <c r="HI123" s="896"/>
      <c r="HJ123" s="896"/>
      <c r="HK123" s="896"/>
      <c r="HL123" s="896"/>
      <c r="HM123" s="896"/>
      <c r="HN123" s="896"/>
      <c r="HO123" s="896"/>
      <c r="HP123" s="896"/>
      <c r="HQ123" s="896"/>
      <c r="HR123" s="896"/>
      <c r="HS123" s="896"/>
      <c r="HT123" s="896"/>
      <c r="HU123" s="896"/>
      <c r="HV123" s="896"/>
      <c r="HW123" s="896"/>
      <c r="HX123" s="896"/>
      <c r="HY123" s="896"/>
      <c r="HZ123" s="896"/>
      <c r="IA123" s="896"/>
      <c r="IB123" s="896"/>
      <c r="IC123" s="896"/>
      <c r="ID123" s="896"/>
      <c r="IE123" s="896"/>
      <c r="IF123" s="896"/>
      <c r="IG123" s="896"/>
      <c r="IH123" s="896"/>
      <c r="II123" s="896"/>
      <c r="IJ123" s="896"/>
      <c r="IK123" s="896"/>
      <c r="IL123" s="896"/>
      <c r="IM123" s="896"/>
      <c r="IN123" s="896"/>
      <c r="IO123" s="896"/>
      <c r="IP123" s="896"/>
      <c r="IQ123" s="896"/>
      <c r="IR123" s="896"/>
      <c r="IS123" s="896"/>
      <c r="IT123" s="896"/>
      <c r="IU123" s="896"/>
      <c r="IV123" s="896"/>
      <c r="IW123" s="896"/>
      <c r="IX123" s="896"/>
      <c r="IY123" s="896"/>
      <c r="IZ123" s="896"/>
      <c r="JA123" s="896"/>
      <c r="JB123" s="896"/>
      <c r="JC123" s="896"/>
      <c r="JD123" s="896"/>
      <c r="JE123" s="896"/>
      <c r="JF123" s="896"/>
      <c r="JG123" s="896"/>
      <c r="JH123" s="896"/>
      <c r="JI123" s="896"/>
      <c r="JJ123" s="896"/>
      <c r="JK123" s="896"/>
      <c r="JL123" s="896"/>
      <c r="JM123" s="896"/>
      <c r="JN123" s="896"/>
      <c r="JO123" s="896"/>
      <c r="JP123" s="896"/>
      <c r="JQ123" s="896"/>
      <c r="JR123" s="896"/>
      <c r="JS123" s="896"/>
      <c r="JT123" s="896"/>
      <c r="JU123" s="896"/>
      <c r="JV123" s="896"/>
      <c r="JW123" s="896"/>
      <c r="JX123" s="896"/>
      <c r="JY123" s="896"/>
      <c r="JZ123" s="896"/>
      <c r="KA123" s="896"/>
      <c r="KB123" s="896"/>
      <c r="KC123" s="896"/>
      <c r="KD123" s="896"/>
      <c r="KE123" s="896"/>
      <c r="KF123" s="896"/>
      <c r="KG123" s="896"/>
      <c r="KH123" s="896"/>
      <c r="KI123" s="896"/>
      <c r="KJ123" s="896"/>
      <c r="KK123" s="896"/>
      <c r="KL123" s="896"/>
      <c r="KM123" s="896"/>
      <c r="KN123" s="896"/>
      <c r="KO123" s="896"/>
      <c r="KP123" s="896"/>
      <c r="KQ123" s="896"/>
      <c r="KR123" s="896"/>
      <c r="KS123" s="896"/>
      <c r="KT123" s="896"/>
      <c r="KU123" s="896"/>
      <c r="KV123" s="896"/>
      <c r="KW123" s="896"/>
      <c r="KX123" s="896"/>
      <c r="KY123" s="896"/>
      <c r="KZ123" s="896"/>
      <c r="LA123" s="896"/>
      <c r="LB123" s="896"/>
      <c r="LC123" s="896"/>
      <c r="LD123" s="896"/>
      <c r="LE123" s="896"/>
      <c r="LF123" s="896"/>
      <c r="LG123" s="896"/>
      <c r="LH123" s="896"/>
      <c r="LI123" s="896"/>
      <c r="LJ123" s="896"/>
      <c r="LK123" s="896"/>
      <c r="LL123" s="896"/>
      <c r="LM123" s="896"/>
      <c r="LN123" s="896"/>
      <c r="LO123" s="896"/>
      <c r="LP123" s="896"/>
      <c r="LQ123" s="896"/>
      <c r="LR123" s="896"/>
      <c r="LS123" s="896"/>
      <c r="LT123" s="896"/>
      <c r="LU123" s="896"/>
      <c r="LV123" s="896"/>
      <c r="LW123" s="896"/>
      <c r="LX123" s="896"/>
      <c r="LY123" s="896"/>
      <c r="LZ123" s="896"/>
      <c r="MA123" s="896"/>
      <c r="MB123" s="896"/>
      <c r="MC123" s="896"/>
      <c r="MD123" s="896"/>
      <c r="ME123" s="896"/>
      <c r="MF123" s="896"/>
      <c r="MG123" s="896"/>
      <c r="MH123" s="896"/>
      <c r="MI123" s="896"/>
      <c r="MJ123" s="896"/>
      <c r="MK123" s="896"/>
      <c r="ML123" s="896"/>
      <c r="MM123" s="896"/>
      <c r="MN123" s="896"/>
      <c r="MO123" s="896"/>
      <c r="MP123" s="896"/>
      <c r="MQ123" s="896"/>
      <c r="MR123" s="896"/>
      <c r="MS123" s="896"/>
      <c r="MT123" s="896"/>
      <c r="MU123" s="896"/>
      <c r="MV123" s="896"/>
      <c r="MW123" s="896"/>
      <c r="MX123" s="896"/>
      <c r="MY123" s="896"/>
      <c r="MZ123" s="896"/>
      <c r="NA123" s="896"/>
      <c r="NB123" s="896"/>
      <c r="NC123" s="896"/>
      <c r="ND123" s="896"/>
      <c r="NE123" s="896"/>
      <c r="NF123" s="896"/>
      <c r="NG123" s="896"/>
      <c r="NH123" s="896"/>
      <c r="NI123" s="896"/>
      <c r="NJ123" s="896"/>
      <c r="NK123" s="896"/>
      <c r="NL123" s="896"/>
      <c r="NM123" s="896"/>
      <c r="NN123" s="896"/>
      <c r="NO123" s="896"/>
      <c r="NP123" s="896"/>
      <c r="NQ123" s="896"/>
      <c r="NR123" s="896"/>
      <c r="NS123" s="896"/>
      <c r="NT123" s="896"/>
      <c r="NU123" s="896"/>
      <c r="NV123" s="896"/>
      <c r="NW123" s="896"/>
      <c r="NX123" s="896"/>
      <c r="NY123" s="896"/>
      <c r="NZ123" s="896"/>
      <c r="OA123" s="896"/>
      <c r="OB123" s="896"/>
      <c r="OC123" s="896"/>
      <c r="OD123" s="896"/>
      <c r="OE123" s="896"/>
      <c r="OF123" s="896"/>
      <c r="OG123" s="896"/>
      <c r="OH123" s="896"/>
      <c r="OI123" s="896"/>
      <c r="OJ123" s="896"/>
      <c r="OK123" s="896"/>
      <c r="OL123" s="896"/>
      <c r="OM123" s="896"/>
      <c r="ON123" s="896"/>
      <c r="OO123" s="896"/>
      <c r="OP123" s="896"/>
      <c r="OQ123" s="896"/>
      <c r="OR123" s="896"/>
      <c r="OS123" s="896"/>
      <c r="OT123" s="896"/>
      <c r="OU123" s="896"/>
      <c r="OV123" s="896"/>
      <c r="OW123" s="896"/>
      <c r="OX123" s="896"/>
      <c r="OY123" s="896"/>
      <c r="OZ123" s="896"/>
      <c r="PA123" s="896"/>
      <c r="PB123" s="896"/>
      <c r="PC123" s="896"/>
      <c r="PD123" s="896"/>
      <c r="PE123" s="896"/>
      <c r="PF123" s="896"/>
      <c r="PG123" s="896"/>
      <c r="PH123" s="896"/>
      <c r="PI123" s="896"/>
      <c r="PJ123" s="896"/>
      <c r="PK123" s="896"/>
      <c r="PL123" s="896"/>
      <c r="PM123" s="896"/>
      <c r="PN123" s="896"/>
      <c r="PO123" s="896"/>
      <c r="PP123" s="896"/>
      <c r="PQ123" s="896"/>
      <c r="PR123" s="896"/>
      <c r="PS123" s="896"/>
      <c r="PT123" s="896"/>
      <c r="PU123" s="896"/>
      <c r="PV123" s="896"/>
      <c r="PW123" s="896"/>
      <c r="PX123" s="896"/>
      <c r="PY123" s="896"/>
      <c r="PZ123" s="896"/>
      <c r="QA123" s="896"/>
      <c r="QB123" s="896"/>
      <c r="QC123" s="896"/>
      <c r="QD123" s="896"/>
      <c r="QE123" s="896"/>
      <c r="QF123" s="896"/>
      <c r="QG123" s="896"/>
      <c r="QH123" s="896"/>
      <c r="QI123" s="896"/>
      <c r="QJ123" s="896"/>
      <c r="QK123" s="896"/>
      <c r="QL123" s="896"/>
      <c r="QM123" s="896"/>
      <c r="QN123" s="896"/>
      <c r="QO123" s="896"/>
      <c r="QP123" s="896"/>
      <c r="QQ123" s="896"/>
      <c r="QR123" s="896"/>
      <c r="QS123" s="896"/>
      <c r="QT123" s="896"/>
      <c r="QU123" s="896"/>
      <c r="QV123" s="896"/>
      <c r="QW123" s="896"/>
      <c r="QX123" s="896"/>
      <c r="QY123" s="896"/>
      <c r="QZ123" s="896"/>
      <c r="RA123" s="896"/>
      <c r="RB123" s="896"/>
      <c r="RC123" s="896"/>
      <c r="RD123" s="896"/>
      <c r="RE123" s="896"/>
      <c r="RF123" s="896"/>
      <c r="RG123" s="896"/>
      <c r="RH123" s="896"/>
      <c r="RI123" s="896"/>
      <c r="RJ123" s="896"/>
      <c r="RK123" s="896"/>
      <c r="RL123" s="896"/>
      <c r="RM123" s="896"/>
      <c r="RN123" s="896"/>
      <c r="RO123" s="896"/>
      <c r="RP123" s="896"/>
      <c r="RQ123" s="896"/>
      <c r="RR123" s="896"/>
      <c r="RS123" s="896"/>
      <c r="RT123" s="896"/>
      <c r="RU123" s="896"/>
      <c r="RV123" s="896"/>
      <c r="RW123" s="896"/>
      <c r="RX123" s="896"/>
      <c r="RY123" s="896"/>
      <c r="RZ123" s="896"/>
      <c r="SA123" s="896"/>
      <c r="SB123" s="896"/>
      <c r="SC123" s="896"/>
      <c r="SD123" s="896"/>
      <c r="SE123" s="896"/>
      <c r="SF123" s="896"/>
      <c r="SG123" s="896"/>
      <c r="SH123" s="896"/>
      <c r="SI123" s="896"/>
      <c r="SJ123" s="896"/>
      <c r="SK123" s="896"/>
      <c r="SL123" s="896"/>
      <c r="SM123" s="896"/>
      <c r="SN123" s="896"/>
      <c r="SO123" s="896"/>
      <c r="SP123" s="896"/>
      <c r="SQ123" s="896"/>
      <c r="SR123" s="896"/>
      <c r="SS123" s="896"/>
      <c r="ST123" s="896"/>
      <c r="SU123" s="896"/>
      <c r="SV123" s="896"/>
      <c r="SW123" s="896"/>
      <c r="SX123" s="896"/>
      <c r="SY123" s="896"/>
      <c r="SZ123" s="896"/>
      <c r="TA123" s="896"/>
      <c r="TB123" s="896"/>
      <c r="TC123" s="896"/>
      <c r="TD123" s="896"/>
      <c r="TE123" s="896"/>
      <c r="TF123" s="896"/>
      <c r="TG123" s="896"/>
      <c r="TH123" s="896"/>
      <c r="TI123" s="896"/>
      <c r="TJ123" s="896"/>
      <c r="TK123" s="896"/>
      <c r="TL123" s="896"/>
      <c r="TM123" s="896"/>
      <c r="TN123" s="896"/>
      <c r="TO123" s="896"/>
      <c r="TP123" s="896"/>
      <c r="TQ123" s="896"/>
      <c r="TR123" s="896"/>
      <c r="TS123" s="896"/>
      <c r="TT123" s="896"/>
      <c r="TU123" s="896"/>
      <c r="TV123" s="896"/>
      <c r="TW123" s="896"/>
      <c r="TX123" s="896"/>
      <c r="TY123" s="896"/>
      <c r="TZ123" s="896"/>
      <c r="UA123" s="896"/>
      <c r="UB123" s="896"/>
      <c r="UC123" s="896"/>
      <c r="UD123" s="896"/>
      <c r="UE123" s="896"/>
      <c r="UF123" s="896"/>
      <c r="UG123" s="896"/>
      <c r="UH123" s="896"/>
      <c r="UI123" s="896"/>
      <c r="UJ123" s="896"/>
      <c r="UK123" s="896"/>
      <c r="UL123" s="896"/>
      <c r="UM123" s="896"/>
      <c r="UN123" s="896"/>
      <c r="UO123" s="896"/>
      <c r="UP123" s="896"/>
      <c r="UQ123" s="896"/>
      <c r="UR123" s="896"/>
      <c r="US123" s="896"/>
      <c r="UT123" s="896"/>
      <c r="UU123" s="896"/>
      <c r="UV123" s="896"/>
      <c r="UW123" s="896"/>
      <c r="UX123" s="896"/>
      <c r="UY123" s="896"/>
      <c r="UZ123" s="896"/>
      <c r="VA123" s="896"/>
      <c r="VB123" s="896"/>
      <c r="VC123" s="896"/>
      <c r="VD123" s="896"/>
      <c r="VE123" s="896"/>
      <c r="VF123" s="896"/>
      <c r="VG123" s="896"/>
      <c r="VH123" s="896"/>
      <c r="VI123" s="896"/>
      <c r="VJ123" s="896"/>
      <c r="VK123" s="896"/>
      <c r="VL123" s="896"/>
      <c r="VM123" s="896"/>
      <c r="VN123" s="896"/>
      <c r="VO123" s="896"/>
      <c r="VP123" s="896"/>
      <c r="VQ123" s="896"/>
      <c r="VR123" s="896"/>
      <c r="VS123" s="896"/>
      <c r="VT123" s="896"/>
      <c r="VU123" s="896"/>
      <c r="VV123" s="896"/>
      <c r="VW123" s="896"/>
      <c r="VX123" s="896"/>
      <c r="VY123" s="896"/>
      <c r="VZ123" s="896"/>
      <c r="WA123" s="896"/>
      <c r="WB123" s="896"/>
      <c r="WC123" s="896"/>
      <c r="WD123" s="896"/>
      <c r="WE123" s="896"/>
      <c r="WF123" s="896"/>
      <c r="WG123" s="896"/>
      <c r="WH123" s="896"/>
      <c r="WI123" s="896"/>
      <c r="WJ123" s="896"/>
      <c r="WK123" s="896"/>
      <c r="WL123" s="896"/>
      <c r="WM123" s="896"/>
      <c r="WN123" s="896"/>
      <c r="WO123" s="896"/>
      <c r="WP123" s="896"/>
      <c r="WQ123" s="896"/>
      <c r="WR123" s="896"/>
      <c r="WS123" s="896"/>
      <c r="WT123" s="896"/>
      <c r="WU123" s="896"/>
      <c r="WV123" s="896"/>
      <c r="WW123" s="896"/>
      <c r="WX123" s="896"/>
      <c r="WY123" s="896"/>
      <c r="WZ123" s="896"/>
      <c r="XA123" s="896"/>
      <c r="XB123" s="896"/>
      <c r="XC123" s="896"/>
      <c r="XD123" s="896"/>
      <c r="XE123" s="896"/>
      <c r="XF123" s="896"/>
      <c r="XG123" s="896"/>
      <c r="XH123" s="896"/>
      <c r="XI123" s="896"/>
      <c r="XJ123" s="896"/>
      <c r="XK123" s="896"/>
      <c r="XL123" s="896"/>
      <c r="XM123" s="896"/>
      <c r="XN123" s="896"/>
      <c r="XO123" s="896"/>
      <c r="XP123" s="896"/>
      <c r="XQ123" s="896"/>
      <c r="XR123" s="896"/>
      <c r="XS123" s="896"/>
      <c r="XT123" s="896"/>
      <c r="XU123" s="896"/>
      <c r="XV123" s="896"/>
      <c r="XW123" s="896"/>
      <c r="XX123" s="896"/>
      <c r="XY123" s="896"/>
      <c r="XZ123" s="896"/>
      <c r="YA123" s="896"/>
      <c r="YB123" s="896"/>
      <c r="YC123" s="896"/>
      <c r="YD123" s="896"/>
      <c r="YE123" s="896"/>
      <c r="YF123" s="896"/>
      <c r="YG123" s="896"/>
      <c r="YH123" s="896"/>
      <c r="YI123" s="896"/>
      <c r="YJ123" s="896"/>
      <c r="YK123" s="896"/>
      <c r="YL123" s="896"/>
      <c r="YM123" s="896"/>
      <c r="YN123" s="896"/>
      <c r="YO123" s="896"/>
      <c r="YP123" s="896"/>
      <c r="YQ123" s="896"/>
      <c r="YR123" s="896"/>
      <c r="YS123" s="896"/>
      <c r="YT123" s="896"/>
      <c r="YU123" s="896"/>
      <c r="YV123" s="896"/>
      <c r="YW123" s="896"/>
      <c r="YX123" s="896"/>
      <c r="YY123" s="896"/>
      <c r="YZ123" s="896"/>
      <c r="ZA123" s="896"/>
      <c r="ZB123" s="896"/>
      <c r="ZC123" s="896"/>
      <c r="ZD123" s="896"/>
      <c r="ZE123" s="896"/>
      <c r="ZF123" s="896"/>
      <c r="ZG123" s="896"/>
      <c r="ZH123" s="896"/>
      <c r="ZI123" s="896"/>
      <c r="ZJ123" s="896"/>
      <c r="ZK123" s="896"/>
      <c r="ZL123" s="896"/>
      <c r="ZM123" s="896"/>
      <c r="ZN123" s="896"/>
      <c r="ZO123" s="896"/>
      <c r="ZP123" s="896"/>
      <c r="ZQ123" s="896"/>
      <c r="ZR123" s="896"/>
      <c r="ZS123" s="896"/>
      <c r="ZT123" s="896"/>
      <c r="ZU123" s="896"/>
      <c r="ZV123" s="896"/>
      <c r="ZW123" s="896"/>
      <c r="ZX123" s="896"/>
      <c r="ZY123" s="896"/>
      <c r="ZZ123" s="896"/>
      <c r="AAA123" s="896"/>
      <c r="AAB123" s="896"/>
      <c r="AAC123" s="896"/>
      <c r="AAD123" s="896"/>
      <c r="AAE123" s="896"/>
      <c r="AAF123" s="896"/>
      <c r="AAG123" s="896"/>
      <c r="AAH123" s="896"/>
      <c r="AAI123" s="896"/>
      <c r="AAJ123" s="896"/>
      <c r="AAK123" s="896"/>
      <c r="AAL123" s="896"/>
      <c r="AAM123" s="896"/>
      <c r="AAN123" s="896"/>
      <c r="AAO123" s="896"/>
      <c r="AAP123" s="896"/>
      <c r="AAQ123" s="896"/>
      <c r="AAR123" s="896"/>
      <c r="AAS123" s="896"/>
      <c r="AAT123" s="896"/>
      <c r="AAU123" s="896"/>
      <c r="AAV123" s="896"/>
      <c r="AAW123" s="896"/>
      <c r="AAX123" s="896"/>
      <c r="AAY123" s="896"/>
      <c r="AAZ123" s="896"/>
      <c r="ABA123" s="896"/>
      <c r="ABB123" s="896"/>
      <c r="ABC123" s="896"/>
      <c r="ABD123" s="896"/>
      <c r="ABE123" s="896"/>
      <c r="ABF123" s="896"/>
      <c r="ABG123" s="896"/>
      <c r="ABH123" s="896"/>
      <c r="ABI123" s="896"/>
      <c r="ABJ123" s="896"/>
      <c r="ABK123" s="896"/>
      <c r="ABL123" s="896"/>
      <c r="ABM123" s="896"/>
      <c r="ABN123" s="896"/>
      <c r="ABO123" s="896"/>
      <c r="ABP123" s="896"/>
      <c r="ABQ123" s="896"/>
      <c r="ABR123" s="896"/>
      <c r="ABS123" s="896"/>
      <c r="ABT123" s="896"/>
      <c r="ABU123" s="896"/>
      <c r="ABV123" s="896"/>
      <c r="ABW123" s="896"/>
      <c r="ABX123" s="896"/>
      <c r="ABY123" s="896"/>
      <c r="ABZ123" s="896"/>
      <c r="ACA123" s="896"/>
      <c r="ACB123" s="896"/>
      <c r="ACC123" s="896"/>
      <c r="ACD123" s="896"/>
      <c r="ACE123" s="896"/>
      <c r="ACF123" s="896"/>
      <c r="ACG123" s="896"/>
      <c r="ACH123" s="896"/>
      <c r="ACI123" s="896"/>
      <c r="ACJ123" s="896"/>
      <c r="ACK123" s="896"/>
      <c r="ACL123" s="896"/>
      <c r="ACM123" s="896"/>
      <c r="ACN123" s="896"/>
      <c r="ACO123" s="896"/>
      <c r="ACP123" s="896"/>
      <c r="ACQ123" s="896"/>
      <c r="ACR123" s="896"/>
      <c r="ACS123" s="896"/>
      <c r="ACT123" s="896"/>
      <c r="ACU123" s="896"/>
      <c r="ACV123" s="896"/>
      <c r="ACW123" s="896"/>
      <c r="ACX123" s="896"/>
      <c r="ACY123" s="896"/>
      <c r="ACZ123" s="896"/>
      <c r="ADA123" s="896"/>
      <c r="ADB123" s="896"/>
      <c r="ADC123" s="896"/>
      <c r="ADD123" s="896"/>
      <c r="ADE123" s="896"/>
      <c r="ADF123" s="896"/>
      <c r="ADG123" s="896"/>
      <c r="ADH123" s="896"/>
      <c r="ADI123" s="896"/>
      <c r="ADJ123" s="896"/>
      <c r="ADK123" s="896"/>
      <c r="ADL123" s="896"/>
      <c r="ADM123" s="896"/>
      <c r="ADN123" s="896"/>
      <c r="ADO123" s="896"/>
      <c r="ADP123" s="896"/>
      <c r="ADQ123" s="896"/>
      <c r="ADR123" s="896"/>
      <c r="ADS123" s="896"/>
      <c r="ADT123" s="896"/>
      <c r="ADU123" s="896"/>
      <c r="ADV123" s="896"/>
      <c r="ADW123" s="896"/>
      <c r="ADX123" s="896"/>
      <c r="ADY123" s="896"/>
      <c r="ADZ123" s="896"/>
      <c r="AEA123" s="896"/>
      <c r="AEB123" s="896"/>
      <c r="AEC123" s="896"/>
      <c r="AED123" s="896"/>
      <c r="AEE123" s="896"/>
      <c r="AEF123" s="896"/>
      <c r="AEG123" s="896"/>
      <c r="AEH123" s="896"/>
      <c r="AEI123" s="896"/>
      <c r="AEJ123" s="896"/>
      <c r="AEK123" s="896"/>
      <c r="AEL123" s="896"/>
      <c r="AEM123" s="896"/>
      <c r="AEN123" s="896"/>
      <c r="AEO123" s="896"/>
      <c r="AEP123" s="896"/>
      <c r="AEQ123" s="896"/>
      <c r="AER123" s="896"/>
      <c r="AES123" s="896"/>
      <c r="AET123" s="896"/>
      <c r="AEU123" s="896"/>
      <c r="AEV123" s="896"/>
      <c r="AEW123" s="896"/>
      <c r="AEX123" s="896"/>
      <c r="AEY123" s="896"/>
      <c r="AEZ123" s="896"/>
      <c r="AFA123" s="896"/>
      <c r="AFB123" s="896"/>
      <c r="AFC123" s="896"/>
      <c r="AFD123" s="896"/>
      <c r="AFE123" s="896"/>
      <c r="AFF123" s="896"/>
      <c r="AFG123" s="896"/>
      <c r="AFH123" s="896"/>
      <c r="AFI123" s="896"/>
      <c r="AFJ123" s="896"/>
      <c r="AFK123" s="896"/>
      <c r="AFL123" s="896"/>
      <c r="AFM123" s="896"/>
      <c r="AFN123" s="896"/>
      <c r="AFO123" s="896"/>
      <c r="AFP123" s="896"/>
      <c r="AFQ123" s="896"/>
      <c r="AFR123" s="896"/>
      <c r="AFS123" s="896"/>
      <c r="AFT123" s="896"/>
      <c r="AFU123" s="896"/>
      <c r="AFV123" s="896"/>
      <c r="AFW123" s="896"/>
      <c r="AFX123" s="896"/>
      <c r="AFY123" s="896"/>
      <c r="AFZ123" s="896"/>
      <c r="AGA123" s="896"/>
      <c r="AGB123" s="896"/>
      <c r="AGC123" s="896"/>
      <c r="AGD123" s="896"/>
      <c r="AGE123" s="896"/>
      <c r="AGF123" s="896"/>
      <c r="AGG123" s="896"/>
      <c r="AGH123" s="896"/>
      <c r="AGI123" s="896"/>
      <c r="AGJ123" s="896"/>
      <c r="AGK123" s="896"/>
      <c r="AGL123" s="896"/>
      <c r="AGM123" s="896"/>
      <c r="AGN123" s="896"/>
      <c r="AGO123" s="896"/>
      <c r="AGP123" s="896"/>
      <c r="AGQ123" s="896"/>
      <c r="AGR123" s="896"/>
      <c r="AGS123" s="896"/>
      <c r="AGT123" s="896"/>
      <c r="AGU123" s="896"/>
      <c r="AGV123" s="896"/>
      <c r="AGW123" s="896"/>
      <c r="AGX123" s="896"/>
      <c r="AGY123" s="896"/>
      <c r="AGZ123" s="896"/>
      <c r="AHA123" s="896"/>
      <c r="AHB123" s="896"/>
      <c r="AHC123" s="896"/>
      <c r="AHD123" s="896"/>
      <c r="AHE123" s="896"/>
      <c r="AHF123" s="896"/>
      <c r="AHG123" s="896"/>
      <c r="AHH123" s="896"/>
      <c r="AHI123" s="896"/>
      <c r="AHJ123" s="896"/>
      <c r="AHK123" s="896"/>
      <c r="AHL123" s="896"/>
      <c r="AHM123" s="896"/>
      <c r="AHN123" s="896"/>
      <c r="AHO123" s="896"/>
      <c r="AHP123" s="896"/>
      <c r="AHQ123" s="896"/>
      <c r="AHR123" s="896"/>
      <c r="AHS123" s="896"/>
      <c r="AHT123" s="896"/>
      <c r="AHU123" s="896"/>
      <c r="AHV123" s="896"/>
      <c r="AHW123" s="896"/>
      <c r="AHX123" s="896"/>
      <c r="AHY123" s="896"/>
      <c r="AHZ123" s="896"/>
      <c r="AIA123" s="896"/>
      <c r="AIB123" s="896"/>
      <c r="AIC123" s="896"/>
      <c r="AID123" s="896"/>
      <c r="AIE123" s="896"/>
      <c r="AIF123" s="896"/>
      <c r="AIG123" s="896"/>
      <c r="AIH123" s="896"/>
      <c r="AII123" s="896"/>
      <c r="AIJ123" s="896"/>
      <c r="AIK123" s="896"/>
      <c r="AIL123" s="896"/>
      <c r="AIM123" s="896"/>
      <c r="AIN123" s="896"/>
      <c r="AIO123" s="896"/>
      <c r="AIP123" s="896"/>
      <c r="AIQ123" s="896"/>
      <c r="AIR123" s="896"/>
      <c r="AIS123" s="896"/>
      <c r="AIT123" s="896"/>
      <c r="AIU123" s="896"/>
      <c r="AIV123" s="896"/>
      <c r="AIW123" s="896"/>
      <c r="AIX123" s="896"/>
      <c r="AIY123" s="896"/>
      <c r="AIZ123" s="896"/>
      <c r="AJA123" s="896"/>
      <c r="AJB123" s="896"/>
      <c r="AJC123" s="896"/>
      <c r="AJD123" s="896"/>
      <c r="AJE123" s="896"/>
      <c r="AJF123" s="896"/>
      <c r="AJG123" s="896"/>
      <c r="AJH123" s="896"/>
      <c r="AJI123" s="896"/>
      <c r="AJJ123" s="896"/>
      <c r="AJK123" s="896"/>
      <c r="AJL123" s="896"/>
      <c r="AJM123" s="896"/>
      <c r="AJN123" s="896"/>
      <c r="AJO123" s="896"/>
      <c r="AJP123" s="896"/>
      <c r="AJQ123" s="896"/>
      <c r="AJR123" s="896"/>
      <c r="AJS123" s="896"/>
      <c r="AJT123" s="896"/>
      <c r="AJU123" s="896"/>
      <c r="AJV123" s="896"/>
      <c r="AJW123" s="896"/>
      <c r="AJX123" s="896"/>
      <c r="AJY123" s="896"/>
      <c r="AJZ123" s="896"/>
      <c r="AKA123" s="896"/>
      <c r="AKB123" s="896"/>
      <c r="AKC123" s="896"/>
      <c r="AKD123" s="896"/>
      <c r="AKE123" s="896"/>
      <c r="AKF123" s="896"/>
      <c r="AKG123" s="896"/>
      <c r="AKH123" s="896"/>
      <c r="AKI123" s="896"/>
      <c r="AKJ123" s="896"/>
      <c r="AKK123" s="896"/>
      <c r="AKL123" s="896"/>
      <c r="AKM123" s="896"/>
      <c r="AKN123" s="896"/>
      <c r="AKO123" s="896"/>
      <c r="AKP123" s="896"/>
      <c r="AKQ123" s="896"/>
      <c r="AKR123" s="896"/>
      <c r="AKS123" s="896"/>
      <c r="AKT123" s="896"/>
      <c r="AKU123" s="896"/>
      <c r="AKV123" s="896"/>
      <c r="AKW123" s="896"/>
      <c r="AKX123" s="896"/>
      <c r="AKY123" s="896"/>
      <c r="AKZ123" s="896"/>
      <c r="ALA123" s="896"/>
      <c r="ALB123" s="896"/>
      <c r="ALC123" s="896"/>
      <c r="ALD123" s="896"/>
      <c r="ALE123" s="896"/>
      <c r="ALF123" s="896"/>
      <c r="ALG123" s="896"/>
      <c r="ALH123" s="896"/>
      <c r="ALI123" s="896"/>
      <c r="ALJ123" s="896"/>
      <c r="ALK123" s="896"/>
      <c r="ALL123" s="896"/>
      <c r="ALM123" s="896"/>
      <c r="ALN123" s="896"/>
      <c r="ALO123" s="896"/>
      <c r="ALP123" s="896"/>
      <c r="ALQ123" s="896"/>
      <c r="ALR123" s="896"/>
      <c r="ALS123" s="896"/>
      <c r="ALT123" s="896"/>
      <c r="ALU123" s="896"/>
      <c r="ALV123" s="896"/>
      <c r="ALW123" s="896"/>
      <c r="ALX123" s="896"/>
      <c r="ALY123" s="896"/>
      <c r="ALZ123" s="896"/>
      <c r="AMA123" s="896"/>
      <c r="AMB123" s="896"/>
      <c r="AMC123" s="896"/>
      <c r="AMD123" s="896"/>
      <c r="AME123" s="896"/>
      <c r="AMF123" s="896"/>
      <c r="AMG123" s="896"/>
      <c r="AMH123" s="896"/>
      <c r="AMI123" s="896"/>
      <c r="AMJ123" s="896"/>
      <c r="AMK123" s="896"/>
      <c r="AML123" s="896"/>
      <c r="AMM123" s="896"/>
      <c r="AMN123" s="896"/>
      <c r="AMO123" s="896"/>
      <c r="AMP123" s="896"/>
      <c r="AMQ123" s="896"/>
      <c r="AMR123" s="896"/>
      <c r="AMS123" s="896"/>
      <c r="AMT123" s="896"/>
      <c r="AMU123" s="896"/>
      <c r="AMV123" s="896"/>
      <c r="AMW123" s="896"/>
      <c r="AMX123" s="896"/>
      <c r="AMY123" s="896"/>
      <c r="AMZ123" s="896"/>
      <c r="ANA123" s="896"/>
      <c r="ANB123" s="896"/>
      <c r="ANC123" s="896"/>
      <c r="AND123" s="896"/>
      <c r="ANE123" s="896"/>
      <c r="ANF123" s="896"/>
      <c r="ANG123" s="896"/>
      <c r="ANH123" s="896"/>
      <c r="ANI123" s="896"/>
      <c r="ANJ123" s="896"/>
      <c r="ANK123" s="896"/>
      <c r="ANL123" s="896"/>
      <c r="ANM123" s="896"/>
      <c r="ANN123" s="896"/>
      <c r="ANO123" s="896"/>
      <c r="ANP123" s="896"/>
      <c r="ANQ123" s="896"/>
      <c r="ANR123" s="896"/>
      <c r="ANS123" s="896"/>
      <c r="ANT123" s="896"/>
      <c r="ANU123" s="896"/>
      <c r="ANV123" s="896"/>
      <c r="ANW123" s="896"/>
      <c r="ANX123" s="896"/>
      <c r="ANY123" s="896"/>
      <c r="ANZ123" s="896"/>
      <c r="AOA123" s="896"/>
      <c r="AOB123" s="896"/>
      <c r="AOC123" s="896"/>
      <c r="AOD123" s="896"/>
      <c r="AOE123" s="896"/>
      <c r="AOF123" s="896"/>
      <c r="AOG123" s="896"/>
      <c r="AOH123" s="896"/>
      <c r="AOI123" s="896"/>
      <c r="AOJ123" s="896"/>
      <c r="AOK123" s="896"/>
      <c r="AOL123" s="896"/>
      <c r="AOM123" s="896"/>
      <c r="AON123" s="896"/>
      <c r="AOO123" s="896"/>
      <c r="AOP123" s="896"/>
      <c r="AOQ123" s="896"/>
      <c r="AOR123" s="896"/>
      <c r="AOS123" s="896"/>
      <c r="AOT123" s="896"/>
      <c r="AOU123" s="896"/>
      <c r="AOV123" s="896"/>
      <c r="AOW123" s="896"/>
      <c r="AOX123" s="896"/>
      <c r="AOY123" s="896"/>
      <c r="AOZ123" s="896"/>
      <c r="APA123" s="896"/>
      <c r="APB123" s="896"/>
      <c r="APC123" s="896"/>
      <c r="APD123" s="896"/>
      <c r="APE123" s="896"/>
      <c r="APF123" s="896"/>
      <c r="APG123" s="896"/>
      <c r="APH123" s="896"/>
      <c r="API123" s="896"/>
      <c r="APJ123" s="896"/>
      <c r="APK123" s="896"/>
      <c r="APL123" s="896"/>
      <c r="APM123" s="896"/>
      <c r="APN123" s="896"/>
      <c r="APO123" s="896"/>
      <c r="APP123" s="896"/>
      <c r="APQ123" s="896"/>
      <c r="APR123" s="896"/>
      <c r="APS123" s="896"/>
      <c r="APT123" s="896"/>
      <c r="APU123" s="896"/>
      <c r="APV123" s="896"/>
      <c r="APW123" s="896"/>
      <c r="APX123" s="896"/>
      <c r="APY123" s="896"/>
      <c r="APZ123" s="896"/>
      <c r="AQA123" s="896"/>
      <c r="AQB123" s="896"/>
      <c r="AQC123" s="896"/>
      <c r="AQD123" s="896"/>
      <c r="AQE123" s="896"/>
      <c r="AQF123" s="896"/>
      <c r="AQG123" s="896"/>
      <c r="AQH123" s="896"/>
      <c r="AQI123" s="896"/>
      <c r="AQJ123" s="896"/>
      <c r="AQK123" s="896"/>
      <c r="AQL123" s="896"/>
      <c r="AQM123" s="896"/>
      <c r="AQN123" s="896"/>
      <c r="AQO123" s="896"/>
      <c r="AQP123" s="896"/>
      <c r="AQQ123" s="896"/>
      <c r="AQR123" s="896"/>
      <c r="AQS123" s="896"/>
      <c r="AQT123" s="896"/>
      <c r="AQU123" s="896"/>
      <c r="AQV123" s="896"/>
      <c r="AQW123" s="896"/>
      <c r="AQX123" s="896"/>
      <c r="AQY123" s="896"/>
      <c r="AQZ123" s="896"/>
      <c r="ARA123" s="896"/>
      <c r="ARB123" s="896"/>
      <c r="ARC123" s="896"/>
      <c r="ARD123" s="896"/>
      <c r="ARE123" s="896"/>
      <c r="ARF123" s="896"/>
      <c r="ARG123" s="896"/>
      <c r="ARH123" s="896"/>
      <c r="ARI123" s="896"/>
      <c r="ARJ123" s="896"/>
      <c r="ARK123" s="896"/>
      <c r="ARL123" s="896"/>
      <c r="ARM123" s="896"/>
      <c r="ARN123" s="896"/>
      <c r="ARO123" s="896"/>
      <c r="ARP123" s="896"/>
      <c r="ARQ123" s="896"/>
      <c r="ARR123" s="896"/>
      <c r="ARS123" s="896"/>
      <c r="ART123" s="896"/>
      <c r="ARU123" s="896"/>
      <c r="ARV123" s="896"/>
      <c r="ARW123" s="896"/>
      <c r="ARX123" s="896"/>
      <c r="ARY123" s="896"/>
      <c r="ARZ123" s="896"/>
      <c r="ASA123" s="896"/>
      <c r="ASB123" s="896"/>
      <c r="ASC123" s="896"/>
      <c r="ASD123" s="896"/>
      <c r="ASE123" s="896"/>
      <c r="ASF123" s="896"/>
      <c r="ASG123" s="896"/>
      <c r="ASH123" s="896"/>
      <c r="ASI123" s="896"/>
      <c r="ASJ123" s="896"/>
      <c r="ASK123" s="896"/>
      <c r="ASL123" s="896"/>
      <c r="ASM123" s="896"/>
      <c r="ASN123" s="896"/>
      <c r="ASO123" s="896"/>
      <c r="ASP123" s="896"/>
      <c r="ASQ123" s="896"/>
      <c r="ASR123" s="896"/>
      <c r="ASS123" s="896"/>
      <c r="AST123" s="896"/>
      <c r="ASU123" s="896"/>
      <c r="ASV123" s="896"/>
      <c r="ASW123" s="896"/>
      <c r="ASX123" s="896"/>
      <c r="ASY123" s="896"/>
      <c r="ASZ123" s="896"/>
      <c r="ATA123" s="896"/>
      <c r="ATB123" s="896"/>
      <c r="ATC123" s="896"/>
      <c r="ATD123" s="896"/>
      <c r="ATE123" s="896"/>
      <c r="ATF123" s="896"/>
      <c r="ATG123" s="896"/>
      <c r="ATH123" s="896"/>
      <c r="ATI123" s="896"/>
      <c r="ATJ123" s="896"/>
      <c r="ATK123" s="896"/>
      <c r="ATL123" s="896"/>
      <c r="ATM123" s="896"/>
      <c r="ATN123" s="896"/>
      <c r="ATO123" s="896"/>
      <c r="ATP123" s="896"/>
      <c r="ATQ123" s="896"/>
      <c r="ATR123" s="896"/>
      <c r="ATS123" s="896"/>
      <c r="ATT123" s="896"/>
      <c r="ATU123" s="896"/>
      <c r="ATV123" s="896"/>
      <c r="ATW123" s="896"/>
      <c r="ATX123" s="896"/>
      <c r="ATY123" s="896"/>
      <c r="ATZ123" s="896"/>
      <c r="AUA123" s="896"/>
      <c r="AUB123" s="896"/>
      <c r="AUC123" s="896"/>
      <c r="AUD123" s="896"/>
      <c r="AUE123" s="896"/>
      <c r="AUF123" s="896"/>
      <c r="AUG123" s="896"/>
      <c r="AUH123" s="896"/>
      <c r="AUI123" s="896"/>
      <c r="AUJ123" s="896"/>
      <c r="AUK123" s="896"/>
      <c r="AUL123" s="896"/>
      <c r="AUM123" s="896"/>
      <c r="AUN123" s="896"/>
      <c r="AUO123" s="896"/>
      <c r="AUP123" s="896"/>
      <c r="AUQ123" s="896"/>
      <c r="AUR123" s="896"/>
      <c r="AUS123" s="896"/>
      <c r="AUT123" s="896"/>
      <c r="AUU123" s="896"/>
      <c r="AUV123" s="896"/>
      <c r="AUW123" s="896"/>
      <c r="AUX123" s="896"/>
      <c r="AUY123" s="896"/>
      <c r="AUZ123" s="896"/>
      <c r="AVA123" s="896"/>
      <c r="AVB123" s="896"/>
      <c r="AVC123" s="896"/>
      <c r="AVD123" s="896"/>
      <c r="AVE123" s="896"/>
      <c r="AVF123" s="896"/>
      <c r="AVG123" s="896"/>
      <c r="AVH123" s="896"/>
      <c r="AVI123" s="896"/>
      <c r="AVJ123" s="896"/>
      <c r="AVK123" s="896"/>
      <c r="AVL123" s="896"/>
      <c r="AVM123" s="896"/>
      <c r="AVN123" s="896"/>
      <c r="AVO123" s="896"/>
      <c r="AVP123" s="896"/>
      <c r="AVQ123" s="896"/>
      <c r="AVR123" s="896"/>
      <c r="AVS123" s="896"/>
      <c r="AVT123" s="896"/>
      <c r="AVU123" s="896"/>
      <c r="AVV123" s="896"/>
      <c r="AVW123" s="896"/>
      <c r="AVX123" s="896"/>
      <c r="AVY123" s="896"/>
      <c r="AVZ123" s="896"/>
      <c r="AWA123" s="896"/>
      <c r="AWB123" s="896"/>
      <c r="AWC123" s="896"/>
      <c r="AWD123" s="896"/>
      <c r="AWE123" s="896"/>
      <c r="AWF123" s="896"/>
      <c r="AWG123" s="896"/>
      <c r="AWH123" s="896"/>
      <c r="AWI123" s="896"/>
      <c r="AWJ123" s="896"/>
      <c r="AWK123" s="896"/>
      <c r="AWL123" s="896"/>
      <c r="AWM123" s="896"/>
      <c r="AWN123" s="896"/>
      <c r="AWO123" s="896"/>
      <c r="AWP123" s="896"/>
      <c r="AWQ123" s="896"/>
      <c r="AWR123" s="896"/>
      <c r="AWS123" s="896"/>
      <c r="AWT123" s="896"/>
      <c r="AWU123" s="896"/>
      <c r="AWV123" s="896"/>
      <c r="AWW123" s="896"/>
      <c r="AWX123" s="896"/>
      <c r="AWY123" s="896"/>
      <c r="AWZ123" s="896"/>
      <c r="AXA123" s="896"/>
      <c r="AXB123" s="896"/>
      <c r="AXC123" s="896"/>
      <c r="AXD123" s="896"/>
      <c r="AXE123" s="896"/>
      <c r="AXF123" s="896"/>
      <c r="AXG123" s="896"/>
      <c r="AXH123" s="896"/>
      <c r="AXI123" s="896"/>
      <c r="AXJ123" s="896"/>
      <c r="AXK123" s="896"/>
      <c r="AXL123" s="896"/>
      <c r="AXM123" s="896"/>
      <c r="AXN123" s="896"/>
      <c r="AXO123" s="896"/>
      <c r="AXP123" s="896"/>
      <c r="AXQ123" s="896"/>
      <c r="AXR123" s="896"/>
      <c r="AXS123" s="896"/>
      <c r="AXT123" s="896"/>
      <c r="AXU123" s="896"/>
      <c r="AXV123" s="896"/>
      <c r="AXW123" s="896"/>
      <c r="AXX123" s="896"/>
      <c r="AXY123" s="896"/>
      <c r="AXZ123" s="896"/>
      <c r="AYA123" s="896"/>
      <c r="AYB123" s="896"/>
      <c r="AYC123" s="896"/>
      <c r="AYD123" s="896"/>
      <c r="AYE123" s="896"/>
      <c r="AYF123" s="896"/>
      <c r="AYG123" s="896"/>
      <c r="AYH123" s="896"/>
      <c r="AYI123" s="896"/>
      <c r="AYJ123" s="896"/>
      <c r="AYK123" s="896"/>
      <c r="AYL123" s="896"/>
      <c r="AYM123" s="896"/>
      <c r="AYN123" s="896"/>
      <c r="AYO123" s="896"/>
      <c r="AYP123" s="896"/>
      <c r="AYQ123" s="896"/>
      <c r="AYR123" s="896"/>
      <c r="AYS123" s="896"/>
      <c r="AYT123" s="896"/>
      <c r="AYU123" s="896"/>
      <c r="AYV123" s="896"/>
      <c r="AYW123" s="896"/>
      <c r="AYX123" s="896"/>
      <c r="AYY123" s="896"/>
      <c r="AYZ123" s="896"/>
      <c r="AZA123" s="896"/>
      <c r="AZB123" s="896"/>
      <c r="AZC123" s="896"/>
      <c r="AZD123" s="896"/>
      <c r="AZE123" s="896"/>
      <c r="AZF123" s="896"/>
      <c r="AZG123" s="896"/>
      <c r="AZH123" s="896"/>
      <c r="AZI123" s="896"/>
      <c r="AZJ123" s="896"/>
      <c r="AZK123" s="896"/>
      <c r="AZL123" s="896"/>
      <c r="AZM123" s="896"/>
      <c r="AZN123" s="896"/>
      <c r="AZO123" s="896"/>
      <c r="AZP123" s="896"/>
      <c r="AZQ123" s="896"/>
      <c r="AZR123" s="896"/>
      <c r="AZS123" s="896"/>
      <c r="AZT123" s="896"/>
      <c r="AZU123" s="896"/>
      <c r="AZV123" s="896"/>
      <c r="AZW123" s="896"/>
      <c r="AZX123" s="896"/>
      <c r="AZY123" s="896"/>
      <c r="AZZ123" s="896"/>
      <c r="BAA123" s="896"/>
      <c r="BAB123" s="896"/>
      <c r="BAC123" s="896"/>
      <c r="BAD123" s="896"/>
      <c r="BAE123" s="896"/>
      <c r="BAF123" s="896"/>
      <c r="BAG123" s="896"/>
      <c r="BAH123" s="896"/>
      <c r="BAI123" s="896"/>
      <c r="BAJ123" s="896"/>
      <c r="BAK123" s="896"/>
      <c r="BAL123" s="896"/>
      <c r="BAM123" s="896"/>
      <c r="BAN123" s="896"/>
      <c r="BAO123" s="896"/>
      <c r="BAP123" s="896"/>
      <c r="BAQ123" s="896"/>
      <c r="BAR123" s="896"/>
      <c r="BAS123" s="896"/>
      <c r="BAT123" s="896"/>
      <c r="BAU123" s="896"/>
      <c r="BAV123" s="896"/>
      <c r="BAW123" s="896"/>
      <c r="BAX123" s="896"/>
      <c r="BAY123" s="896"/>
      <c r="BAZ123" s="896"/>
      <c r="BBA123" s="896"/>
      <c r="BBB123" s="896"/>
      <c r="BBC123" s="896"/>
      <c r="BBD123" s="896"/>
      <c r="BBE123" s="896"/>
      <c r="BBF123" s="896"/>
      <c r="BBG123" s="896"/>
      <c r="BBH123" s="896"/>
      <c r="BBI123" s="896"/>
      <c r="BBJ123" s="896"/>
      <c r="BBK123" s="896"/>
      <c r="BBL123" s="896"/>
      <c r="BBM123" s="896"/>
      <c r="BBN123" s="896"/>
      <c r="BBO123" s="896"/>
      <c r="BBP123" s="896"/>
      <c r="BBQ123" s="896"/>
      <c r="BBR123" s="896"/>
      <c r="BBS123" s="896"/>
      <c r="BBT123" s="896"/>
      <c r="BBU123" s="896"/>
      <c r="BBV123" s="896"/>
      <c r="BBW123" s="896"/>
      <c r="BBX123" s="896"/>
      <c r="BBY123" s="896"/>
      <c r="BBZ123" s="896"/>
      <c r="BCA123" s="896"/>
      <c r="BCB123" s="896"/>
      <c r="BCC123" s="896"/>
      <c r="BCD123" s="896"/>
      <c r="BCE123" s="896"/>
      <c r="BCF123" s="896"/>
      <c r="BCG123" s="896"/>
      <c r="BCH123" s="896"/>
      <c r="BCI123" s="896"/>
      <c r="BCJ123" s="896"/>
      <c r="BCK123" s="896"/>
      <c r="BCL123" s="896"/>
      <c r="BCM123" s="896"/>
      <c r="BCN123" s="896"/>
      <c r="BCO123" s="896"/>
      <c r="BCP123" s="896"/>
      <c r="BCQ123" s="896"/>
      <c r="BCR123" s="896"/>
      <c r="BCS123" s="896"/>
      <c r="BCT123" s="896"/>
      <c r="BCU123" s="896"/>
      <c r="BCV123" s="896"/>
      <c r="BCW123" s="896"/>
      <c r="BCX123" s="896"/>
      <c r="BCY123" s="896"/>
      <c r="BCZ123" s="896"/>
      <c r="BDA123" s="896"/>
      <c r="BDB123" s="896"/>
      <c r="BDC123" s="896"/>
      <c r="BDD123" s="896"/>
      <c r="BDE123" s="896"/>
      <c r="BDF123" s="896"/>
      <c r="BDG123" s="896"/>
      <c r="BDH123" s="896"/>
      <c r="BDI123" s="896"/>
      <c r="BDJ123" s="896"/>
      <c r="BDK123" s="896"/>
      <c r="BDL123" s="896"/>
      <c r="BDM123" s="896"/>
      <c r="BDN123" s="896"/>
      <c r="BDO123" s="896"/>
      <c r="BDP123" s="896"/>
      <c r="BDQ123" s="896"/>
      <c r="BDR123" s="896"/>
      <c r="BDS123" s="896"/>
      <c r="BDT123" s="896"/>
      <c r="BDU123" s="896"/>
      <c r="BDV123" s="896"/>
      <c r="BDW123" s="896"/>
      <c r="BDX123" s="896"/>
      <c r="BDY123" s="896"/>
      <c r="BDZ123" s="896"/>
      <c r="BEA123" s="896"/>
      <c r="BEB123" s="896"/>
      <c r="BEC123" s="896"/>
      <c r="BED123" s="896"/>
      <c r="BEE123" s="896"/>
      <c r="BEF123" s="896"/>
      <c r="BEG123" s="896"/>
      <c r="BEH123" s="896"/>
      <c r="BEI123" s="896"/>
      <c r="BEJ123" s="896"/>
      <c r="BEK123" s="896"/>
      <c r="BEL123" s="896"/>
      <c r="BEM123" s="896"/>
      <c r="BEN123" s="896"/>
      <c r="BEO123" s="896"/>
      <c r="BEP123" s="896"/>
      <c r="BEQ123" s="896"/>
      <c r="BER123" s="896"/>
      <c r="BES123" s="896"/>
      <c r="BET123" s="896"/>
      <c r="BEU123" s="896"/>
      <c r="BEV123" s="896"/>
      <c r="BEW123" s="896"/>
      <c r="BEX123" s="896"/>
      <c r="BEY123" s="896"/>
      <c r="BEZ123" s="896"/>
      <c r="BFA123" s="896"/>
      <c r="BFB123" s="896"/>
      <c r="BFC123" s="896"/>
      <c r="BFD123" s="896"/>
      <c r="BFE123" s="896"/>
      <c r="BFF123" s="896"/>
      <c r="BFG123" s="896"/>
      <c r="BFH123" s="896"/>
      <c r="BFI123" s="896"/>
      <c r="BFJ123" s="896"/>
      <c r="BFK123" s="896"/>
      <c r="BFL123" s="896"/>
      <c r="BFM123" s="896"/>
      <c r="BFN123" s="896"/>
      <c r="BFO123" s="896"/>
      <c r="BFP123" s="896"/>
      <c r="BFQ123" s="896"/>
      <c r="BFR123" s="896"/>
      <c r="BFS123" s="896"/>
      <c r="BFT123" s="896"/>
      <c r="BFU123" s="896"/>
      <c r="BFV123" s="896"/>
      <c r="BFW123" s="896"/>
      <c r="BFX123" s="896"/>
      <c r="BFY123" s="896"/>
      <c r="BFZ123" s="896"/>
      <c r="BGA123" s="896"/>
      <c r="BGB123" s="896"/>
      <c r="BGC123" s="896"/>
      <c r="BGD123" s="896"/>
      <c r="BGE123" s="896"/>
      <c r="BGF123" s="896"/>
      <c r="BGG123" s="896"/>
      <c r="BGH123" s="896"/>
      <c r="BGI123" s="896"/>
      <c r="BGJ123" s="896"/>
      <c r="BGK123" s="896"/>
      <c r="BGL123" s="896"/>
      <c r="BGM123" s="896"/>
      <c r="BGN123" s="896"/>
      <c r="BGO123" s="896"/>
      <c r="BGP123" s="896"/>
      <c r="BGQ123" s="896"/>
      <c r="BGR123" s="896"/>
      <c r="BGS123" s="896"/>
      <c r="BGT123" s="896"/>
      <c r="BGU123" s="896"/>
      <c r="BGV123" s="896"/>
      <c r="BGW123" s="896"/>
      <c r="BGX123" s="896"/>
      <c r="BGY123" s="896"/>
      <c r="BGZ123" s="896"/>
      <c r="BHA123" s="896"/>
      <c r="BHB123" s="896"/>
      <c r="BHC123" s="896"/>
      <c r="BHD123" s="896"/>
      <c r="BHE123" s="896"/>
      <c r="BHF123" s="896"/>
      <c r="BHG123" s="896"/>
      <c r="BHH123" s="896"/>
      <c r="BHI123" s="896"/>
      <c r="BHJ123" s="896"/>
      <c r="BHK123" s="896"/>
      <c r="BHL123" s="896"/>
      <c r="BHM123" s="896"/>
      <c r="BHN123" s="896"/>
      <c r="BHO123" s="896"/>
      <c r="BHP123" s="896"/>
      <c r="BHQ123" s="896"/>
      <c r="BHR123" s="896"/>
      <c r="BHS123" s="896"/>
      <c r="BHT123" s="896"/>
      <c r="BHU123" s="896"/>
      <c r="BHV123" s="896"/>
      <c r="BHW123" s="896"/>
      <c r="BHX123" s="896"/>
      <c r="BHY123" s="896"/>
      <c r="BHZ123" s="896"/>
      <c r="BIA123" s="896"/>
      <c r="BIB123" s="896"/>
      <c r="BIC123" s="896"/>
      <c r="BID123" s="896"/>
      <c r="BIE123" s="896"/>
      <c r="BIF123" s="896"/>
      <c r="BIG123" s="896"/>
      <c r="BIH123" s="896"/>
      <c r="BII123" s="896"/>
      <c r="BIJ123" s="896"/>
      <c r="BIK123" s="896"/>
      <c r="BIL123" s="896"/>
      <c r="BIM123" s="896"/>
      <c r="BIN123" s="896"/>
      <c r="BIO123" s="896"/>
      <c r="BIP123" s="896"/>
      <c r="BIQ123" s="896"/>
      <c r="BIR123" s="896"/>
      <c r="BIS123" s="896"/>
      <c r="BIT123" s="896"/>
      <c r="BIU123" s="896"/>
      <c r="BIV123" s="896"/>
      <c r="BIW123" s="896"/>
      <c r="BIX123" s="896"/>
      <c r="BIY123" s="896"/>
      <c r="BIZ123" s="896"/>
      <c r="BJA123" s="896"/>
      <c r="BJB123" s="896"/>
      <c r="BJC123" s="896"/>
      <c r="BJD123" s="896"/>
      <c r="BJE123" s="896"/>
      <c r="BJF123" s="896"/>
      <c r="BJG123" s="896"/>
      <c r="BJH123" s="896"/>
      <c r="BJI123" s="896"/>
      <c r="BJJ123" s="896"/>
      <c r="BJK123" s="896"/>
      <c r="BJL123" s="896"/>
      <c r="BJM123" s="896"/>
      <c r="BJN123" s="896"/>
      <c r="BJO123" s="896"/>
      <c r="BJP123" s="896"/>
      <c r="BJQ123" s="896"/>
      <c r="BJR123" s="896"/>
      <c r="BJS123" s="896"/>
      <c r="BJT123" s="896"/>
      <c r="BJU123" s="896"/>
      <c r="BJV123" s="896"/>
      <c r="BJW123" s="896"/>
      <c r="BJX123" s="896"/>
      <c r="BJY123" s="896"/>
      <c r="BJZ123" s="896"/>
      <c r="BKA123" s="896"/>
      <c r="BKB123" s="896"/>
      <c r="BKC123" s="896"/>
      <c r="BKD123" s="896"/>
      <c r="BKE123" s="896"/>
      <c r="BKF123" s="896"/>
      <c r="BKG123" s="896"/>
      <c r="BKH123" s="896"/>
      <c r="BKI123" s="896"/>
      <c r="BKJ123" s="896"/>
      <c r="BKK123" s="896"/>
      <c r="BKL123" s="896"/>
      <c r="BKM123" s="896"/>
      <c r="BKN123" s="896"/>
      <c r="BKO123" s="896"/>
      <c r="BKP123" s="896"/>
      <c r="BKQ123" s="896"/>
      <c r="BKR123" s="896"/>
      <c r="BKS123" s="896"/>
      <c r="BKT123" s="896"/>
      <c r="BKU123" s="896"/>
      <c r="BKV123" s="896"/>
      <c r="BKW123" s="896"/>
      <c r="BKX123" s="896"/>
      <c r="BKY123" s="896"/>
      <c r="BKZ123" s="896"/>
      <c r="BLA123" s="896"/>
      <c r="BLB123" s="896"/>
      <c r="BLC123" s="896"/>
      <c r="BLD123" s="896"/>
      <c r="BLE123" s="896"/>
      <c r="BLF123" s="896"/>
      <c r="BLG123" s="896"/>
      <c r="BLH123" s="896"/>
      <c r="BLI123" s="896"/>
      <c r="BLJ123" s="896"/>
      <c r="BLK123" s="896"/>
      <c r="BLL123" s="896"/>
      <c r="BLM123" s="896"/>
      <c r="BLN123" s="896"/>
      <c r="BLO123" s="896"/>
      <c r="BLP123" s="896"/>
      <c r="BLQ123" s="896"/>
      <c r="BLR123" s="896"/>
      <c r="BLS123" s="896"/>
      <c r="BLT123" s="896"/>
      <c r="BLU123" s="896"/>
      <c r="BLV123" s="896"/>
      <c r="BLW123" s="896"/>
      <c r="BLX123" s="896"/>
      <c r="BLY123" s="896"/>
      <c r="BLZ123" s="896"/>
      <c r="BMA123" s="896"/>
      <c r="BMB123" s="896"/>
      <c r="BMC123" s="896"/>
      <c r="BMD123" s="896"/>
      <c r="BME123" s="896"/>
      <c r="BMF123" s="896"/>
      <c r="BMG123" s="896"/>
      <c r="BMH123" s="896"/>
      <c r="BMI123" s="896"/>
      <c r="BMJ123" s="896"/>
      <c r="BMK123" s="896"/>
      <c r="BML123" s="896"/>
      <c r="BMM123" s="896"/>
      <c r="BMN123" s="896"/>
      <c r="BMO123" s="896"/>
      <c r="BMP123" s="896"/>
      <c r="BMQ123" s="896"/>
      <c r="BMR123" s="896"/>
      <c r="BMS123" s="896"/>
      <c r="BMT123" s="896"/>
      <c r="BMU123" s="896"/>
      <c r="BMV123" s="896"/>
      <c r="BMW123" s="896"/>
      <c r="BMX123" s="896"/>
      <c r="BMY123" s="896"/>
      <c r="BMZ123" s="896"/>
      <c r="BNA123" s="896"/>
      <c r="BNB123" s="896"/>
      <c r="BNC123" s="896"/>
      <c r="BND123" s="896"/>
      <c r="BNE123" s="896"/>
      <c r="BNF123" s="896"/>
      <c r="BNG123" s="896"/>
      <c r="BNH123" s="896"/>
      <c r="BNI123" s="896"/>
      <c r="BNJ123" s="896"/>
      <c r="BNK123" s="896"/>
      <c r="BNL123" s="896"/>
      <c r="BNM123" s="896"/>
      <c r="BNN123" s="896"/>
      <c r="BNO123" s="896"/>
      <c r="BNP123" s="896"/>
      <c r="BNQ123" s="896"/>
      <c r="BNR123" s="896"/>
      <c r="BNS123" s="896"/>
      <c r="BNT123" s="896"/>
      <c r="BNU123" s="896"/>
      <c r="BNV123" s="896"/>
      <c r="BNW123" s="896"/>
      <c r="BNX123" s="896"/>
      <c r="BNY123" s="896"/>
      <c r="BNZ123" s="896"/>
      <c r="BOA123" s="896"/>
      <c r="BOB123" s="896"/>
      <c r="BOC123" s="896"/>
      <c r="BOD123" s="896"/>
      <c r="BOE123" s="896"/>
      <c r="BOF123" s="896"/>
      <c r="BOG123" s="896"/>
      <c r="BOH123" s="896"/>
      <c r="BOI123" s="896"/>
      <c r="BOJ123" s="896"/>
      <c r="BOK123" s="896"/>
      <c r="BOL123" s="896"/>
      <c r="BOM123" s="896"/>
      <c r="BON123" s="896"/>
      <c r="BOO123" s="896"/>
      <c r="BOP123" s="896"/>
      <c r="BOQ123" s="896"/>
      <c r="BOR123" s="896"/>
      <c r="BOS123" s="896"/>
      <c r="BOT123" s="896"/>
      <c r="BOU123" s="896"/>
      <c r="BOV123" s="896"/>
      <c r="BOW123" s="896"/>
      <c r="BOX123" s="896"/>
      <c r="BOY123" s="896"/>
      <c r="BOZ123" s="896"/>
      <c r="BPA123" s="896"/>
      <c r="BPB123" s="896"/>
      <c r="BPC123" s="896"/>
      <c r="BPD123" s="896"/>
      <c r="BPE123" s="896"/>
      <c r="BPF123" s="896"/>
      <c r="BPG123" s="896"/>
      <c r="BPH123" s="896"/>
      <c r="BPI123" s="896"/>
      <c r="BPJ123" s="896"/>
      <c r="BPK123" s="896"/>
      <c r="BPL123" s="896"/>
      <c r="BPM123" s="896"/>
      <c r="BPN123" s="896"/>
      <c r="BPO123" s="896"/>
      <c r="BPP123" s="896"/>
      <c r="BPQ123" s="896"/>
      <c r="BPR123" s="896"/>
      <c r="BPS123" s="896"/>
      <c r="BPT123" s="896"/>
      <c r="BPU123" s="896"/>
      <c r="BPV123" s="896"/>
    </row>
    <row r="124" spans="1:1790" s="669" customFormat="1" ht="31.15" hidden="1">
      <c r="A124" s="666" t="s">
        <v>309</v>
      </c>
      <c r="B124" s="369" t="s">
        <v>889</v>
      </c>
      <c r="C124" s="667" t="s">
        <v>1255</v>
      </c>
      <c r="D124" s="668" t="s">
        <v>1256</v>
      </c>
      <c r="E124" s="668">
        <v>46121</v>
      </c>
      <c r="F124" s="670"/>
      <c r="G124" s="892" t="s">
        <v>1257</v>
      </c>
      <c r="H124" s="895" t="s">
        <v>1238</v>
      </c>
      <c r="I124" s="895" t="s">
        <v>1258</v>
      </c>
      <c r="J124" s="896"/>
      <c r="K124" s="896"/>
      <c r="L124" s="896"/>
      <c r="M124" s="896"/>
      <c r="N124" s="896"/>
      <c r="O124" s="896"/>
      <c r="P124" s="896"/>
      <c r="Q124" s="896"/>
      <c r="R124" s="896"/>
      <c r="S124" s="896"/>
      <c r="T124" s="896"/>
      <c r="U124" s="896"/>
      <c r="V124" s="896"/>
      <c r="W124" s="896"/>
      <c r="X124" s="896"/>
      <c r="Y124" s="896"/>
      <c r="Z124" s="896"/>
      <c r="AA124" s="896"/>
      <c r="AB124" s="896"/>
      <c r="AC124" s="896"/>
      <c r="AD124" s="896"/>
      <c r="AE124" s="896"/>
      <c r="AF124" s="896"/>
      <c r="AG124" s="896"/>
      <c r="AH124" s="896"/>
      <c r="AI124" s="896"/>
      <c r="AJ124" s="896"/>
      <c r="AK124" s="896"/>
      <c r="AL124" s="896"/>
      <c r="AM124" s="896"/>
      <c r="AN124" s="896"/>
      <c r="AO124" s="896"/>
      <c r="AP124" s="896"/>
      <c r="AQ124" s="896"/>
      <c r="AR124" s="896"/>
      <c r="AS124" s="896"/>
      <c r="AT124" s="896"/>
      <c r="AU124" s="896"/>
      <c r="AV124" s="896"/>
      <c r="AW124" s="896"/>
      <c r="AX124" s="896"/>
      <c r="AY124" s="896"/>
      <c r="AZ124" s="896"/>
      <c r="BA124" s="896"/>
      <c r="BB124" s="896"/>
      <c r="BC124" s="896"/>
      <c r="BD124" s="896"/>
      <c r="BE124" s="896"/>
      <c r="BF124" s="896"/>
      <c r="BG124" s="896"/>
      <c r="BH124" s="896"/>
      <c r="BI124" s="896"/>
      <c r="BJ124" s="896"/>
      <c r="BK124" s="896"/>
      <c r="BL124" s="896"/>
      <c r="BM124" s="896"/>
      <c r="BN124" s="896"/>
      <c r="BO124" s="896"/>
      <c r="BP124" s="896"/>
      <c r="BQ124" s="896"/>
      <c r="BR124" s="896"/>
      <c r="BS124" s="896"/>
      <c r="BT124" s="896"/>
      <c r="BU124" s="896"/>
      <c r="BV124" s="896"/>
      <c r="BW124" s="896"/>
      <c r="BX124" s="896"/>
      <c r="BY124" s="896"/>
      <c r="BZ124" s="896"/>
      <c r="CA124" s="896"/>
      <c r="CB124" s="896"/>
      <c r="CC124" s="896"/>
      <c r="CD124" s="896"/>
      <c r="CE124" s="896"/>
      <c r="CF124" s="896"/>
      <c r="CG124" s="896"/>
      <c r="CH124" s="896"/>
      <c r="CI124" s="896"/>
      <c r="CJ124" s="896"/>
      <c r="CK124" s="896"/>
      <c r="CL124" s="896"/>
      <c r="CM124" s="896"/>
      <c r="CN124" s="896"/>
      <c r="CO124" s="896"/>
      <c r="CP124" s="896"/>
      <c r="CQ124" s="896"/>
      <c r="CR124" s="896"/>
      <c r="CS124" s="896"/>
      <c r="CT124" s="896"/>
      <c r="CU124" s="896"/>
      <c r="CV124" s="896"/>
      <c r="CW124" s="896"/>
      <c r="CX124" s="896"/>
      <c r="CY124" s="896"/>
      <c r="CZ124" s="896"/>
      <c r="DA124" s="896"/>
      <c r="DB124" s="896"/>
      <c r="DC124" s="896"/>
      <c r="DD124" s="896"/>
      <c r="DE124" s="896"/>
      <c r="DF124" s="896"/>
      <c r="DG124" s="896"/>
      <c r="DH124" s="896"/>
      <c r="DI124" s="896"/>
      <c r="DJ124" s="896"/>
      <c r="DK124" s="896"/>
      <c r="DL124" s="896"/>
      <c r="DM124" s="896"/>
      <c r="DN124" s="896"/>
      <c r="DO124" s="896"/>
      <c r="DP124" s="896"/>
      <c r="DQ124" s="896"/>
      <c r="DR124" s="896"/>
      <c r="DS124" s="896"/>
      <c r="DT124" s="896"/>
      <c r="DU124" s="896"/>
      <c r="DV124" s="896"/>
      <c r="DW124" s="896"/>
      <c r="DX124" s="896"/>
      <c r="DY124" s="896"/>
      <c r="DZ124" s="896"/>
      <c r="EA124" s="896"/>
      <c r="EB124" s="896"/>
      <c r="EC124" s="896"/>
      <c r="ED124" s="896"/>
      <c r="EE124" s="896"/>
      <c r="EF124" s="896"/>
      <c r="EG124" s="896"/>
      <c r="EH124" s="896"/>
      <c r="EI124" s="896"/>
      <c r="EJ124" s="896"/>
      <c r="EK124" s="896"/>
      <c r="EL124" s="896"/>
      <c r="EM124" s="896"/>
      <c r="EN124" s="896"/>
      <c r="EO124" s="896"/>
      <c r="EP124" s="896"/>
      <c r="EQ124" s="896"/>
      <c r="ER124" s="896"/>
      <c r="ES124" s="896"/>
      <c r="ET124" s="896"/>
      <c r="EU124" s="896"/>
      <c r="EV124" s="896"/>
      <c r="EW124" s="896"/>
      <c r="EX124" s="896"/>
      <c r="EY124" s="896"/>
      <c r="EZ124" s="896"/>
      <c r="FA124" s="896"/>
      <c r="FB124" s="896"/>
      <c r="FC124" s="896"/>
      <c r="FD124" s="896"/>
      <c r="FE124" s="896"/>
      <c r="FF124" s="896"/>
      <c r="FG124" s="896"/>
      <c r="FH124" s="896"/>
      <c r="FI124" s="896"/>
      <c r="FJ124" s="896"/>
      <c r="FK124" s="896"/>
      <c r="FL124" s="896"/>
      <c r="FM124" s="896"/>
      <c r="FN124" s="896"/>
      <c r="FO124" s="896"/>
      <c r="FP124" s="896"/>
      <c r="FQ124" s="896"/>
      <c r="FR124" s="896"/>
      <c r="FS124" s="896"/>
      <c r="FT124" s="896"/>
      <c r="FU124" s="896"/>
      <c r="FV124" s="896"/>
      <c r="FW124" s="896"/>
      <c r="FX124" s="896"/>
      <c r="FY124" s="896"/>
      <c r="FZ124" s="896"/>
      <c r="GA124" s="896"/>
      <c r="GB124" s="896"/>
      <c r="GC124" s="896"/>
      <c r="GD124" s="896"/>
      <c r="GE124" s="896"/>
      <c r="GF124" s="896"/>
      <c r="GG124" s="896"/>
      <c r="GH124" s="896"/>
      <c r="GI124" s="896"/>
      <c r="GJ124" s="896"/>
      <c r="GK124" s="896"/>
      <c r="GL124" s="896"/>
      <c r="GM124" s="896"/>
      <c r="GN124" s="896"/>
      <c r="GO124" s="896"/>
      <c r="GP124" s="896"/>
      <c r="GQ124" s="896"/>
      <c r="GR124" s="896"/>
      <c r="GS124" s="896"/>
      <c r="GT124" s="896"/>
      <c r="GU124" s="896"/>
      <c r="GV124" s="896"/>
      <c r="GW124" s="896"/>
      <c r="GX124" s="896"/>
      <c r="GY124" s="896"/>
      <c r="GZ124" s="896"/>
      <c r="HA124" s="896"/>
      <c r="HB124" s="896"/>
      <c r="HC124" s="896"/>
      <c r="HD124" s="896"/>
      <c r="HE124" s="896"/>
      <c r="HF124" s="896"/>
      <c r="HG124" s="896"/>
      <c r="HH124" s="896"/>
      <c r="HI124" s="896"/>
      <c r="HJ124" s="896"/>
      <c r="HK124" s="896"/>
      <c r="HL124" s="896"/>
      <c r="HM124" s="896"/>
      <c r="HN124" s="896"/>
      <c r="HO124" s="896"/>
      <c r="HP124" s="896"/>
      <c r="HQ124" s="896"/>
      <c r="HR124" s="896"/>
      <c r="HS124" s="896"/>
      <c r="HT124" s="896"/>
      <c r="HU124" s="896"/>
      <c r="HV124" s="896"/>
      <c r="HW124" s="896"/>
      <c r="HX124" s="896"/>
      <c r="HY124" s="896"/>
      <c r="HZ124" s="896"/>
      <c r="IA124" s="896"/>
      <c r="IB124" s="896"/>
      <c r="IC124" s="896"/>
      <c r="ID124" s="896"/>
      <c r="IE124" s="896"/>
      <c r="IF124" s="896"/>
      <c r="IG124" s="896"/>
      <c r="IH124" s="896"/>
      <c r="II124" s="896"/>
      <c r="IJ124" s="896"/>
      <c r="IK124" s="896"/>
      <c r="IL124" s="896"/>
      <c r="IM124" s="896"/>
      <c r="IN124" s="896"/>
      <c r="IO124" s="896"/>
      <c r="IP124" s="896"/>
      <c r="IQ124" s="896"/>
      <c r="IR124" s="896"/>
      <c r="IS124" s="896"/>
      <c r="IT124" s="896"/>
      <c r="IU124" s="896"/>
      <c r="IV124" s="896"/>
      <c r="IW124" s="896"/>
      <c r="IX124" s="896"/>
      <c r="IY124" s="896"/>
      <c r="IZ124" s="896"/>
      <c r="JA124" s="896"/>
      <c r="JB124" s="896"/>
      <c r="JC124" s="896"/>
      <c r="JD124" s="896"/>
      <c r="JE124" s="896"/>
      <c r="JF124" s="896"/>
      <c r="JG124" s="896"/>
      <c r="JH124" s="896"/>
      <c r="JI124" s="896"/>
      <c r="JJ124" s="896"/>
      <c r="JK124" s="896"/>
      <c r="JL124" s="896"/>
      <c r="JM124" s="896"/>
      <c r="JN124" s="896"/>
      <c r="JO124" s="896"/>
      <c r="JP124" s="896"/>
      <c r="JQ124" s="896"/>
      <c r="JR124" s="896"/>
      <c r="JS124" s="896"/>
      <c r="JT124" s="896"/>
      <c r="JU124" s="896"/>
      <c r="JV124" s="896"/>
      <c r="JW124" s="896"/>
      <c r="JX124" s="896"/>
      <c r="JY124" s="896"/>
      <c r="JZ124" s="896"/>
      <c r="KA124" s="896"/>
      <c r="KB124" s="896"/>
      <c r="KC124" s="896"/>
      <c r="KD124" s="896"/>
      <c r="KE124" s="896"/>
      <c r="KF124" s="896"/>
      <c r="KG124" s="896"/>
      <c r="KH124" s="896"/>
      <c r="KI124" s="896"/>
      <c r="KJ124" s="896"/>
      <c r="KK124" s="896"/>
      <c r="KL124" s="896"/>
      <c r="KM124" s="896"/>
      <c r="KN124" s="896"/>
      <c r="KO124" s="896"/>
      <c r="KP124" s="896"/>
      <c r="KQ124" s="896"/>
      <c r="KR124" s="896"/>
      <c r="KS124" s="896"/>
      <c r="KT124" s="896"/>
      <c r="KU124" s="896"/>
      <c r="KV124" s="896"/>
      <c r="KW124" s="896"/>
      <c r="KX124" s="896"/>
      <c r="KY124" s="896"/>
      <c r="KZ124" s="896"/>
      <c r="LA124" s="896"/>
      <c r="LB124" s="896"/>
      <c r="LC124" s="896"/>
      <c r="LD124" s="896"/>
      <c r="LE124" s="896"/>
      <c r="LF124" s="896"/>
      <c r="LG124" s="896"/>
      <c r="LH124" s="896"/>
      <c r="LI124" s="896"/>
      <c r="LJ124" s="896"/>
      <c r="LK124" s="896"/>
      <c r="LL124" s="896"/>
      <c r="LM124" s="896"/>
      <c r="LN124" s="896"/>
      <c r="LO124" s="896"/>
      <c r="LP124" s="896"/>
      <c r="LQ124" s="896"/>
      <c r="LR124" s="896"/>
      <c r="LS124" s="896"/>
      <c r="LT124" s="896"/>
      <c r="LU124" s="896"/>
      <c r="LV124" s="896"/>
      <c r="LW124" s="896"/>
      <c r="LX124" s="896"/>
      <c r="LY124" s="896"/>
      <c r="LZ124" s="896"/>
      <c r="MA124" s="896"/>
      <c r="MB124" s="896"/>
      <c r="MC124" s="896"/>
      <c r="MD124" s="896"/>
      <c r="ME124" s="896"/>
      <c r="MF124" s="896"/>
      <c r="MG124" s="896"/>
      <c r="MH124" s="896"/>
      <c r="MI124" s="896"/>
      <c r="MJ124" s="896"/>
      <c r="MK124" s="896"/>
      <c r="ML124" s="896"/>
      <c r="MM124" s="896"/>
      <c r="MN124" s="896"/>
      <c r="MO124" s="896"/>
      <c r="MP124" s="896"/>
      <c r="MQ124" s="896"/>
      <c r="MR124" s="896"/>
      <c r="MS124" s="896"/>
      <c r="MT124" s="896"/>
      <c r="MU124" s="896"/>
      <c r="MV124" s="896"/>
      <c r="MW124" s="896"/>
      <c r="MX124" s="896"/>
      <c r="MY124" s="896"/>
      <c r="MZ124" s="896"/>
      <c r="NA124" s="896"/>
      <c r="NB124" s="896"/>
      <c r="NC124" s="896"/>
      <c r="ND124" s="896"/>
      <c r="NE124" s="896"/>
      <c r="NF124" s="896"/>
      <c r="NG124" s="896"/>
      <c r="NH124" s="896"/>
      <c r="NI124" s="896"/>
      <c r="NJ124" s="896"/>
      <c r="NK124" s="896"/>
      <c r="NL124" s="896"/>
      <c r="NM124" s="896"/>
      <c r="NN124" s="896"/>
      <c r="NO124" s="896"/>
      <c r="NP124" s="896"/>
      <c r="NQ124" s="896"/>
      <c r="NR124" s="896"/>
      <c r="NS124" s="896"/>
      <c r="NT124" s="896"/>
      <c r="NU124" s="896"/>
      <c r="NV124" s="896"/>
      <c r="NW124" s="896"/>
      <c r="NX124" s="896"/>
      <c r="NY124" s="896"/>
      <c r="NZ124" s="896"/>
      <c r="OA124" s="896"/>
      <c r="OB124" s="896"/>
      <c r="OC124" s="896"/>
      <c r="OD124" s="896"/>
      <c r="OE124" s="896"/>
      <c r="OF124" s="896"/>
      <c r="OG124" s="896"/>
      <c r="OH124" s="896"/>
      <c r="OI124" s="896"/>
      <c r="OJ124" s="896"/>
      <c r="OK124" s="896"/>
      <c r="OL124" s="896"/>
      <c r="OM124" s="896"/>
      <c r="ON124" s="896"/>
      <c r="OO124" s="896"/>
      <c r="OP124" s="896"/>
      <c r="OQ124" s="896"/>
      <c r="OR124" s="896"/>
      <c r="OS124" s="896"/>
      <c r="OT124" s="896"/>
      <c r="OU124" s="896"/>
      <c r="OV124" s="896"/>
      <c r="OW124" s="896"/>
      <c r="OX124" s="896"/>
      <c r="OY124" s="896"/>
      <c r="OZ124" s="896"/>
      <c r="PA124" s="896"/>
      <c r="PB124" s="896"/>
      <c r="PC124" s="896"/>
      <c r="PD124" s="896"/>
      <c r="PE124" s="896"/>
      <c r="PF124" s="896"/>
      <c r="PG124" s="896"/>
      <c r="PH124" s="896"/>
      <c r="PI124" s="896"/>
      <c r="PJ124" s="896"/>
      <c r="PK124" s="896"/>
      <c r="PL124" s="896"/>
      <c r="PM124" s="896"/>
      <c r="PN124" s="896"/>
      <c r="PO124" s="896"/>
      <c r="PP124" s="896"/>
      <c r="PQ124" s="896"/>
      <c r="PR124" s="896"/>
      <c r="PS124" s="896"/>
      <c r="PT124" s="896"/>
      <c r="PU124" s="896"/>
      <c r="PV124" s="896"/>
      <c r="PW124" s="896"/>
      <c r="PX124" s="896"/>
      <c r="PY124" s="896"/>
      <c r="PZ124" s="896"/>
      <c r="QA124" s="896"/>
      <c r="QB124" s="896"/>
      <c r="QC124" s="896"/>
      <c r="QD124" s="896"/>
      <c r="QE124" s="896"/>
      <c r="QF124" s="896"/>
      <c r="QG124" s="896"/>
      <c r="QH124" s="896"/>
      <c r="QI124" s="896"/>
      <c r="QJ124" s="896"/>
      <c r="QK124" s="896"/>
      <c r="QL124" s="896"/>
      <c r="QM124" s="896"/>
      <c r="QN124" s="896"/>
      <c r="QO124" s="896"/>
      <c r="QP124" s="896"/>
      <c r="QQ124" s="896"/>
      <c r="QR124" s="896"/>
      <c r="QS124" s="896"/>
      <c r="QT124" s="896"/>
      <c r="QU124" s="896"/>
      <c r="QV124" s="896"/>
      <c r="QW124" s="896"/>
      <c r="QX124" s="896"/>
      <c r="QY124" s="896"/>
      <c r="QZ124" s="896"/>
      <c r="RA124" s="896"/>
      <c r="RB124" s="896"/>
      <c r="RC124" s="896"/>
      <c r="RD124" s="896"/>
      <c r="RE124" s="896"/>
      <c r="RF124" s="896"/>
      <c r="RG124" s="896"/>
      <c r="RH124" s="896"/>
      <c r="RI124" s="896"/>
      <c r="RJ124" s="896"/>
      <c r="RK124" s="896"/>
      <c r="RL124" s="896"/>
      <c r="RM124" s="896"/>
      <c r="RN124" s="896"/>
      <c r="RO124" s="896"/>
      <c r="RP124" s="896"/>
      <c r="RQ124" s="896"/>
      <c r="RR124" s="896"/>
      <c r="RS124" s="896"/>
      <c r="RT124" s="896"/>
      <c r="RU124" s="896"/>
      <c r="RV124" s="896"/>
      <c r="RW124" s="896"/>
      <c r="RX124" s="896"/>
      <c r="RY124" s="896"/>
      <c r="RZ124" s="896"/>
      <c r="SA124" s="896"/>
      <c r="SB124" s="896"/>
      <c r="SC124" s="896"/>
      <c r="SD124" s="896"/>
      <c r="SE124" s="896"/>
      <c r="SF124" s="896"/>
      <c r="SG124" s="896"/>
      <c r="SH124" s="896"/>
      <c r="SI124" s="896"/>
      <c r="SJ124" s="896"/>
      <c r="SK124" s="896"/>
      <c r="SL124" s="896"/>
      <c r="SM124" s="896"/>
      <c r="SN124" s="896"/>
      <c r="SO124" s="896"/>
      <c r="SP124" s="896"/>
      <c r="SQ124" s="896"/>
      <c r="SR124" s="896"/>
      <c r="SS124" s="896"/>
      <c r="ST124" s="896"/>
      <c r="SU124" s="896"/>
      <c r="SV124" s="896"/>
      <c r="SW124" s="896"/>
      <c r="SX124" s="896"/>
      <c r="SY124" s="896"/>
      <c r="SZ124" s="896"/>
      <c r="TA124" s="896"/>
      <c r="TB124" s="896"/>
      <c r="TC124" s="896"/>
      <c r="TD124" s="896"/>
      <c r="TE124" s="896"/>
      <c r="TF124" s="896"/>
      <c r="TG124" s="896"/>
      <c r="TH124" s="896"/>
      <c r="TI124" s="896"/>
      <c r="TJ124" s="896"/>
      <c r="TK124" s="896"/>
      <c r="TL124" s="896"/>
      <c r="TM124" s="896"/>
      <c r="TN124" s="896"/>
      <c r="TO124" s="896"/>
      <c r="TP124" s="896"/>
      <c r="TQ124" s="896"/>
      <c r="TR124" s="896"/>
      <c r="TS124" s="896"/>
      <c r="TT124" s="896"/>
      <c r="TU124" s="896"/>
      <c r="TV124" s="896"/>
      <c r="TW124" s="896"/>
      <c r="TX124" s="896"/>
      <c r="TY124" s="896"/>
      <c r="TZ124" s="896"/>
      <c r="UA124" s="896"/>
      <c r="UB124" s="896"/>
      <c r="UC124" s="896"/>
      <c r="UD124" s="896"/>
      <c r="UE124" s="896"/>
      <c r="UF124" s="896"/>
      <c r="UG124" s="896"/>
      <c r="UH124" s="896"/>
      <c r="UI124" s="896"/>
      <c r="UJ124" s="896"/>
      <c r="UK124" s="896"/>
      <c r="UL124" s="896"/>
      <c r="UM124" s="896"/>
      <c r="UN124" s="896"/>
      <c r="UO124" s="896"/>
      <c r="UP124" s="896"/>
      <c r="UQ124" s="896"/>
      <c r="UR124" s="896"/>
      <c r="US124" s="896"/>
      <c r="UT124" s="896"/>
      <c r="UU124" s="896"/>
      <c r="UV124" s="896"/>
      <c r="UW124" s="896"/>
      <c r="UX124" s="896"/>
      <c r="UY124" s="896"/>
      <c r="UZ124" s="896"/>
      <c r="VA124" s="896"/>
      <c r="VB124" s="896"/>
      <c r="VC124" s="896"/>
      <c r="VD124" s="896"/>
      <c r="VE124" s="896"/>
      <c r="VF124" s="896"/>
      <c r="VG124" s="896"/>
      <c r="VH124" s="896"/>
      <c r="VI124" s="896"/>
      <c r="VJ124" s="896"/>
      <c r="VK124" s="896"/>
      <c r="VL124" s="896"/>
      <c r="VM124" s="896"/>
      <c r="VN124" s="896"/>
      <c r="VO124" s="896"/>
      <c r="VP124" s="896"/>
      <c r="VQ124" s="896"/>
      <c r="VR124" s="896"/>
      <c r="VS124" s="896"/>
      <c r="VT124" s="896"/>
      <c r="VU124" s="896"/>
      <c r="VV124" s="896"/>
      <c r="VW124" s="896"/>
      <c r="VX124" s="896"/>
      <c r="VY124" s="896"/>
      <c r="VZ124" s="896"/>
      <c r="WA124" s="896"/>
      <c r="WB124" s="896"/>
      <c r="WC124" s="896"/>
      <c r="WD124" s="896"/>
      <c r="WE124" s="896"/>
      <c r="WF124" s="896"/>
      <c r="WG124" s="896"/>
      <c r="WH124" s="896"/>
      <c r="WI124" s="896"/>
      <c r="WJ124" s="896"/>
      <c r="WK124" s="896"/>
      <c r="WL124" s="896"/>
      <c r="WM124" s="896"/>
      <c r="WN124" s="896"/>
      <c r="WO124" s="896"/>
      <c r="WP124" s="896"/>
      <c r="WQ124" s="896"/>
      <c r="WR124" s="896"/>
      <c r="WS124" s="896"/>
      <c r="WT124" s="896"/>
      <c r="WU124" s="896"/>
      <c r="WV124" s="896"/>
      <c r="WW124" s="896"/>
      <c r="WX124" s="896"/>
      <c r="WY124" s="896"/>
      <c r="WZ124" s="896"/>
      <c r="XA124" s="896"/>
      <c r="XB124" s="896"/>
      <c r="XC124" s="896"/>
      <c r="XD124" s="896"/>
      <c r="XE124" s="896"/>
      <c r="XF124" s="896"/>
      <c r="XG124" s="896"/>
      <c r="XH124" s="896"/>
      <c r="XI124" s="896"/>
      <c r="XJ124" s="896"/>
      <c r="XK124" s="896"/>
      <c r="XL124" s="896"/>
      <c r="XM124" s="896"/>
      <c r="XN124" s="896"/>
      <c r="XO124" s="896"/>
      <c r="XP124" s="896"/>
      <c r="XQ124" s="896"/>
      <c r="XR124" s="896"/>
      <c r="XS124" s="896"/>
      <c r="XT124" s="896"/>
      <c r="XU124" s="896"/>
      <c r="XV124" s="896"/>
      <c r="XW124" s="896"/>
      <c r="XX124" s="896"/>
      <c r="XY124" s="896"/>
      <c r="XZ124" s="896"/>
      <c r="YA124" s="896"/>
      <c r="YB124" s="896"/>
      <c r="YC124" s="896"/>
      <c r="YD124" s="896"/>
      <c r="YE124" s="896"/>
      <c r="YF124" s="896"/>
      <c r="YG124" s="896"/>
      <c r="YH124" s="896"/>
      <c r="YI124" s="896"/>
      <c r="YJ124" s="896"/>
      <c r="YK124" s="896"/>
      <c r="YL124" s="896"/>
      <c r="YM124" s="896"/>
      <c r="YN124" s="896"/>
      <c r="YO124" s="896"/>
      <c r="YP124" s="896"/>
      <c r="YQ124" s="896"/>
      <c r="YR124" s="896"/>
      <c r="YS124" s="896"/>
      <c r="YT124" s="896"/>
      <c r="YU124" s="896"/>
      <c r="YV124" s="896"/>
      <c r="YW124" s="896"/>
      <c r="YX124" s="896"/>
      <c r="YY124" s="896"/>
      <c r="YZ124" s="896"/>
      <c r="ZA124" s="896"/>
      <c r="ZB124" s="896"/>
      <c r="ZC124" s="896"/>
      <c r="ZD124" s="896"/>
      <c r="ZE124" s="896"/>
      <c r="ZF124" s="896"/>
      <c r="ZG124" s="896"/>
      <c r="ZH124" s="896"/>
      <c r="ZI124" s="896"/>
      <c r="ZJ124" s="896"/>
      <c r="ZK124" s="896"/>
      <c r="ZL124" s="896"/>
      <c r="ZM124" s="896"/>
      <c r="ZN124" s="896"/>
      <c r="ZO124" s="896"/>
      <c r="ZP124" s="896"/>
      <c r="ZQ124" s="896"/>
      <c r="ZR124" s="896"/>
      <c r="ZS124" s="896"/>
      <c r="ZT124" s="896"/>
      <c r="ZU124" s="896"/>
      <c r="ZV124" s="896"/>
      <c r="ZW124" s="896"/>
      <c r="ZX124" s="896"/>
      <c r="ZY124" s="896"/>
      <c r="ZZ124" s="896"/>
      <c r="AAA124" s="896"/>
      <c r="AAB124" s="896"/>
      <c r="AAC124" s="896"/>
      <c r="AAD124" s="896"/>
      <c r="AAE124" s="896"/>
      <c r="AAF124" s="896"/>
      <c r="AAG124" s="896"/>
      <c r="AAH124" s="896"/>
      <c r="AAI124" s="896"/>
      <c r="AAJ124" s="896"/>
      <c r="AAK124" s="896"/>
      <c r="AAL124" s="896"/>
      <c r="AAM124" s="896"/>
      <c r="AAN124" s="896"/>
      <c r="AAO124" s="896"/>
      <c r="AAP124" s="896"/>
      <c r="AAQ124" s="896"/>
      <c r="AAR124" s="896"/>
      <c r="AAS124" s="896"/>
      <c r="AAT124" s="896"/>
      <c r="AAU124" s="896"/>
      <c r="AAV124" s="896"/>
      <c r="AAW124" s="896"/>
      <c r="AAX124" s="896"/>
      <c r="AAY124" s="896"/>
      <c r="AAZ124" s="896"/>
      <c r="ABA124" s="896"/>
      <c r="ABB124" s="896"/>
      <c r="ABC124" s="896"/>
      <c r="ABD124" s="896"/>
      <c r="ABE124" s="896"/>
      <c r="ABF124" s="896"/>
      <c r="ABG124" s="896"/>
      <c r="ABH124" s="896"/>
      <c r="ABI124" s="896"/>
      <c r="ABJ124" s="896"/>
      <c r="ABK124" s="896"/>
      <c r="ABL124" s="896"/>
      <c r="ABM124" s="896"/>
      <c r="ABN124" s="896"/>
      <c r="ABO124" s="896"/>
      <c r="ABP124" s="896"/>
      <c r="ABQ124" s="896"/>
      <c r="ABR124" s="896"/>
      <c r="ABS124" s="896"/>
      <c r="ABT124" s="896"/>
      <c r="ABU124" s="896"/>
      <c r="ABV124" s="896"/>
      <c r="ABW124" s="896"/>
      <c r="ABX124" s="896"/>
      <c r="ABY124" s="896"/>
      <c r="ABZ124" s="896"/>
      <c r="ACA124" s="896"/>
      <c r="ACB124" s="896"/>
      <c r="ACC124" s="896"/>
      <c r="ACD124" s="896"/>
      <c r="ACE124" s="896"/>
      <c r="ACF124" s="896"/>
      <c r="ACG124" s="896"/>
      <c r="ACH124" s="896"/>
      <c r="ACI124" s="896"/>
      <c r="ACJ124" s="896"/>
      <c r="ACK124" s="896"/>
      <c r="ACL124" s="896"/>
      <c r="ACM124" s="896"/>
      <c r="ACN124" s="896"/>
      <c r="ACO124" s="896"/>
      <c r="ACP124" s="896"/>
      <c r="ACQ124" s="896"/>
      <c r="ACR124" s="896"/>
      <c r="ACS124" s="896"/>
      <c r="ACT124" s="896"/>
      <c r="ACU124" s="896"/>
      <c r="ACV124" s="896"/>
      <c r="ACW124" s="896"/>
      <c r="ACX124" s="896"/>
      <c r="ACY124" s="896"/>
      <c r="ACZ124" s="896"/>
      <c r="ADA124" s="896"/>
      <c r="ADB124" s="896"/>
      <c r="ADC124" s="896"/>
      <c r="ADD124" s="896"/>
      <c r="ADE124" s="896"/>
      <c r="ADF124" s="896"/>
      <c r="ADG124" s="896"/>
      <c r="ADH124" s="896"/>
      <c r="ADI124" s="896"/>
      <c r="ADJ124" s="896"/>
      <c r="ADK124" s="896"/>
      <c r="ADL124" s="896"/>
      <c r="ADM124" s="896"/>
      <c r="ADN124" s="896"/>
      <c r="ADO124" s="896"/>
      <c r="ADP124" s="896"/>
      <c r="ADQ124" s="896"/>
      <c r="ADR124" s="896"/>
      <c r="ADS124" s="896"/>
      <c r="ADT124" s="896"/>
      <c r="ADU124" s="896"/>
      <c r="ADV124" s="896"/>
      <c r="ADW124" s="896"/>
      <c r="ADX124" s="896"/>
      <c r="ADY124" s="896"/>
      <c r="ADZ124" s="896"/>
      <c r="AEA124" s="896"/>
      <c r="AEB124" s="896"/>
      <c r="AEC124" s="896"/>
      <c r="AED124" s="896"/>
      <c r="AEE124" s="896"/>
      <c r="AEF124" s="896"/>
      <c r="AEG124" s="896"/>
      <c r="AEH124" s="896"/>
      <c r="AEI124" s="896"/>
      <c r="AEJ124" s="896"/>
      <c r="AEK124" s="896"/>
      <c r="AEL124" s="896"/>
      <c r="AEM124" s="896"/>
      <c r="AEN124" s="896"/>
      <c r="AEO124" s="896"/>
      <c r="AEP124" s="896"/>
      <c r="AEQ124" s="896"/>
      <c r="AER124" s="896"/>
      <c r="AES124" s="896"/>
      <c r="AET124" s="896"/>
      <c r="AEU124" s="896"/>
      <c r="AEV124" s="896"/>
      <c r="AEW124" s="896"/>
      <c r="AEX124" s="896"/>
      <c r="AEY124" s="896"/>
      <c r="AEZ124" s="896"/>
      <c r="AFA124" s="896"/>
      <c r="AFB124" s="896"/>
      <c r="AFC124" s="896"/>
      <c r="AFD124" s="896"/>
      <c r="AFE124" s="896"/>
      <c r="AFF124" s="896"/>
      <c r="AFG124" s="896"/>
      <c r="AFH124" s="896"/>
      <c r="AFI124" s="896"/>
      <c r="AFJ124" s="896"/>
      <c r="AFK124" s="896"/>
      <c r="AFL124" s="896"/>
      <c r="AFM124" s="896"/>
      <c r="AFN124" s="896"/>
      <c r="AFO124" s="896"/>
      <c r="AFP124" s="896"/>
      <c r="AFQ124" s="896"/>
      <c r="AFR124" s="896"/>
      <c r="AFS124" s="896"/>
      <c r="AFT124" s="896"/>
      <c r="AFU124" s="896"/>
      <c r="AFV124" s="896"/>
      <c r="AFW124" s="896"/>
      <c r="AFX124" s="896"/>
      <c r="AFY124" s="896"/>
      <c r="AFZ124" s="896"/>
      <c r="AGA124" s="896"/>
      <c r="AGB124" s="896"/>
      <c r="AGC124" s="896"/>
      <c r="AGD124" s="896"/>
      <c r="AGE124" s="896"/>
      <c r="AGF124" s="896"/>
      <c r="AGG124" s="896"/>
      <c r="AGH124" s="896"/>
      <c r="AGI124" s="896"/>
      <c r="AGJ124" s="896"/>
      <c r="AGK124" s="896"/>
      <c r="AGL124" s="896"/>
      <c r="AGM124" s="896"/>
      <c r="AGN124" s="896"/>
      <c r="AGO124" s="896"/>
      <c r="AGP124" s="896"/>
      <c r="AGQ124" s="896"/>
      <c r="AGR124" s="896"/>
      <c r="AGS124" s="896"/>
      <c r="AGT124" s="896"/>
      <c r="AGU124" s="896"/>
      <c r="AGV124" s="896"/>
      <c r="AGW124" s="896"/>
      <c r="AGX124" s="896"/>
      <c r="AGY124" s="896"/>
      <c r="AGZ124" s="896"/>
      <c r="AHA124" s="896"/>
      <c r="AHB124" s="896"/>
      <c r="AHC124" s="896"/>
      <c r="AHD124" s="896"/>
      <c r="AHE124" s="896"/>
      <c r="AHF124" s="896"/>
      <c r="AHG124" s="896"/>
      <c r="AHH124" s="896"/>
      <c r="AHI124" s="896"/>
      <c r="AHJ124" s="896"/>
      <c r="AHK124" s="896"/>
      <c r="AHL124" s="896"/>
      <c r="AHM124" s="896"/>
      <c r="AHN124" s="896"/>
      <c r="AHO124" s="896"/>
      <c r="AHP124" s="896"/>
      <c r="AHQ124" s="896"/>
      <c r="AHR124" s="896"/>
      <c r="AHS124" s="896"/>
      <c r="AHT124" s="896"/>
      <c r="AHU124" s="896"/>
      <c r="AHV124" s="896"/>
      <c r="AHW124" s="896"/>
      <c r="AHX124" s="896"/>
      <c r="AHY124" s="896"/>
      <c r="AHZ124" s="896"/>
      <c r="AIA124" s="896"/>
      <c r="AIB124" s="896"/>
      <c r="AIC124" s="896"/>
      <c r="AID124" s="896"/>
      <c r="AIE124" s="896"/>
      <c r="AIF124" s="896"/>
      <c r="AIG124" s="896"/>
      <c r="AIH124" s="896"/>
      <c r="AII124" s="896"/>
      <c r="AIJ124" s="896"/>
      <c r="AIK124" s="896"/>
      <c r="AIL124" s="896"/>
      <c r="AIM124" s="896"/>
      <c r="AIN124" s="896"/>
      <c r="AIO124" s="896"/>
      <c r="AIP124" s="896"/>
      <c r="AIQ124" s="896"/>
      <c r="AIR124" s="896"/>
      <c r="AIS124" s="896"/>
      <c r="AIT124" s="896"/>
      <c r="AIU124" s="896"/>
      <c r="AIV124" s="896"/>
      <c r="AIW124" s="896"/>
      <c r="AIX124" s="896"/>
      <c r="AIY124" s="896"/>
      <c r="AIZ124" s="896"/>
      <c r="AJA124" s="896"/>
      <c r="AJB124" s="896"/>
      <c r="AJC124" s="896"/>
      <c r="AJD124" s="896"/>
      <c r="AJE124" s="896"/>
      <c r="AJF124" s="896"/>
      <c r="AJG124" s="896"/>
      <c r="AJH124" s="896"/>
      <c r="AJI124" s="896"/>
      <c r="AJJ124" s="896"/>
      <c r="AJK124" s="896"/>
      <c r="AJL124" s="896"/>
      <c r="AJM124" s="896"/>
      <c r="AJN124" s="896"/>
      <c r="AJO124" s="896"/>
      <c r="AJP124" s="896"/>
      <c r="AJQ124" s="896"/>
      <c r="AJR124" s="896"/>
      <c r="AJS124" s="896"/>
      <c r="AJT124" s="896"/>
      <c r="AJU124" s="896"/>
      <c r="AJV124" s="896"/>
      <c r="AJW124" s="896"/>
      <c r="AJX124" s="896"/>
      <c r="AJY124" s="896"/>
      <c r="AJZ124" s="896"/>
      <c r="AKA124" s="896"/>
      <c r="AKB124" s="896"/>
      <c r="AKC124" s="896"/>
      <c r="AKD124" s="896"/>
      <c r="AKE124" s="896"/>
      <c r="AKF124" s="896"/>
      <c r="AKG124" s="896"/>
      <c r="AKH124" s="896"/>
      <c r="AKI124" s="896"/>
      <c r="AKJ124" s="896"/>
      <c r="AKK124" s="896"/>
      <c r="AKL124" s="896"/>
      <c r="AKM124" s="896"/>
      <c r="AKN124" s="896"/>
      <c r="AKO124" s="896"/>
      <c r="AKP124" s="896"/>
      <c r="AKQ124" s="896"/>
      <c r="AKR124" s="896"/>
      <c r="AKS124" s="896"/>
      <c r="AKT124" s="896"/>
      <c r="AKU124" s="896"/>
      <c r="AKV124" s="896"/>
      <c r="AKW124" s="896"/>
      <c r="AKX124" s="896"/>
      <c r="AKY124" s="896"/>
      <c r="AKZ124" s="896"/>
      <c r="ALA124" s="896"/>
      <c r="ALB124" s="896"/>
      <c r="ALC124" s="896"/>
      <c r="ALD124" s="896"/>
      <c r="ALE124" s="896"/>
      <c r="ALF124" s="896"/>
      <c r="ALG124" s="896"/>
      <c r="ALH124" s="896"/>
      <c r="ALI124" s="896"/>
      <c r="ALJ124" s="896"/>
      <c r="ALK124" s="896"/>
      <c r="ALL124" s="896"/>
      <c r="ALM124" s="896"/>
      <c r="ALN124" s="896"/>
      <c r="ALO124" s="896"/>
      <c r="ALP124" s="896"/>
      <c r="ALQ124" s="896"/>
      <c r="ALR124" s="896"/>
      <c r="ALS124" s="896"/>
      <c r="ALT124" s="896"/>
      <c r="ALU124" s="896"/>
      <c r="ALV124" s="896"/>
      <c r="ALW124" s="896"/>
      <c r="ALX124" s="896"/>
      <c r="ALY124" s="896"/>
      <c r="ALZ124" s="896"/>
      <c r="AMA124" s="896"/>
      <c r="AMB124" s="896"/>
      <c r="AMC124" s="896"/>
      <c r="AMD124" s="896"/>
      <c r="AME124" s="896"/>
      <c r="AMF124" s="896"/>
      <c r="AMG124" s="896"/>
      <c r="AMH124" s="896"/>
      <c r="AMI124" s="896"/>
      <c r="AMJ124" s="896"/>
      <c r="AMK124" s="896"/>
      <c r="AML124" s="896"/>
      <c r="AMM124" s="896"/>
      <c r="AMN124" s="896"/>
      <c r="AMO124" s="896"/>
      <c r="AMP124" s="896"/>
      <c r="AMQ124" s="896"/>
      <c r="AMR124" s="896"/>
      <c r="AMS124" s="896"/>
      <c r="AMT124" s="896"/>
      <c r="AMU124" s="896"/>
      <c r="AMV124" s="896"/>
      <c r="AMW124" s="896"/>
      <c r="AMX124" s="896"/>
      <c r="AMY124" s="896"/>
      <c r="AMZ124" s="896"/>
      <c r="ANA124" s="896"/>
      <c r="ANB124" s="896"/>
      <c r="ANC124" s="896"/>
      <c r="AND124" s="896"/>
      <c r="ANE124" s="896"/>
      <c r="ANF124" s="896"/>
      <c r="ANG124" s="896"/>
      <c r="ANH124" s="896"/>
      <c r="ANI124" s="896"/>
      <c r="ANJ124" s="896"/>
      <c r="ANK124" s="896"/>
      <c r="ANL124" s="896"/>
      <c r="ANM124" s="896"/>
      <c r="ANN124" s="896"/>
      <c r="ANO124" s="896"/>
      <c r="ANP124" s="896"/>
      <c r="ANQ124" s="896"/>
      <c r="ANR124" s="896"/>
      <c r="ANS124" s="896"/>
      <c r="ANT124" s="896"/>
      <c r="ANU124" s="896"/>
      <c r="ANV124" s="896"/>
      <c r="ANW124" s="896"/>
      <c r="ANX124" s="896"/>
      <c r="ANY124" s="896"/>
      <c r="ANZ124" s="896"/>
      <c r="AOA124" s="896"/>
      <c r="AOB124" s="896"/>
      <c r="AOC124" s="896"/>
      <c r="AOD124" s="896"/>
      <c r="AOE124" s="896"/>
      <c r="AOF124" s="896"/>
      <c r="AOG124" s="896"/>
      <c r="AOH124" s="896"/>
      <c r="AOI124" s="896"/>
      <c r="AOJ124" s="896"/>
      <c r="AOK124" s="896"/>
      <c r="AOL124" s="896"/>
      <c r="AOM124" s="896"/>
      <c r="AON124" s="896"/>
      <c r="AOO124" s="896"/>
      <c r="AOP124" s="896"/>
      <c r="AOQ124" s="896"/>
      <c r="AOR124" s="896"/>
      <c r="AOS124" s="896"/>
      <c r="AOT124" s="896"/>
      <c r="AOU124" s="896"/>
      <c r="AOV124" s="896"/>
      <c r="AOW124" s="896"/>
      <c r="AOX124" s="896"/>
      <c r="AOY124" s="896"/>
      <c r="AOZ124" s="896"/>
      <c r="APA124" s="896"/>
      <c r="APB124" s="896"/>
      <c r="APC124" s="896"/>
      <c r="APD124" s="896"/>
      <c r="APE124" s="896"/>
      <c r="APF124" s="896"/>
      <c r="APG124" s="896"/>
      <c r="APH124" s="896"/>
      <c r="API124" s="896"/>
      <c r="APJ124" s="896"/>
      <c r="APK124" s="896"/>
      <c r="APL124" s="896"/>
      <c r="APM124" s="896"/>
      <c r="APN124" s="896"/>
      <c r="APO124" s="896"/>
      <c r="APP124" s="896"/>
      <c r="APQ124" s="896"/>
      <c r="APR124" s="896"/>
      <c r="APS124" s="896"/>
      <c r="APT124" s="896"/>
      <c r="APU124" s="896"/>
      <c r="APV124" s="896"/>
      <c r="APW124" s="896"/>
      <c r="APX124" s="896"/>
      <c r="APY124" s="896"/>
      <c r="APZ124" s="896"/>
      <c r="AQA124" s="896"/>
      <c r="AQB124" s="896"/>
      <c r="AQC124" s="896"/>
      <c r="AQD124" s="896"/>
      <c r="AQE124" s="896"/>
      <c r="AQF124" s="896"/>
      <c r="AQG124" s="896"/>
      <c r="AQH124" s="896"/>
      <c r="AQI124" s="896"/>
      <c r="AQJ124" s="896"/>
      <c r="AQK124" s="896"/>
      <c r="AQL124" s="896"/>
      <c r="AQM124" s="896"/>
      <c r="AQN124" s="896"/>
      <c r="AQO124" s="896"/>
      <c r="AQP124" s="896"/>
      <c r="AQQ124" s="896"/>
      <c r="AQR124" s="896"/>
      <c r="AQS124" s="896"/>
      <c r="AQT124" s="896"/>
      <c r="AQU124" s="896"/>
      <c r="AQV124" s="896"/>
      <c r="AQW124" s="896"/>
      <c r="AQX124" s="896"/>
      <c r="AQY124" s="896"/>
      <c r="AQZ124" s="896"/>
      <c r="ARA124" s="896"/>
      <c r="ARB124" s="896"/>
      <c r="ARC124" s="896"/>
      <c r="ARD124" s="896"/>
      <c r="ARE124" s="896"/>
      <c r="ARF124" s="896"/>
      <c r="ARG124" s="896"/>
      <c r="ARH124" s="896"/>
      <c r="ARI124" s="896"/>
      <c r="ARJ124" s="896"/>
      <c r="ARK124" s="896"/>
      <c r="ARL124" s="896"/>
      <c r="ARM124" s="896"/>
      <c r="ARN124" s="896"/>
      <c r="ARO124" s="896"/>
      <c r="ARP124" s="896"/>
      <c r="ARQ124" s="896"/>
      <c r="ARR124" s="896"/>
      <c r="ARS124" s="896"/>
      <c r="ART124" s="896"/>
      <c r="ARU124" s="896"/>
      <c r="ARV124" s="896"/>
      <c r="ARW124" s="896"/>
      <c r="ARX124" s="896"/>
      <c r="ARY124" s="896"/>
      <c r="ARZ124" s="896"/>
      <c r="ASA124" s="896"/>
      <c r="ASB124" s="896"/>
      <c r="ASC124" s="896"/>
      <c r="ASD124" s="896"/>
      <c r="ASE124" s="896"/>
      <c r="ASF124" s="896"/>
      <c r="ASG124" s="896"/>
      <c r="ASH124" s="896"/>
      <c r="ASI124" s="896"/>
      <c r="ASJ124" s="896"/>
      <c r="ASK124" s="896"/>
      <c r="ASL124" s="896"/>
      <c r="ASM124" s="896"/>
      <c r="ASN124" s="896"/>
      <c r="ASO124" s="896"/>
      <c r="ASP124" s="896"/>
      <c r="ASQ124" s="896"/>
      <c r="ASR124" s="896"/>
      <c r="ASS124" s="896"/>
      <c r="AST124" s="896"/>
      <c r="ASU124" s="896"/>
      <c r="ASV124" s="896"/>
      <c r="ASW124" s="896"/>
      <c r="ASX124" s="896"/>
      <c r="ASY124" s="896"/>
      <c r="ASZ124" s="896"/>
      <c r="ATA124" s="896"/>
      <c r="ATB124" s="896"/>
      <c r="ATC124" s="896"/>
      <c r="ATD124" s="896"/>
      <c r="ATE124" s="896"/>
      <c r="ATF124" s="896"/>
      <c r="ATG124" s="896"/>
      <c r="ATH124" s="896"/>
      <c r="ATI124" s="896"/>
      <c r="ATJ124" s="896"/>
      <c r="ATK124" s="896"/>
      <c r="ATL124" s="896"/>
      <c r="ATM124" s="896"/>
      <c r="ATN124" s="896"/>
      <c r="ATO124" s="896"/>
      <c r="ATP124" s="896"/>
      <c r="ATQ124" s="896"/>
      <c r="ATR124" s="896"/>
      <c r="ATS124" s="896"/>
      <c r="ATT124" s="896"/>
      <c r="ATU124" s="896"/>
      <c r="ATV124" s="896"/>
      <c r="ATW124" s="896"/>
      <c r="ATX124" s="896"/>
      <c r="ATY124" s="896"/>
      <c r="ATZ124" s="896"/>
      <c r="AUA124" s="896"/>
      <c r="AUB124" s="896"/>
      <c r="AUC124" s="896"/>
      <c r="AUD124" s="896"/>
      <c r="AUE124" s="896"/>
      <c r="AUF124" s="896"/>
      <c r="AUG124" s="896"/>
      <c r="AUH124" s="896"/>
      <c r="AUI124" s="896"/>
      <c r="AUJ124" s="896"/>
      <c r="AUK124" s="896"/>
      <c r="AUL124" s="896"/>
      <c r="AUM124" s="896"/>
      <c r="AUN124" s="896"/>
      <c r="AUO124" s="896"/>
      <c r="AUP124" s="896"/>
      <c r="AUQ124" s="896"/>
      <c r="AUR124" s="896"/>
      <c r="AUS124" s="896"/>
      <c r="AUT124" s="896"/>
      <c r="AUU124" s="896"/>
      <c r="AUV124" s="896"/>
      <c r="AUW124" s="896"/>
      <c r="AUX124" s="896"/>
      <c r="AUY124" s="896"/>
      <c r="AUZ124" s="896"/>
      <c r="AVA124" s="896"/>
      <c r="AVB124" s="896"/>
      <c r="AVC124" s="896"/>
      <c r="AVD124" s="896"/>
      <c r="AVE124" s="896"/>
      <c r="AVF124" s="896"/>
      <c r="AVG124" s="896"/>
      <c r="AVH124" s="896"/>
      <c r="AVI124" s="896"/>
      <c r="AVJ124" s="896"/>
      <c r="AVK124" s="896"/>
      <c r="AVL124" s="896"/>
      <c r="AVM124" s="896"/>
      <c r="AVN124" s="896"/>
      <c r="AVO124" s="896"/>
      <c r="AVP124" s="896"/>
      <c r="AVQ124" s="896"/>
      <c r="AVR124" s="896"/>
      <c r="AVS124" s="896"/>
      <c r="AVT124" s="896"/>
      <c r="AVU124" s="896"/>
      <c r="AVV124" s="896"/>
      <c r="AVW124" s="896"/>
      <c r="AVX124" s="896"/>
      <c r="AVY124" s="896"/>
      <c r="AVZ124" s="896"/>
      <c r="AWA124" s="896"/>
      <c r="AWB124" s="896"/>
      <c r="AWC124" s="896"/>
      <c r="AWD124" s="896"/>
      <c r="AWE124" s="896"/>
      <c r="AWF124" s="896"/>
      <c r="AWG124" s="896"/>
      <c r="AWH124" s="896"/>
      <c r="AWI124" s="896"/>
      <c r="AWJ124" s="896"/>
      <c r="AWK124" s="896"/>
      <c r="AWL124" s="896"/>
      <c r="AWM124" s="896"/>
      <c r="AWN124" s="896"/>
      <c r="AWO124" s="896"/>
      <c r="AWP124" s="896"/>
      <c r="AWQ124" s="896"/>
      <c r="AWR124" s="896"/>
      <c r="AWS124" s="896"/>
      <c r="AWT124" s="896"/>
      <c r="AWU124" s="896"/>
      <c r="AWV124" s="896"/>
      <c r="AWW124" s="896"/>
      <c r="AWX124" s="896"/>
      <c r="AWY124" s="896"/>
      <c r="AWZ124" s="896"/>
      <c r="AXA124" s="896"/>
      <c r="AXB124" s="896"/>
      <c r="AXC124" s="896"/>
      <c r="AXD124" s="896"/>
      <c r="AXE124" s="896"/>
      <c r="AXF124" s="896"/>
      <c r="AXG124" s="896"/>
      <c r="AXH124" s="896"/>
      <c r="AXI124" s="896"/>
      <c r="AXJ124" s="896"/>
      <c r="AXK124" s="896"/>
      <c r="AXL124" s="896"/>
      <c r="AXM124" s="896"/>
      <c r="AXN124" s="896"/>
      <c r="AXO124" s="896"/>
      <c r="AXP124" s="896"/>
      <c r="AXQ124" s="896"/>
      <c r="AXR124" s="896"/>
      <c r="AXS124" s="896"/>
      <c r="AXT124" s="896"/>
      <c r="AXU124" s="896"/>
      <c r="AXV124" s="896"/>
      <c r="AXW124" s="896"/>
      <c r="AXX124" s="896"/>
      <c r="AXY124" s="896"/>
      <c r="AXZ124" s="896"/>
      <c r="AYA124" s="896"/>
      <c r="AYB124" s="896"/>
      <c r="AYC124" s="896"/>
      <c r="AYD124" s="896"/>
      <c r="AYE124" s="896"/>
      <c r="AYF124" s="896"/>
      <c r="AYG124" s="896"/>
      <c r="AYH124" s="896"/>
      <c r="AYI124" s="896"/>
      <c r="AYJ124" s="896"/>
      <c r="AYK124" s="896"/>
      <c r="AYL124" s="896"/>
      <c r="AYM124" s="896"/>
      <c r="AYN124" s="896"/>
      <c r="AYO124" s="896"/>
      <c r="AYP124" s="896"/>
      <c r="AYQ124" s="896"/>
      <c r="AYR124" s="896"/>
      <c r="AYS124" s="896"/>
      <c r="AYT124" s="896"/>
      <c r="AYU124" s="896"/>
      <c r="AYV124" s="896"/>
      <c r="AYW124" s="896"/>
      <c r="AYX124" s="896"/>
      <c r="AYY124" s="896"/>
      <c r="AYZ124" s="896"/>
      <c r="AZA124" s="896"/>
      <c r="AZB124" s="896"/>
      <c r="AZC124" s="896"/>
      <c r="AZD124" s="896"/>
      <c r="AZE124" s="896"/>
      <c r="AZF124" s="896"/>
      <c r="AZG124" s="896"/>
      <c r="AZH124" s="896"/>
      <c r="AZI124" s="896"/>
      <c r="AZJ124" s="896"/>
      <c r="AZK124" s="896"/>
      <c r="AZL124" s="896"/>
      <c r="AZM124" s="896"/>
      <c r="AZN124" s="896"/>
      <c r="AZO124" s="896"/>
      <c r="AZP124" s="896"/>
      <c r="AZQ124" s="896"/>
      <c r="AZR124" s="896"/>
      <c r="AZS124" s="896"/>
      <c r="AZT124" s="896"/>
      <c r="AZU124" s="896"/>
      <c r="AZV124" s="896"/>
      <c r="AZW124" s="896"/>
      <c r="AZX124" s="896"/>
      <c r="AZY124" s="896"/>
      <c r="AZZ124" s="896"/>
      <c r="BAA124" s="896"/>
      <c r="BAB124" s="896"/>
      <c r="BAC124" s="896"/>
      <c r="BAD124" s="896"/>
      <c r="BAE124" s="896"/>
      <c r="BAF124" s="896"/>
      <c r="BAG124" s="896"/>
      <c r="BAH124" s="896"/>
      <c r="BAI124" s="896"/>
      <c r="BAJ124" s="896"/>
      <c r="BAK124" s="896"/>
      <c r="BAL124" s="896"/>
      <c r="BAM124" s="896"/>
      <c r="BAN124" s="896"/>
      <c r="BAO124" s="896"/>
      <c r="BAP124" s="896"/>
      <c r="BAQ124" s="896"/>
      <c r="BAR124" s="896"/>
      <c r="BAS124" s="896"/>
      <c r="BAT124" s="896"/>
      <c r="BAU124" s="896"/>
      <c r="BAV124" s="896"/>
      <c r="BAW124" s="896"/>
      <c r="BAX124" s="896"/>
      <c r="BAY124" s="896"/>
      <c r="BAZ124" s="896"/>
      <c r="BBA124" s="896"/>
      <c r="BBB124" s="896"/>
      <c r="BBC124" s="896"/>
      <c r="BBD124" s="896"/>
      <c r="BBE124" s="896"/>
      <c r="BBF124" s="896"/>
      <c r="BBG124" s="896"/>
      <c r="BBH124" s="896"/>
      <c r="BBI124" s="896"/>
      <c r="BBJ124" s="896"/>
      <c r="BBK124" s="896"/>
      <c r="BBL124" s="896"/>
      <c r="BBM124" s="896"/>
      <c r="BBN124" s="896"/>
      <c r="BBO124" s="896"/>
      <c r="BBP124" s="896"/>
      <c r="BBQ124" s="896"/>
      <c r="BBR124" s="896"/>
      <c r="BBS124" s="896"/>
      <c r="BBT124" s="896"/>
      <c r="BBU124" s="896"/>
      <c r="BBV124" s="896"/>
      <c r="BBW124" s="896"/>
      <c r="BBX124" s="896"/>
      <c r="BBY124" s="896"/>
      <c r="BBZ124" s="896"/>
      <c r="BCA124" s="896"/>
      <c r="BCB124" s="896"/>
      <c r="BCC124" s="896"/>
      <c r="BCD124" s="896"/>
      <c r="BCE124" s="896"/>
      <c r="BCF124" s="896"/>
      <c r="BCG124" s="896"/>
      <c r="BCH124" s="896"/>
      <c r="BCI124" s="896"/>
      <c r="BCJ124" s="896"/>
      <c r="BCK124" s="896"/>
      <c r="BCL124" s="896"/>
      <c r="BCM124" s="896"/>
      <c r="BCN124" s="896"/>
      <c r="BCO124" s="896"/>
      <c r="BCP124" s="896"/>
      <c r="BCQ124" s="896"/>
      <c r="BCR124" s="896"/>
      <c r="BCS124" s="896"/>
      <c r="BCT124" s="896"/>
      <c r="BCU124" s="896"/>
      <c r="BCV124" s="896"/>
      <c r="BCW124" s="896"/>
      <c r="BCX124" s="896"/>
      <c r="BCY124" s="896"/>
      <c r="BCZ124" s="896"/>
      <c r="BDA124" s="896"/>
      <c r="BDB124" s="896"/>
      <c r="BDC124" s="896"/>
      <c r="BDD124" s="896"/>
      <c r="BDE124" s="896"/>
      <c r="BDF124" s="896"/>
      <c r="BDG124" s="896"/>
      <c r="BDH124" s="896"/>
      <c r="BDI124" s="896"/>
      <c r="BDJ124" s="896"/>
      <c r="BDK124" s="896"/>
      <c r="BDL124" s="896"/>
      <c r="BDM124" s="896"/>
      <c r="BDN124" s="896"/>
      <c r="BDO124" s="896"/>
      <c r="BDP124" s="896"/>
      <c r="BDQ124" s="896"/>
      <c r="BDR124" s="896"/>
      <c r="BDS124" s="896"/>
      <c r="BDT124" s="896"/>
      <c r="BDU124" s="896"/>
      <c r="BDV124" s="896"/>
      <c r="BDW124" s="896"/>
      <c r="BDX124" s="896"/>
      <c r="BDY124" s="896"/>
      <c r="BDZ124" s="896"/>
      <c r="BEA124" s="896"/>
      <c r="BEB124" s="896"/>
      <c r="BEC124" s="896"/>
      <c r="BED124" s="896"/>
      <c r="BEE124" s="896"/>
      <c r="BEF124" s="896"/>
      <c r="BEG124" s="896"/>
      <c r="BEH124" s="896"/>
      <c r="BEI124" s="896"/>
      <c r="BEJ124" s="896"/>
      <c r="BEK124" s="896"/>
      <c r="BEL124" s="896"/>
      <c r="BEM124" s="896"/>
      <c r="BEN124" s="896"/>
      <c r="BEO124" s="896"/>
      <c r="BEP124" s="896"/>
      <c r="BEQ124" s="896"/>
      <c r="BER124" s="896"/>
      <c r="BES124" s="896"/>
      <c r="BET124" s="896"/>
      <c r="BEU124" s="896"/>
      <c r="BEV124" s="896"/>
      <c r="BEW124" s="896"/>
      <c r="BEX124" s="896"/>
      <c r="BEY124" s="896"/>
      <c r="BEZ124" s="896"/>
      <c r="BFA124" s="896"/>
      <c r="BFB124" s="896"/>
      <c r="BFC124" s="896"/>
      <c r="BFD124" s="896"/>
      <c r="BFE124" s="896"/>
      <c r="BFF124" s="896"/>
      <c r="BFG124" s="896"/>
      <c r="BFH124" s="896"/>
      <c r="BFI124" s="896"/>
      <c r="BFJ124" s="896"/>
      <c r="BFK124" s="896"/>
      <c r="BFL124" s="896"/>
      <c r="BFM124" s="896"/>
      <c r="BFN124" s="896"/>
      <c r="BFO124" s="896"/>
      <c r="BFP124" s="896"/>
      <c r="BFQ124" s="896"/>
      <c r="BFR124" s="896"/>
      <c r="BFS124" s="896"/>
      <c r="BFT124" s="896"/>
      <c r="BFU124" s="896"/>
      <c r="BFV124" s="896"/>
      <c r="BFW124" s="896"/>
      <c r="BFX124" s="896"/>
      <c r="BFY124" s="896"/>
      <c r="BFZ124" s="896"/>
      <c r="BGA124" s="896"/>
      <c r="BGB124" s="896"/>
      <c r="BGC124" s="896"/>
      <c r="BGD124" s="896"/>
      <c r="BGE124" s="896"/>
      <c r="BGF124" s="896"/>
      <c r="BGG124" s="896"/>
      <c r="BGH124" s="896"/>
      <c r="BGI124" s="896"/>
      <c r="BGJ124" s="896"/>
      <c r="BGK124" s="896"/>
      <c r="BGL124" s="896"/>
      <c r="BGM124" s="896"/>
      <c r="BGN124" s="896"/>
      <c r="BGO124" s="896"/>
      <c r="BGP124" s="896"/>
      <c r="BGQ124" s="896"/>
      <c r="BGR124" s="896"/>
      <c r="BGS124" s="896"/>
      <c r="BGT124" s="896"/>
      <c r="BGU124" s="896"/>
      <c r="BGV124" s="896"/>
      <c r="BGW124" s="896"/>
      <c r="BGX124" s="896"/>
      <c r="BGY124" s="896"/>
      <c r="BGZ124" s="896"/>
      <c r="BHA124" s="896"/>
      <c r="BHB124" s="896"/>
      <c r="BHC124" s="896"/>
      <c r="BHD124" s="896"/>
      <c r="BHE124" s="896"/>
      <c r="BHF124" s="896"/>
      <c r="BHG124" s="896"/>
      <c r="BHH124" s="896"/>
      <c r="BHI124" s="896"/>
      <c r="BHJ124" s="896"/>
      <c r="BHK124" s="896"/>
      <c r="BHL124" s="896"/>
      <c r="BHM124" s="896"/>
      <c r="BHN124" s="896"/>
      <c r="BHO124" s="896"/>
      <c r="BHP124" s="896"/>
      <c r="BHQ124" s="896"/>
      <c r="BHR124" s="896"/>
      <c r="BHS124" s="896"/>
      <c r="BHT124" s="896"/>
      <c r="BHU124" s="896"/>
      <c r="BHV124" s="896"/>
      <c r="BHW124" s="896"/>
      <c r="BHX124" s="896"/>
      <c r="BHY124" s="896"/>
      <c r="BHZ124" s="896"/>
      <c r="BIA124" s="896"/>
      <c r="BIB124" s="896"/>
      <c r="BIC124" s="896"/>
      <c r="BID124" s="896"/>
      <c r="BIE124" s="896"/>
      <c r="BIF124" s="896"/>
      <c r="BIG124" s="896"/>
      <c r="BIH124" s="896"/>
      <c r="BII124" s="896"/>
      <c r="BIJ124" s="896"/>
      <c r="BIK124" s="896"/>
      <c r="BIL124" s="896"/>
      <c r="BIM124" s="896"/>
      <c r="BIN124" s="896"/>
      <c r="BIO124" s="896"/>
      <c r="BIP124" s="896"/>
      <c r="BIQ124" s="896"/>
      <c r="BIR124" s="896"/>
      <c r="BIS124" s="896"/>
      <c r="BIT124" s="896"/>
      <c r="BIU124" s="896"/>
      <c r="BIV124" s="896"/>
      <c r="BIW124" s="896"/>
      <c r="BIX124" s="896"/>
      <c r="BIY124" s="896"/>
      <c r="BIZ124" s="896"/>
      <c r="BJA124" s="896"/>
      <c r="BJB124" s="896"/>
      <c r="BJC124" s="896"/>
      <c r="BJD124" s="896"/>
      <c r="BJE124" s="896"/>
      <c r="BJF124" s="896"/>
      <c r="BJG124" s="896"/>
      <c r="BJH124" s="896"/>
      <c r="BJI124" s="896"/>
      <c r="BJJ124" s="896"/>
      <c r="BJK124" s="896"/>
      <c r="BJL124" s="896"/>
      <c r="BJM124" s="896"/>
      <c r="BJN124" s="896"/>
      <c r="BJO124" s="896"/>
      <c r="BJP124" s="896"/>
      <c r="BJQ124" s="896"/>
      <c r="BJR124" s="896"/>
      <c r="BJS124" s="896"/>
      <c r="BJT124" s="896"/>
      <c r="BJU124" s="896"/>
      <c r="BJV124" s="896"/>
      <c r="BJW124" s="896"/>
      <c r="BJX124" s="896"/>
      <c r="BJY124" s="896"/>
      <c r="BJZ124" s="896"/>
      <c r="BKA124" s="896"/>
      <c r="BKB124" s="896"/>
      <c r="BKC124" s="896"/>
      <c r="BKD124" s="896"/>
      <c r="BKE124" s="896"/>
      <c r="BKF124" s="896"/>
      <c r="BKG124" s="896"/>
      <c r="BKH124" s="896"/>
      <c r="BKI124" s="896"/>
      <c r="BKJ124" s="896"/>
      <c r="BKK124" s="896"/>
      <c r="BKL124" s="896"/>
      <c r="BKM124" s="896"/>
      <c r="BKN124" s="896"/>
      <c r="BKO124" s="896"/>
      <c r="BKP124" s="896"/>
      <c r="BKQ124" s="896"/>
      <c r="BKR124" s="896"/>
      <c r="BKS124" s="896"/>
      <c r="BKT124" s="896"/>
      <c r="BKU124" s="896"/>
      <c r="BKV124" s="896"/>
      <c r="BKW124" s="896"/>
      <c r="BKX124" s="896"/>
      <c r="BKY124" s="896"/>
      <c r="BKZ124" s="896"/>
      <c r="BLA124" s="896"/>
      <c r="BLB124" s="896"/>
      <c r="BLC124" s="896"/>
      <c r="BLD124" s="896"/>
      <c r="BLE124" s="896"/>
      <c r="BLF124" s="896"/>
      <c r="BLG124" s="896"/>
      <c r="BLH124" s="896"/>
      <c r="BLI124" s="896"/>
      <c r="BLJ124" s="896"/>
      <c r="BLK124" s="896"/>
      <c r="BLL124" s="896"/>
      <c r="BLM124" s="896"/>
      <c r="BLN124" s="896"/>
      <c r="BLO124" s="896"/>
      <c r="BLP124" s="896"/>
      <c r="BLQ124" s="896"/>
      <c r="BLR124" s="896"/>
      <c r="BLS124" s="896"/>
      <c r="BLT124" s="896"/>
      <c r="BLU124" s="896"/>
      <c r="BLV124" s="896"/>
      <c r="BLW124" s="896"/>
      <c r="BLX124" s="896"/>
      <c r="BLY124" s="896"/>
      <c r="BLZ124" s="896"/>
      <c r="BMA124" s="896"/>
      <c r="BMB124" s="896"/>
      <c r="BMC124" s="896"/>
      <c r="BMD124" s="896"/>
      <c r="BME124" s="896"/>
      <c r="BMF124" s="896"/>
      <c r="BMG124" s="896"/>
      <c r="BMH124" s="896"/>
      <c r="BMI124" s="896"/>
      <c r="BMJ124" s="896"/>
      <c r="BMK124" s="896"/>
      <c r="BML124" s="896"/>
      <c r="BMM124" s="896"/>
      <c r="BMN124" s="896"/>
      <c r="BMO124" s="896"/>
      <c r="BMP124" s="896"/>
      <c r="BMQ124" s="896"/>
      <c r="BMR124" s="896"/>
      <c r="BMS124" s="896"/>
      <c r="BMT124" s="896"/>
      <c r="BMU124" s="896"/>
      <c r="BMV124" s="896"/>
      <c r="BMW124" s="896"/>
      <c r="BMX124" s="896"/>
      <c r="BMY124" s="896"/>
      <c r="BMZ124" s="896"/>
      <c r="BNA124" s="896"/>
      <c r="BNB124" s="896"/>
      <c r="BNC124" s="896"/>
      <c r="BND124" s="896"/>
      <c r="BNE124" s="896"/>
      <c r="BNF124" s="896"/>
      <c r="BNG124" s="896"/>
      <c r="BNH124" s="896"/>
      <c r="BNI124" s="896"/>
      <c r="BNJ124" s="896"/>
      <c r="BNK124" s="896"/>
      <c r="BNL124" s="896"/>
      <c r="BNM124" s="896"/>
      <c r="BNN124" s="896"/>
      <c r="BNO124" s="896"/>
      <c r="BNP124" s="896"/>
      <c r="BNQ124" s="896"/>
      <c r="BNR124" s="896"/>
      <c r="BNS124" s="896"/>
      <c r="BNT124" s="896"/>
      <c r="BNU124" s="896"/>
      <c r="BNV124" s="896"/>
      <c r="BNW124" s="896"/>
      <c r="BNX124" s="896"/>
      <c r="BNY124" s="896"/>
      <c r="BNZ124" s="896"/>
      <c r="BOA124" s="896"/>
      <c r="BOB124" s="896"/>
      <c r="BOC124" s="896"/>
      <c r="BOD124" s="896"/>
      <c r="BOE124" s="896"/>
      <c r="BOF124" s="896"/>
      <c r="BOG124" s="896"/>
      <c r="BOH124" s="896"/>
      <c r="BOI124" s="896"/>
      <c r="BOJ124" s="896"/>
      <c r="BOK124" s="896"/>
      <c r="BOL124" s="896"/>
      <c r="BOM124" s="896"/>
      <c r="BON124" s="896"/>
      <c r="BOO124" s="896"/>
      <c r="BOP124" s="896"/>
      <c r="BOQ124" s="896"/>
      <c r="BOR124" s="896"/>
      <c r="BOS124" s="896"/>
      <c r="BOT124" s="896"/>
      <c r="BOU124" s="896"/>
      <c r="BOV124" s="896"/>
      <c r="BOW124" s="896"/>
      <c r="BOX124" s="896"/>
      <c r="BOY124" s="896"/>
      <c r="BOZ124" s="896"/>
      <c r="BPA124" s="896"/>
      <c r="BPB124" s="896"/>
      <c r="BPC124" s="896"/>
      <c r="BPD124" s="896"/>
      <c r="BPE124" s="896"/>
      <c r="BPF124" s="896"/>
      <c r="BPG124" s="896"/>
      <c r="BPH124" s="896"/>
      <c r="BPI124" s="896"/>
      <c r="BPJ124" s="896"/>
      <c r="BPK124" s="896"/>
      <c r="BPL124" s="896"/>
      <c r="BPM124" s="896"/>
      <c r="BPN124" s="896"/>
      <c r="BPO124" s="896"/>
      <c r="BPP124" s="896"/>
      <c r="BPQ124" s="896"/>
      <c r="BPR124" s="896"/>
      <c r="BPS124" s="896"/>
      <c r="BPT124" s="896"/>
      <c r="BPU124" s="896"/>
      <c r="BPV124" s="896"/>
    </row>
    <row r="125" spans="1:1790" s="665" customFormat="1" ht="43.15" hidden="1">
      <c r="A125" s="666" t="s">
        <v>521</v>
      </c>
      <c r="B125" s="369" t="s">
        <v>889</v>
      </c>
      <c r="C125" s="667" t="s">
        <v>1259</v>
      </c>
      <c r="D125" s="668" t="s">
        <v>783</v>
      </c>
      <c r="E125" s="668">
        <v>46129</v>
      </c>
      <c r="F125" s="670"/>
      <c r="G125" s="892" t="s">
        <v>1260</v>
      </c>
      <c r="H125" s="895" t="s">
        <v>928</v>
      </c>
      <c r="I125" s="900" t="s">
        <v>1174</v>
      </c>
      <c r="J125" s="896"/>
      <c r="K125" s="896"/>
      <c r="L125" s="896"/>
      <c r="M125" s="896"/>
      <c r="N125" s="896"/>
      <c r="O125" s="899"/>
      <c r="P125" s="899"/>
      <c r="Q125" s="899"/>
      <c r="R125" s="899"/>
      <c r="S125" s="899"/>
      <c r="T125" s="899"/>
      <c r="U125" s="899"/>
      <c r="V125" s="899"/>
      <c r="W125" s="899"/>
      <c r="X125" s="899"/>
      <c r="Y125" s="899"/>
      <c r="Z125" s="899"/>
      <c r="AA125" s="899"/>
      <c r="AB125" s="899"/>
      <c r="AC125" s="899"/>
      <c r="AD125" s="899"/>
      <c r="AE125" s="899"/>
      <c r="AF125" s="899"/>
      <c r="AG125" s="899"/>
      <c r="AH125" s="899"/>
      <c r="AI125" s="899"/>
      <c r="AJ125" s="899"/>
      <c r="AK125" s="899"/>
      <c r="AL125" s="899"/>
      <c r="AM125" s="899"/>
      <c r="AN125" s="899"/>
      <c r="AO125" s="899"/>
      <c r="AP125" s="899"/>
      <c r="AQ125" s="899"/>
      <c r="AR125" s="899"/>
      <c r="AS125" s="899"/>
      <c r="AT125" s="899"/>
      <c r="AU125" s="899"/>
      <c r="AV125" s="899"/>
      <c r="AW125" s="899"/>
      <c r="AX125" s="899"/>
      <c r="AY125" s="899"/>
      <c r="AZ125" s="899"/>
      <c r="BA125" s="899"/>
      <c r="BB125" s="899"/>
      <c r="BC125" s="899"/>
      <c r="BD125" s="899"/>
      <c r="BE125" s="899"/>
      <c r="BF125" s="899"/>
      <c r="BG125" s="899"/>
      <c r="BH125" s="899"/>
      <c r="BI125" s="899"/>
      <c r="BJ125" s="899"/>
      <c r="BK125" s="899"/>
      <c r="BL125" s="899"/>
      <c r="BM125" s="899"/>
      <c r="BN125" s="899"/>
      <c r="BO125" s="899"/>
      <c r="BP125" s="899"/>
      <c r="BQ125" s="899"/>
      <c r="BR125" s="899"/>
      <c r="BS125" s="899"/>
      <c r="BT125" s="899"/>
      <c r="BU125" s="899"/>
      <c r="BV125" s="899"/>
      <c r="BW125" s="899"/>
      <c r="BX125" s="899"/>
      <c r="BY125" s="899"/>
      <c r="BZ125" s="899"/>
      <c r="CA125" s="899"/>
      <c r="CB125" s="899"/>
      <c r="CC125" s="899"/>
      <c r="CD125" s="899"/>
      <c r="CE125" s="899"/>
      <c r="CF125" s="899"/>
      <c r="CG125" s="899"/>
      <c r="CH125" s="899"/>
      <c r="CI125" s="899"/>
      <c r="CJ125" s="899"/>
      <c r="CK125" s="899"/>
      <c r="CL125" s="899"/>
      <c r="CM125" s="899"/>
      <c r="CN125" s="899"/>
      <c r="CO125" s="899"/>
      <c r="CP125" s="899"/>
      <c r="CQ125" s="899"/>
      <c r="CR125" s="899"/>
      <c r="CS125" s="899"/>
      <c r="CT125" s="899"/>
      <c r="CU125" s="899"/>
      <c r="CV125" s="899"/>
      <c r="CW125" s="899"/>
      <c r="CX125" s="899"/>
      <c r="CY125" s="899"/>
      <c r="CZ125" s="899"/>
      <c r="DA125" s="899"/>
      <c r="DB125" s="899"/>
      <c r="DC125" s="899"/>
      <c r="DD125" s="899"/>
      <c r="DE125" s="899"/>
      <c r="DF125" s="899"/>
      <c r="DG125" s="899"/>
      <c r="DH125" s="899"/>
      <c r="DI125" s="899"/>
      <c r="DJ125" s="899"/>
      <c r="DK125" s="899"/>
      <c r="DL125" s="899"/>
      <c r="DM125" s="899"/>
      <c r="DN125" s="899"/>
      <c r="DO125" s="899"/>
      <c r="DP125" s="899"/>
      <c r="DQ125" s="899"/>
      <c r="DR125" s="899"/>
      <c r="DS125" s="899"/>
      <c r="DT125" s="899"/>
      <c r="DU125" s="899"/>
      <c r="DV125" s="899"/>
      <c r="DW125" s="899"/>
      <c r="DX125" s="899"/>
      <c r="DY125" s="899"/>
      <c r="DZ125" s="899"/>
      <c r="EA125" s="899"/>
      <c r="EB125" s="899"/>
      <c r="EC125" s="899"/>
      <c r="ED125" s="899"/>
      <c r="EE125" s="899"/>
      <c r="EF125" s="899"/>
      <c r="EG125" s="899"/>
      <c r="EH125" s="899"/>
      <c r="EI125" s="899"/>
      <c r="EJ125" s="899"/>
      <c r="EK125" s="899"/>
      <c r="EL125" s="899"/>
      <c r="EM125" s="899"/>
      <c r="EN125" s="899"/>
      <c r="EO125" s="899"/>
      <c r="EP125" s="899"/>
      <c r="EQ125" s="899"/>
      <c r="ER125" s="899"/>
      <c r="ES125" s="899"/>
      <c r="ET125" s="899"/>
      <c r="EU125" s="899"/>
      <c r="EV125" s="899"/>
      <c r="EW125" s="899"/>
      <c r="EX125" s="899"/>
      <c r="EY125" s="899"/>
      <c r="EZ125" s="899"/>
      <c r="FA125" s="899"/>
      <c r="FB125" s="899"/>
      <c r="FC125" s="899"/>
      <c r="FD125" s="899"/>
      <c r="FE125" s="899"/>
      <c r="FF125" s="899"/>
      <c r="FG125" s="899"/>
      <c r="FH125" s="899"/>
      <c r="FI125" s="899"/>
      <c r="FJ125" s="899"/>
      <c r="FK125" s="899"/>
      <c r="FL125" s="899"/>
      <c r="FM125" s="899"/>
      <c r="FN125" s="899"/>
      <c r="FO125" s="899"/>
      <c r="FP125" s="899"/>
      <c r="FQ125" s="899"/>
      <c r="FR125" s="899"/>
      <c r="FS125" s="899"/>
      <c r="FT125" s="899"/>
      <c r="FU125" s="899"/>
      <c r="FV125" s="899"/>
      <c r="FW125" s="899"/>
      <c r="FX125" s="899"/>
      <c r="FY125" s="899"/>
      <c r="FZ125" s="899"/>
      <c r="GA125" s="899"/>
      <c r="GB125" s="899"/>
      <c r="GC125" s="899"/>
      <c r="GD125" s="899"/>
      <c r="GE125" s="899"/>
      <c r="GF125" s="899"/>
      <c r="GG125" s="899"/>
      <c r="GH125" s="899"/>
      <c r="GI125" s="899"/>
      <c r="GJ125" s="899"/>
      <c r="GK125" s="899"/>
      <c r="GL125" s="899"/>
      <c r="GM125" s="899"/>
      <c r="GN125" s="899"/>
      <c r="GO125" s="899"/>
      <c r="GP125" s="899"/>
      <c r="GQ125" s="899"/>
      <c r="GR125" s="899"/>
      <c r="GS125" s="899"/>
      <c r="GT125" s="899"/>
      <c r="GU125" s="899"/>
      <c r="GV125" s="899"/>
      <c r="GW125" s="899"/>
      <c r="GX125" s="899"/>
      <c r="GY125" s="899"/>
      <c r="GZ125" s="899"/>
      <c r="HA125" s="899"/>
      <c r="HB125" s="899"/>
      <c r="HC125" s="899"/>
      <c r="HD125" s="899"/>
      <c r="HE125" s="899"/>
      <c r="HF125" s="899"/>
      <c r="HG125" s="899"/>
      <c r="HH125" s="899"/>
      <c r="HI125" s="899"/>
      <c r="HJ125" s="899"/>
      <c r="HK125" s="899"/>
      <c r="HL125" s="899"/>
      <c r="HM125" s="899"/>
      <c r="HN125" s="899"/>
      <c r="HO125" s="899"/>
      <c r="HP125" s="899"/>
      <c r="HQ125" s="899"/>
      <c r="HR125" s="899"/>
      <c r="HS125" s="899"/>
      <c r="HT125" s="899"/>
      <c r="HU125" s="899"/>
      <c r="HV125" s="899"/>
      <c r="HW125" s="899"/>
      <c r="HX125" s="899"/>
      <c r="HY125" s="899"/>
      <c r="HZ125" s="899"/>
      <c r="IA125" s="899"/>
      <c r="IB125" s="899"/>
      <c r="IC125" s="899"/>
      <c r="ID125" s="899"/>
      <c r="IE125" s="899"/>
      <c r="IF125" s="899"/>
      <c r="IG125" s="899"/>
      <c r="IH125" s="899"/>
      <c r="II125" s="899"/>
      <c r="IJ125" s="899"/>
      <c r="IK125" s="899"/>
      <c r="IL125" s="899"/>
      <c r="IM125" s="899"/>
      <c r="IN125" s="899"/>
      <c r="IO125" s="899"/>
      <c r="IP125" s="899"/>
      <c r="IQ125" s="899"/>
      <c r="IR125" s="899"/>
      <c r="IS125" s="899"/>
      <c r="IT125" s="899"/>
      <c r="IU125" s="899"/>
      <c r="IV125" s="899"/>
      <c r="IW125" s="899"/>
      <c r="IX125" s="899"/>
      <c r="IY125" s="899"/>
      <c r="IZ125" s="899"/>
      <c r="JA125" s="899"/>
      <c r="JB125" s="899"/>
      <c r="JC125" s="899"/>
      <c r="JD125" s="899"/>
      <c r="JE125" s="899"/>
      <c r="JF125" s="899"/>
      <c r="JG125" s="899"/>
      <c r="JH125" s="899"/>
      <c r="JI125" s="899"/>
      <c r="JJ125" s="899"/>
      <c r="JK125" s="899"/>
      <c r="JL125" s="899"/>
      <c r="JM125" s="899"/>
      <c r="JN125" s="899"/>
      <c r="JO125" s="899"/>
      <c r="JP125" s="899"/>
      <c r="JQ125" s="899"/>
      <c r="JR125" s="899"/>
      <c r="JS125" s="899"/>
      <c r="JT125" s="899"/>
      <c r="JU125" s="899"/>
      <c r="JV125" s="899"/>
      <c r="JW125" s="899"/>
      <c r="JX125" s="899"/>
      <c r="JY125" s="899"/>
      <c r="JZ125" s="899"/>
      <c r="KA125" s="899"/>
      <c r="KB125" s="899"/>
      <c r="KC125" s="899"/>
      <c r="KD125" s="899"/>
      <c r="KE125" s="899"/>
      <c r="KF125" s="899"/>
      <c r="KG125" s="899"/>
      <c r="KH125" s="899"/>
      <c r="KI125" s="899"/>
      <c r="KJ125" s="899"/>
      <c r="KK125" s="899"/>
      <c r="KL125" s="899"/>
      <c r="KM125" s="899"/>
      <c r="KN125" s="899"/>
      <c r="KO125" s="899"/>
      <c r="KP125" s="899"/>
      <c r="KQ125" s="899"/>
      <c r="KR125" s="899"/>
      <c r="KS125" s="899"/>
      <c r="KT125" s="899"/>
      <c r="KU125" s="899"/>
      <c r="KV125" s="899"/>
      <c r="KW125" s="899"/>
      <c r="KX125" s="899"/>
      <c r="KY125" s="899"/>
      <c r="KZ125" s="899"/>
      <c r="LA125" s="899"/>
      <c r="LB125" s="899"/>
      <c r="LC125" s="899"/>
      <c r="LD125" s="899"/>
      <c r="LE125" s="899"/>
      <c r="LF125" s="899"/>
      <c r="LG125" s="899"/>
      <c r="LH125" s="899"/>
      <c r="LI125" s="899"/>
      <c r="LJ125" s="899"/>
      <c r="LK125" s="899"/>
      <c r="LL125" s="899"/>
      <c r="LM125" s="899"/>
      <c r="LN125" s="899"/>
      <c r="LO125" s="899"/>
      <c r="LP125" s="899"/>
      <c r="LQ125" s="899"/>
      <c r="LR125" s="899"/>
      <c r="LS125" s="899"/>
      <c r="LT125" s="899"/>
      <c r="LU125" s="899"/>
      <c r="LV125" s="899"/>
      <c r="LW125" s="899"/>
      <c r="LX125" s="899"/>
      <c r="LY125" s="899"/>
      <c r="LZ125" s="899"/>
      <c r="MA125" s="899"/>
      <c r="MB125" s="899"/>
      <c r="MC125" s="899"/>
      <c r="MD125" s="899"/>
      <c r="ME125" s="899"/>
      <c r="MF125" s="899"/>
      <c r="MG125" s="899"/>
      <c r="MH125" s="899"/>
      <c r="MI125" s="899"/>
      <c r="MJ125" s="899"/>
      <c r="MK125" s="899"/>
      <c r="ML125" s="899"/>
      <c r="MM125" s="899"/>
      <c r="MN125" s="899"/>
      <c r="MO125" s="899"/>
      <c r="MP125" s="899"/>
      <c r="MQ125" s="899"/>
      <c r="MR125" s="899"/>
      <c r="MS125" s="899"/>
      <c r="MT125" s="899"/>
      <c r="MU125" s="899"/>
      <c r="MV125" s="899"/>
      <c r="MW125" s="899"/>
      <c r="MX125" s="899"/>
      <c r="MY125" s="899"/>
      <c r="MZ125" s="899"/>
      <c r="NA125" s="899"/>
      <c r="NB125" s="899"/>
      <c r="NC125" s="899"/>
      <c r="ND125" s="899"/>
      <c r="NE125" s="899"/>
      <c r="NF125" s="899"/>
      <c r="NG125" s="899"/>
      <c r="NH125" s="899"/>
      <c r="NI125" s="899"/>
      <c r="NJ125" s="899"/>
      <c r="NK125" s="899"/>
      <c r="NL125" s="899"/>
      <c r="NM125" s="899"/>
      <c r="NN125" s="899"/>
      <c r="NO125" s="899"/>
      <c r="NP125" s="899"/>
      <c r="NQ125" s="899"/>
      <c r="NR125" s="899"/>
      <c r="NS125" s="899"/>
      <c r="NT125" s="899"/>
      <c r="NU125" s="899"/>
      <c r="NV125" s="899"/>
      <c r="NW125" s="899"/>
      <c r="NX125" s="899"/>
      <c r="NY125" s="899"/>
      <c r="NZ125" s="899"/>
      <c r="OA125" s="899"/>
      <c r="OB125" s="899"/>
      <c r="OC125" s="899"/>
      <c r="OD125" s="899"/>
      <c r="OE125" s="899"/>
      <c r="OF125" s="899"/>
      <c r="OG125" s="899"/>
      <c r="OH125" s="899"/>
      <c r="OI125" s="899"/>
      <c r="OJ125" s="899"/>
      <c r="OK125" s="899"/>
      <c r="OL125" s="899"/>
      <c r="OM125" s="899"/>
      <c r="ON125" s="899"/>
      <c r="OO125" s="899"/>
      <c r="OP125" s="899"/>
      <c r="OQ125" s="899"/>
      <c r="OR125" s="899"/>
      <c r="OS125" s="899"/>
      <c r="OT125" s="899"/>
      <c r="OU125" s="899"/>
      <c r="OV125" s="899"/>
      <c r="OW125" s="899"/>
      <c r="OX125" s="899"/>
      <c r="OY125" s="899"/>
      <c r="OZ125" s="899"/>
      <c r="PA125" s="899"/>
      <c r="PB125" s="899"/>
      <c r="PC125" s="899"/>
      <c r="PD125" s="899"/>
      <c r="PE125" s="899"/>
      <c r="PF125" s="899"/>
      <c r="PG125" s="899"/>
      <c r="PH125" s="899"/>
      <c r="PI125" s="899"/>
      <c r="PJ125" s="899"/>
      <c r="PK125" s="899"/>
      <c r="PL125" s="899"/>
      <c r="PM125" s="899"/>
      <c r="PN125" s="899"/>
      <c r="PO125" s="899"/>
      <c r="PP125" s="899"/>
      <c r="PQ125" s="899"/>
      <c r="PR125" s="899"/>
      <c r="PS125" s="899"/>
      <c r="PT125" s="899"/>
      <c r="PU125" s="899"/>
      <c r="PV125" s="899"/>
      <c r="PW125" s="899"/>
      <c r="PX125" s="899"/>
      <c r="PY125" s="899"/>
      <c r="PZ125" s="899"/>
      <c r="QA125" s="899"/>
      <c r="QB125" s="899"/>
      <c r="QC125" s="899"/>
      <c r="QD125" s="899"/>
      <c r="QE125" s="899"/>
      <c r="QF125" s="899"/>
      <c r="QG125" s="899"/>
      <c r="QH125" s="899"/>
      <c r="QI125" s="899"/>
      <c r="QJ125" s="899"/>
      <c r="QK125" s="899"/>
      <c r="QL125" s="899"/>
      <c r="QM125" s="899"/>
      <c r="QN125" s="899"/>
      <c r="QO125" s="899"/>
      <c r="QP125" s="899"/>
      <c r="QQ125" s="899"/>
      <c r="QR125" s="899"/>
      <c r="QS125" s="899"/>
      <c r="QT125" s="899"/>
      <c r="QU125" s="899"/>
      <c r="QV125" s="899"/>
      <c r="QW125" s="899"/>
      <c r="QX125" s="899"/>
      <c r="QY125" s="899"/>
      <c r="QZ125" s="899"/>
      <c r="RA125" s="899"/>
      <c r="RB125" s="899"/>
      <c r="RC125" s="899"/>
      <c r="RD125" s="899"/>
      <c r="RE125" s="899"/>
      <c r="RF125" s="899"/>
      <c r="RG125" s="899"/>
      <c r="RH125" s="899"/>
      <c r="RI125" s="899"/>
      <c r="RJ125" s="899"/>
      <c r="RK125" s="899"/>
      <c r="RL125" s="899"/>
      <c r="RM125" s="899"/>
      <c r="RN125" s="899"/>
      <c r="RO125" s="899"/>
      <c r="RP125" s="899"/>
      <c r="RQ125" s="899"/>
      <c r="RR125" s="899"/>
      <c r="RS125" s="899"/>
      <c r="RT125" s="899"/>
      <c r="RU125" s="899"/>
      <c r="RV125" s="899"/>
      <c r="RW125" s="899"/>
      <c r="RX125" s="899"/>
      <c r="RY125" s="899"/>
      <c r="RZ125" s="899"/>
      <c r="SA125" s="899"/>
      <c r="SB125" s="899"/>
      <c r="SC125" s="899"/>
      <c r="SD125" s="899"/>
      <c r="SE125" s="899"/>
      <c r="SF125" s="899"/>
      <c r="SG125" s="899"/>
      <c r="SH125" s="899"/>
      <c r="SI125" s="899"/>
      <c r="SJ125" s="899"/>
      <c r="SK125" s="899"/>
      <c r="SL125" s="899"/>
      <c r="SM125" s="899"/>
      <c r="SN125" s="899"/>
      <c r="SO125" s="899"/>
      <c r="SP125" s="899"/>
      <c r="SQ125" s="899"/>
      <c r="SR125" s="899"/>
      <c r="SS125" s="899"/>
      <c r="ST125" s="899"/>
      <c r="SU125" s="899"/>
      <c r="SV125" s="899"/>
      <c r="SW125" s="899"/>
      <c r="SX125" s="899"/>
      <c r="SY125" s="899"/>
      <c r="SZ125" s="899"/>
      <c r="TA125" s="899"/>
      <c r="TB125" s="899"/>
      <c r="TC125" s="899"/>
      <c r="TD125" s="899"/>
      <c r="TE125" s="899"/>
      <c r="TF125" s="899"/>
      <c r="TG125" s="899"/>
      <c r="TH125" s="899"/>
      <c r="TI125" s="899"/>
      <c r="TJ125" s="899"/>
      <c r="TK125" s="899"/>
      <c r="TL125" s="899"/>
      <c r="TM125" s="899"/>
      <c r="TN125" s="899"/>
      <c r="TO125" s="899"/>
      <c r="TP125" s="899"/>
      <c r="TQ125" s="899"/>
      <c r="TR125" s="899"/>
      <c r="TS125" s="899"/>
      <c r="TT125" s="899"/>
      <c r="TU125" s="899"/>
      <c r="TV125" s="899"/>
      <c r="TW125" s="899"/>
      <c r="TX125" s="899"/>
      <c r="TY125" s="899"/>
      <c r="TZ125" s="899"/>
      <c r="UA125" s="899"/>
      <c r="UB125" s="899"/>
      <c r="UC125" s="899"/>
      <c r="UD125" s="899"/>
      <c r="UE125" s="899"/>
      <c r="UF125" s="899"/>
      <c r="UG125" s="899"/>
      <c r="UH125" s="899"/>
      <c r="UI125" s="899"/>
      <c r="UJ125" s="899"/>
      <c r="UK125" s="899"/>
      <c r="UL125" s="899"/>
      <c r="UM125" s="899"/>
      <c r="UN125" s="899"/>
      <c r="UO125" s="899"/>
      <c r="UP125" s="899"/>
      <c r="UQ125" s="899"/>
      <c r="UR125" s="899"/>
      <c r="US125" s="899"/>
      <c r="UT125" s="899"/>
      <c r="UU125" s="899"/>
      <c r="UV125" s="899"/>
      <c r="UW125" s="899"/>
      <c r="UX125" s="899"/>
      <c r="UY125" s="899"/>
      <c r="UZ125" s="899"/>
      <c r="VA125" s="899"/>
      <c r="VB125" s="899"/>
      <c r="VC125" s="899"/>
      <c r="VD125" s="899"/>
      <c r="VE125" s="899"/>
      <c r="VF125" s="899"/>
      <c r="VG125" s="899"/>
      <c r="VH125" s="899"/>
      <c r="VI125" s="899"/>
      <c r="VJ125" s="899"/>
      <c r="VK125" s="899"/>
      <c r="VL125" s="899"/>
      <c r="VM125" s="899"/>
      <c r="VN125" s="899"/>
      <c r="VO125" s="899"/>
      <c r="VP125" s="899"/>
      <c r="VQ125" s="899"/>
      <c r="VR125" s="899"/>
      <c r="VS125" s="899"/>
      <c r="VT125" s="899"/>
      <c r="VU125" s="899"/>
      <c r="VV125" s="899"/>
      <c r="VW125" s="899"/>
      <c r="VX125" s="899"/>
      <c r="VY125" s="899"/>
      <c r="VZ125" s="899"/>
      <c r="WA125" s="899"/>
      <c r="WB125" s="899"/>
      <c r="WC125" s="899"/>
      <c r="WD125" s="899"/>
      <c r="WE125" s="899"/>
      <c r="WF125" s="899"/>
      <c r="WG125" s="899"/>
      <c r="WH125" s="899"/>
      <c r="WI125" s="899"/>
      <c r="WJ125" s="899"/>
      <c r="WK125" s="899"/>
      <c r="WL125" s="899"/>
      <c r="WM125" s="899"/>
      <c r="WN125" s="899"/>
      <c r="WO125" s="899"/>
      <c r="WP125" s="899"/>
      <c r="WQ125" s="899"/>
      <c r="WR125" s="899"/>
      <c r="WS125" s="899"/>
      <c r="WT125" s="899"/>
      <c r="WU125" s="899"/>
      <c r="WV125" s="899"/>
      <c r="WW125" s="899"/>
      <c r="WX125" s="899"/>
      <c r="WY125" s="899"/>
      <c r="WZ125" s="899"/>
      <c r="XA125" s="899"/>
      <c r="XB125" s="899"/>
      <c r="XC125" s="899"/>
      <c r="XD125" s="899"/>
      <c r="XE125" s="899"/>
      <c r="XF125" s="899"/>
      <c r="XG125" s="899"/>
      <c r="XH125" s="899"/>
      <c r="XI125" s="899"/>
      <c r="XJ125" s="899"/>
      <c r="XK125" s="899"/>
      <c r="XL125" s="899"/>
      <c r="XM125" s="899"/>
      <c r="XN125" s="899"/>
      <c r="XO125" s="899"/>
      <c r="XP125" s="899"/>
      <c r="XQ125" s="899"/>
      <c r="XR125" s="899"/>
      <c r="XS125" s="899"/>
      <c r="XT125" s="899"/>
      <c r="XU125" s="899"/>
      <c r="XV125" s="899"/>
      <c r="XW125" s="899"/>
      <c r="XX125" s="899"/>
      <c r="XY125" s="899"/>
      <c r="XZ125" s="899"/>
      <c r="YA125" s="899"/>
      <c r="YB125" s="899"/>
      <c r="YC125" s="899"/>
      <c r="YD125" s="899"/>
      <c r="YE125" s="899"/>
      <c r="YF125" s="899"/>
      <c r="YG125" s="899"/>
      <c r="YH125" s="899"/>
      <c r="YI125" s="899"/>
      <c r="YJ125" s="899"/>
      <c r="YK125" s="899"/>
      <c r="YL125" s="899"/>
      <c r="YM125" s="899"/>
      <c r="YN125" s="899"/>
      <c r="YO125" s="899"/>
      <c r="YP125" s="899"/>
      <c r="YQ125" s="899"/>
      <c r="YR125" s="899"/>
      <c r="YS125" s="899"/>
      <c r="YT125" s="899"/>
      <c r="YU125" s="899"/>
      <c r="YV125" s="899"/>
      <c r="YW125" s="899"/>
      <c r="YX125" s="899"/>
      <c r="YY125" s="899"/>
      <c r="YZ125" s="899"/>
      <c r="ZA125" s="899"/>
      <c r="ZB125" s="899"/>
      <c r="ZC125" s="899"/>
      <c r="ZD125" s="899"/>
      <c r="ZE125" s="899"/>
      <c r="ZF125" s="899"/>
      <c r="ZG125" s="899"/>
      <c r="ZH125" s="899"/>
      <c r="ZI125" s="899"/>
      <c r="ZJ125" s="899"/>
      <c r="ZK125" s="899"/>
      <c r="ZL125" s="899"/>
      <c r="ZM125" s="899"/>
      <c r="ZN125" s="899"/>
      <c r="ZO125" s="899"/>
      <c r="ZP125" s="899"/>
      <c r="ZQ125" s="899"/>
      <c r="ZR125" s="899"/>
      <c r="ZS125" s="899"/>
      <c r="ZT125" s="899"/>
      <c r="ZU125" s="899"/>
      <c r="ZV125" s="899"/>
      <c r="ZW125" s="899"/>
      <c r="ZX125" s="899"/>
      <c r="ZY125" s="899"/>
      <c r="ZZ125" s="899"/>
      <c r="AAA125" s="899"/>
      <c r="AAB125" s="899"/>
      <c r="AAC125" s="899"/>
      <c r="AAD125" s="899"/>
      <c r="AAE125" s="899"/>
      <c r="AAF125" s="899"/>
      <c r="AAG125" s="899"/>
      <c r="AAH125" s="899"/>
      <c r="AAI125" s="899"/>
      <c r="AAJ125" s="899"/>
      <c r="AAK125" s="899"/>
      <c r="AAL125" s="899"/>
      <c r="AAM125" s="899"/>
      <c r="AAN125" s="899"/>
      <c r="AAO125" s="899"/>
      <c r="AAP125" s="899"/>
      <c r="AAQ125" s="899"/>
      <c r="AAR125" s="899"/>
      <c r="AAS125" s="899"/>
      <c r="AAT125" s="899"/>
      <c r="AAU125" s="899"/>
      <c r="AAV125" s="899"/>
      <c r="AAW125" s="899"/>
      <c r="AAX125" s="899"/>
      <c r="AAY125" s="899"/>
      <c r="AAZ125" s="899"/>
      <c r="ABA125" s="899"/>
      <c r="ABB125" s="899"/>
      <c r="ABC125" s="899"/>
      <c r="ABD125" s="899"/>
      <c r="ABE125" s="899"/>
      <c r="ABF125" s="899"/>
      <c r="ABG125" s="899"/>
      <c r="ABH125" s="899"/>
      <c r="ABI125" s="899"/>
      <c r="ABJ125" s="899"/>
      <c r="ABK125" s="899"/>
      <c r="ABL125" s="899"/>
      <c r="ABM125" s="899"/>
      <c r="ABN125" s="899"/>
      <c r="ABO125" s="899"/>
      <c r="ABP125" s="899"/>
      <c r="ABQ125" s="899"/>
      <c r="ABR125" s="899"/>
      <c r="ABS125" s="899"/>
      <c r="ABT125" s="899"/>
      <c r="ABU125" s="899"/>
      <c r="ABV125" s="899"/>
      <c r="ABW125" s="899"/>
      <c r="ABX125" s="899"/>
      <c r="ABY125" s="899"/>
      <c r="ABZ125" s="899"/>
      <c r="ACA125" s="899"/>
      <c r="ACB125" s="899"/>
      <c r="ACC125" s="899"/>
      <c r="ACD125" s="899"/>
      <c r="ACE125" s="899"/>
      <c r="ACF125" s="899"/>
      <c r="ACG125" s="899"/>
      <c r="ACH125" s="899"/>
      <c r="ACI125" s="899"/>
      <c r="ACJ125" s="899"/>
      <c r="ACK125" s="899"/>
      <c r="ACL125" s="899"/>
      <c r="ACM125" s="899"/>
      <c r="ACN125" s="899"/>
      <c r="ACO125" s="899"/>
      <c r="ACP125" s="899"/>
      <c r="ACQ125" s="899"/>
      <c r="ACR125" s="899"/>
      <c r="ACS125" s="899"/>
      <c r="ACT125" s="899"/>
      <c r="ACU125" s="899"/>
      <c r="ACV125" s="899"/>
      <c r="ACW125" s="899"/>
      <c r="ACX125" s="899"/>
      <c r="ACY125" s="899"/>
      <c r="ACZ125" s="899"/>
      <c r="ADA125" s="899"/>
      <c r="ADB125" s="899"/>
      <c r="ADC125" s="899"/>
      <c r="ADD125" s="899"/>
      <c r="ADE125" s="899"/>
      <c r="ADF125" s="899"/>
      <c r="ADG125" s="899"/>
      <c r="ADH125" s="899"/>
      <c r="ADI125" s="899"/>
      <c r="ADJ125" s="899"/>
      <c r="ADK125" s="899"/>
      <c r="ADL125" s="899"/>
      <c r="ADM125" s="899"/>
      <c r="ADN125" s="899"/>
      <c r="ADO125" s="899"/>
      <c r="ADP125" s="899"/>
      <c r="ADQ125" s="899"/>
      <c r="ADR125" s="899"/>
      <c r="ADS125" s="899"/>
      <c r="ADT125" s="899"/>
      <c r="ADU125" s="899"/>
      <c r="ADV125" s="899"/>
      <c r="ADW125" s="899"/>
      <c r="ADX125" s="899"/>
      <c r="ADY125" s="899"/>
      <c r="ADZ125" s="899"/>
      <c r="AEA125" s="899"/>
      <c r="AEB125" s="899"/>
      <c r="AEC125" s="899"/>
      <c r="AED125" s="899"/>
      <c r="AEE125" s="899"/>
      <c r="AEF125" s="899"/>
      <c r="AEG125" s="899"/>
      <c r="AEH125" s="899"/>
      <c r="AEI125" s="899"/>
      <c r="AEJ125" s="899"/>
      <c r="AEK125" s="899"/>
      <c r="AEL125" s="899"/>
      <c r="AEM125" s="899"/>
      <c r="AEN125" s="899"/>
      <c r="AEO125" s="899"/>
      <c r="AEP125" s="899"/>
      <c r="AEQ125" s="899"/>
      <c r="AER125" s="899"/>
      <c r="AES125" s="899"/>
      <c r="AET125" s="899"/>
      <c r="AEU125" s="899"/>
      <c r="AEV125" s="899"/>
      <c r="AEW125" s="899"/>
      <c r="AEX125" s="899"/>
      <c r="AEY125" s="899"/>
      <c r="AEZ125" s="899"/>
      <c r="AFA125" s="899"/>
      <c r="AFB125" s="899"/>
      <c r="AFC125" s="899"/>
      <c r="AFD125" s="899"/>
      <c r="AFE125" s="899"/>
      <c r="AFF125" s="899"/>
      <c r="AFG125" s="899"/>
      <c r="AFH125" s="899"/>
      <c r="AFI125" s="899"/>
      <c r="AFJ125" s="899"/>
      <c r="AFK125" s="899"/>
      <c r="AFL125" s="899"/>
      <c r="AFM125" s="899"/>
      <c r="AFN125" s="899"/>
      <c r="AFO125" s="899"/>
      <c r="AFP125" s="899"/>
      <c r="AFQ125" s="899"/>
      <c r="AFR125" s="899"/>
      <c r="AFS125" s="899"/>
      <c r="AFT125" s="899"/>
      <c r="AFU125" s="899"/>
      <c r="AFV125" s="899"/>
      <c r="AFW125" s="899"/>
      <c r="AFX125" s="899"/>
      <c r="AFY125" s="899"/>
      <c r="AFZ125" s="899"/>
      <c r="AGA125" s="899"/>
      <c r="AGB125" s="899"/>
      <c r="AGC125" s="899"/>
      <c r="AGD125" s="899"/>
      <c r="AGE125" s="899"/>
      <c r="AGF125" s="899"/>
      <c r="AGG125" s="899"/>
      <c r="AGH125" s="899"/>
      <c r="AGI125" s="899"/>
      <c r="AGJ125" s="899"/>
      <c r="AGK125" s="899"/>
      <c r="AGL125" s="899"/>
      <c r="AGM125" s="899"/>
      <c r="AGN125" s="899"/>
      <c r="AGO125" s="899"/>
      <c r="AGP125" s="899"/>
      <c r="AGQ125" s="899"/>
      <c r="AGR125" s="899"/>
      <c r="AGS125" s="899"/>
      <c r="AGT125" s="899"/>
      <c r="AGU125" s="899"/>
      <c r="AGV125" s="899"/>
      <c r="AGW125" s="899"/>
      <c r="AGX125" s="899"/>
      <c r="AGY125" s="899"/>
      <c r="AGZ125" s="899"/>
      <c r="AHA125" s="899"/>
      <c r="AHB125" s="899"/>
      <c r="AHC125" s="899"/>
      <c r="AHD125" s="899"/>
      <c r="AHE125" s="899"/>
      <c r="AHF125" s="899"/>
      <c r="AHG125" s="899"/>
      <c r="AHH125" s="899"/>
      <c r="AHI125" s="899"/>
      <c r="AHJ125" s="899"/>
      <c r="AHK125" s="899"/>
      <c r="AHL125" s="899"/>
      <c r="AHM125" s="899"/>
      <c r="AHN125" s="899"/>
      <c r="AHO125" s="899"/>
      <c r="AHP125" s="899"/>
      <c r="AHQ125" s="899"/>
      <c r="AHR125" s="899"/>
      <c r="AHS125" s="899"/>
      <c r="AHT125" s="899"/>
      <c r="AHU125" s="899"/>
      <c r="AHV125" s="899"/>
      <c r="AHW125" s="899"/>
      <c r="AHX125" s="899"/>
      <c r="AHY125" s="899"/>
      <c r="AHZ125" s="899"/>
      <c r="AIA125" s="899"/>
      <c r="AIB125" s="899"/>
      <c r="AIC125" s="899"/>
      <c r="AID125" s="899"/>
      <c r="AIE125" s="899"/>
      <c r="AIF125" s="899"/>
      <c r="AIG125" s="899"/>
      <c r="AIH125" s="899"/>
      <c r="AII125" s="899"/>
      <c r="AIJ125" s="899"/>
      <c r="AIK125" s="899"/>
      <c r="AIL125" s="899"/>
      <c r="AIM125" s="899"/>
      <c r="AIN125" s="899"/>
      <c r="AIO125" s="899"/>
      <c r="AIP125" s="899"/>
      <c r="AIQ125" s="899"/>
      <c r="AIR125" s="899"/>
      <c r="AIS125" s="899"/>
      <c r="AIT125" s="899"/>
      <c r="AIU125" s="899"/>
      <c r="AIV125" s="899"/>
      <c r="AIW125" s="899"/>
      <c r="AIX125" s="899"/>
      <c r="AIY125" s="899"/>
      <c r="AIZ125" s="899"/>
      <c r="AJA125" s="899"/>
      <c r="AJB125" s="899"/>
      <c r="AJC125" s="899"/>
      <c r="AJD125" s="899"/>
      <c r="AJE125" s="899"/>
      <c r="AJF125" s="899"/>
      <c r="AJG125" s="899"/>
      <c r="AJH125" s="899"/>
      <c r="AJI125" s="899"/>
      <c r="AJJ125" s="899"/>
      <c r="AJK125" s="899"/>
      <c r="AJL125" s="899"/>
      <c r="AJM125" s="899"/>
      <c r="AJN125" s="899"/>
      <c r="AJO125" s="899"/>
      <c r="AJP125" s="899"/>
      <c r="AJQ125" s="899"/>
      <c r="AJR125" s="899"/>
      <c r="AJS125" s="899"/>
      <c r="AJT125" s="899"/>
      <c r="AJU125" s="899"/>
      <c r="AJV125" s="899"/>
      <c r="AJW125" s="899"/>
      <c r="AJX125" s="899"/>
      <c r="AJY125" s="899"/>
      <c r="AJZ125" s="899"/>
      <c r="AKA125" s="899"/>
      <c r="AKB125" s="899"/>
      <c r="AKC125" s="899"/>
      <c r="AKD125" s="899"/>
      <c r="AKE125" s="899"/>
      <c r="AKF125" s="899"/>
      <c r="AKG125" s="899"/>
      <c r="AKH125" s="899"/>
      <c r="AKI125" s="899"/>
      <c r="AKJ125" s="899"/>
      <c r="AKK125" s="899"/>
      <c r="AKL125" s="899"/>
      <c r="AKM125" s="899"/>
      <c r="AKN125" s="899"/>
      <c r="AKO125" s="899"/>
      <c r="AKP125" s="899"/>
      <c r="AKQ125" s="899"/>
      <c r="AKR125" s="899"/>
      <c r="AKS125" s="899"/>
      <c r="AKT125" s="899"/>
      <c r="AKU125" s="899"/>
      <c r="AKV125" s="899"/>
      <c r="AKW125" s="899"/>
      <c r="AKX125" s="899"/>
      <c r="AKY125" s="899"/>
      <c r="AKZ125" s="899"/>
      <c r="ALA125" s="899"/>
      <c r="ALB125" s="899"/>
      <c r="ALC125" s="899"/>
      <c r="ALD125" s="899"/>
      <c r="ALE125" s="899"/>
      <c r="ALF125" s="899"/>
      <c r="ALG125" s="899"/>
      <c r="ALH125" s="899"/>
      <c r="ALI125" s="899"/>
      <c r="ALJ125" s="899"/>
      <c r="ALK125" s="899"/>
      <c r="ALL125" s="899"/>
      <c r="ALM125" s="899"/>
      <c r="ALN125" s="899"/>
      <c r="ALO125" s="899"/>
      <c r="ALP125" s="899"/>
      <c r="ALQ125" s="899"/>
      <c r="ALR125" s="899"/>
      <c r="ALS125" s="899"/>
      <c r="ALT125" s="899"/>
      <c r="ALU125" s="899"/>
      <c r="ALV125" s="899"/>
      <c r="ALW125" s="899"/>
      <c r="ALX125" s="899"/>
      <c r="ALY125" s="899"/>
      <c r="ALZ125" s="899"/>
      <c r="AMA125" s="899"/>
      <c r="AMB125" s="899"/>
      <c r="AMC125" s="899"/>
      <c r="AMD125" s="899"/>
      <c r="AME125" s="899"/>
      <c r="AMF125" s="899"/>
      <c r="AMG125" s="899"/>
      <c r="AMH125" s="899"/>
      <c r="AMI125" s="899"/>
      <c r="AMJ125" s="899"/>
      <c r="AMK125" s="899"/>
      <c r="AML125" s="899"/>
      <c r="AMM125" s="899"/>
      <c r="AMN125" s="899"/>
      <c r="AMO125" s="899"/>
      <c r="AMP125" s="899"/>
      <c r="AMQ125" s="899"/>
      <c r="AMR125" s="899"/>
      <c r="AMS125" s="899"/>
      <c r="AMT125" s="899"/>
      <c r="AMU125" s="899"/>
      <c r="AMV125" s="899"/>
      <c r="AMW125" s="899"/>
      <c r="AMX125" s="899"/>
      <c r="AMY125" s="899"/>
      <c r="AMZ125" s="899"/>
      <c r="ANA125" s="899"/>
      <c r="ANB125" s="899"/>
      <c r="ANC125" s="899"/>
      <c r="AND125" s="899"/>
      <c r="ANE125" s="899"/>
      <c r="ANF125" s="899"/>
      <c r="ANG125" s="899"/>
      <c r="ANH125" s="899"/>
      <c r="ANI125" s="899"/>
      <c r="ANJ125" s="899"/>
      <c r="ANK125" s="899"/>
      <c r="ANL125" s="899"/>
      <c r="ANM125" s="899"/>
      <c r="ANN125" s="899"/>
      <c r="ANO125" s="899"/>
      <c r="ANP125" s="899"/>
      <c r="ANQ125" s="899"/>
      <c r="ANR125" s="899"/>
      <c r="ANS125" s="899"/>
      <c r="ANT125" s="899"/>
      <c r="ANU125" s="899"/>
      <c r="ANV125" s="899"/>
      <c r="ANW125" s="899"/>
      <c r="ANX125" s="899"/>
      <c r="ANY125" s="899"/>
      <c r="ANZ125" s="899"/>
      <c r="AOA125" s="899"/>
      <c r="AOB125" s="899"/>
      <c r="AOC125" s="899"/>
      <c r="AOD125" s="899"/>
      <c r="AOE125" s="899"/>
      <c r="AOF125" s="899"/>
      <c r="AOG125" s="899"/>
      <c r="AOH125" s="899"/>
      <c r="AOI125" s="899"/>
      <c r="AOJ125" s="899"/>
      <c r="AOK125" s="899"/>
      <c r="AOL125" s="899"/>
      <c r="AOM125" s="899"/>
      <c r="AON125" s="899"/>
      <c r="AOO125" s="899"/>
      <c r="AOP125" s="899"/>
      <c r="AOQ125" s="899"/>
      <c r="AOR125" s="899"/>
      <c r="AOS125" s="899"/>
      <c r="AOT125" s="899"/>
      <c r="AOU125" s="899"/>
      <c r="AOV125" s="899"/>
      <c r="AOW125" s="899"/>
      <c r="AOX125" s="899"/>
      <c r="AOY125" s="899"/>
      <c r="AOZ125" s="899"/>
      <c r="APA125" s="899"/>
      <c r="APB125" s="899"/>
      <c r="APC125" s="899"/>
      <c r="APD125" s="899"/>
      <c r="APE125" s="899"/>
      <c r="APF125" s="899"/>
      <c r="APG125" s="899"/>
      <c r="APH125" s="899"/>
      <c r="API125" s="899"/>
      <c r="APJ125" s="899"/>
      <c r="APK125" s="899"/>
      <c r="APL125" s="899"/>
      <c r="APM125" s="899"/>
      <c r="APN125" s="899"/>
      <c r="APO125" s="899"/>
      <c r="APP125" s="899"/>
      <c r="APQ125" s="899"/>
      <c r="APR125" s="899"/>
      <c r="APS125" s="899"/>
      <c r="APT125" s="899"/>
      <c r="APU125" s="899"/>
      <c r="APV125" s="899"/>
      <c r="APW125" s="899"/>
      <c r="APX125" s="899"/>
      <c r="APY125" s="899"/>
      <c r="APZ125" s="899"/>
      <c r="AQA125" s="899"/>
      <c r="AQB125" s="899"/>
      <c r="AQC125" s="899"/>
      <c r="AQD125" s="899"/>
      <c r="AQE125" s="899"/>
      <c r="AQF125" s="899"/>
      <c r="AQG125" s="899"/>
      <c r="AQH125" s="899"/>
      <c r="AQI125" s="899"/>
      <c r="AQJ125" s="899"/>
      <c r="AQK125" s="899"/>
      <c r="AQL125" s="899"/>
      <c r="AQM125" s="899"/>
      <c r="AQN125" s="899"/>
      <c r="AQO125" s="899"/>
      <c r="AQP125" s="899"/>
      <c r="AQQ125" s="899"/>
      <c r="AQR125" s="899"/>
      <c r="AQS125" s="899"/>
      <c r="AQT125" s="899"/>
      <c r="AQU125" s="899"/>
      <c r="AQV125" s="899"/>
      <c r="AQW125" s="899"/>
      <c r="AQX125" s="899"/>
      <c r="AQY125" s="899"/>
      <c r="AQZ125" s="899"/>
      <c r="ARA125" s="899"/>
      <c r="ARB125" s="899"/>
      <c r="ARC125" s="899"/>
      <c r="ARD125" s="899"/>
      <c r="ARE125" s="899"/>
      <c r="ARF125" s="899"/>
      <c r="ARG125" s="899"/>
      <c r="ARH125" s="899"/>
      <c r="ARI125" s="899"/>
      <c r="ARJ125" s="899"/>
      <c r="ARK125" s="899"/>
      <c r="ARL125" s="899"/>
      <c r="ARM125" s="899"/>
      <c r="ARN125" s="899"/>
      <c r="ARO125" s="899"/>
      <c r="ARP125" s="899"/>
      <c r="ARQ125" s="899"/>
      <c r="ARR125" s="899"/>
      <c r="ARS125" s="899"/>
      <c r="ART125" s="899"/>
      <c r="ARU125" s="899"/>
      <c r="ARV125" s="899"/>
      <c r="ARW125" s="899"/>
      <c r="ARX125" s="899"/>
      <c r="ARY125" s="899"/>
      <c r="ARZ125" s="899"/>
      <c r="ASA125" s="899"/>
      <c r="ASB125" s="899"/>
      <c r="ASC125" s="899"/>
      <c r="ASD125" s="899"/>
      <c r="ASE125" s="899"/>
      <c r="ASF125" s="899"/>
      <c r="ASG125" s="899"/>
      <c r="ASH125" s="899"/>
      <c r="ASI125" s="899"/>
      <c r="ASJ125" s="899"/>
      <c r="ASK125" s="899"/>
      <c r="ASL125" s="899"/>
      <c r="ASM125" s="899"/>
      <c r="ASN125" s="899"/>
      <c r="ASO125" s="899"/>
      <c r="ASP125" s="899"/>
      <c r="ASQ125" s="899"/>
      <c r="ASR125" s="899"/>
      <c r="ASS125" s="899"/>
      <c r="AST125" s="899"/>
      <c r="ASU125" s="899"/>
      <c r="ASV125" s="899"/>
      <c r="ASW125" s="899"/>
      <c r="ASX125" s="899"/>
      <c r="ASY125" s="899"/>
      <c r="ASZ125" s="899"/>
      <c r="ATA125" s="899"/>
      <c r="ATB125" s="899"/>
      <c r="ATC125" s="899"/>
      <c r="ATD125" s="899"/>
      <c r="ATE125" s="899"/>
      <c r="ATF125" s="899"/>
      <c r="ATG125" s="899"/>
      <c r="ATH125" s="899"/>
      <c r="ATI125" s="899"/>
      <c r="ATJ125" s="899"/>
      <c r="ATK125" s="899"/>
      <c r="ATL125" s="899"/>
      <c r="ATM125" s="899"/>
      <c r="ATN125" s="899"/>
      <c r="ATO125" s="899"/>
      <c r="ATP125" s="899"/>
      <c r="ATQ125" s="899"/>
      <c r="ATR125" s="899"/>
      <c r="ATS125" s="899"/>
      <c r="ATT125" s="899"/>
      <c r="ATU125" s="899"/>
      <c r="ATV125" s="899"/>
      <c r="ATW125" s="899"/>
      <c r="ATX125" s="899"/>
      <c r="ATY125" s="899"/>
      <c r="ATZ125" s="899"/>
      <c r="AUA125" s="899"/>
      <c r="AUB125" s="899"/>
      <c r="AUC125" s="899"/>
      <c r="AUD125" s="899"/>
      <c r="AUE125" s="899"/>
      <c r="AUF125" s="899"/>
      <c r="AUG125" s="899"/>
      <c r="AUH125" s="899"/>
      <c r="AUI125" s="899"/>
      <c r="AUJ125" s="899"/>
      <c r="AUK125" s="899"/>
      <c r="AUL125" s="899"/>
      <c r="AUM125" s="899"/>
      <c r="AUN125" s="899"/>
      <c r="AUO125" s="899"/>
      <c r="AUP125" s="899"/>
      <c r="AUQ125" s="899"/>
      <c r="AUR125" s="899"/>
      <c r="AUS125" s="899"/>
      <c r="AUT125" s="899"/>
      <c r="AUU125" s="899"/>
      <c r="AUV125" s="899"/>
      <c r="AUW125" s="899"/>
      <c r="AUX125" s="899"/>
      <c r="AUY125" s="899"/>
      <c r="AUZ125" s="899"/>
      <c r="AVA125" s="899"/>
      <c r="AVB125" s="899"/>
      <c r="AVC125" s="899"/>
      <c r="AVD125" s="899"/>
      <c r="AVE125" s="899"/>
      <c r="AVF125" s="899"/>
      <c r="AVG125" s="899"/>
      <c r="AVH125" s="899"/>
      <c r="AVI125" s="899"/>
      <c r="AVJ125" s="899"/>
      <c r="AVK125" s="899"/>
      <c r="AVL125" s="899"/>
      <c r="AVM125" s="899"/>
      <c r="AVN125" s="899"/>
      <c r="AVO125" s="899"/>
      <c r="AVP125" s="899"/>
      <c r="AVQ125" s="899"/>
      <c r="AVR125" s="899"/>
      <c r="AVS125" s="899"/>
      <c r="AVT125" s="899"/>
      <c r="AVU125" s="899"/>
      <c r="AVV125" s="899"/>
      <c r="AVW125" s="899"/>
      <c r="AVX125" s="899"/>
      <c r="AVY125" s="899"/>
      <c r="AVZ125" s="899"/>
      <c r="AWA125" s="899"/>
      <c r="AWB125" s="899"/>
      <c r="AWC125" s="899"/>
      <c r="AWD125" s="899"/>
      <c r="AWE125" s="899"/>
      <c r="AWF125" s="899"/>
      <c r="AWG125" s="899"/>
      <c r="AWH125" s="899"/>
      <c r="AWI125" s="899"/>
      <c r="AWJ125" s="899"/>
      <c r="AWK125" s="899"/>
      <c r="AWL125" s="899"/>
      <c r="AWM125" s="899"/>
      <c r="AWN125" s="899"/>
      <c r="AWO125" s="899"/>
      <c r="AWP125" s="899"/>
      <c r="AWQ125" s="899"/>
      <c r="AWR125" s="899"/>
      <c r="AWS125" s="899"/>
      <c r="AWT125" s="899"/>
      <c r="AWU125" s="899"/>
      <c r="AWV125" s="899"/>
      <c r="AWW125" s="899"/>
      <c r="AWX125" s="899"/>
      <c r="AWY125" s="899"/>
      <c r="AWZ125" s="899"/>
      <c r="AXA125" s="899"/>
      <c r="AXB125" s="899"/>
      <c r="AXC125" s="899"/>
      <c r="AXD125" s="899"/>
      <c r="AXE125" s="899"/>
      <c r="AXF125" s="899"/>
      <c r="AXG125" s="899"/>
      <c r="AXH125" s="899"/>
      <c r="AXI125" s="899"/>
      <c r="AXJ125" s="899"/>
      <c r="AXK125" s="899"/>
      <c r="AXL125" s="899"/>
      <c r="AXM125" s="899"/>
      <c r="AXN125" s="899"/>
      <c r="AXO125" s="899"/>
      <c r="AXP125" s="899"/>
      <c r="AXQ125" s="899"/>
      <c r="AXR125" s="899"/>
      <c r="AXS125" s="899"/>
      <c r="AXT125" s="899"/>
      <c r="AXU125" s="899"/>
      <c r="AXV125" s="899"/>
      <c r="AXW125" s="899"/>
      <c r="AXX125" s="899"/>
      <c r="AXY125" s="899"/>
      <c r="AXZ125" s="899"/>
      <c r="AYA125" s="899"/>
      <c r="AYB125" s="899"/>
      <c r="AYC125" s="899"/>
      <c r="AYD125" s="899"/>
      <c r="AYE125" s="899"/>
      <c r="AYF125" s="899"/>
      <c r="AYG125" s="899"/>
      <c r="AYH125" s="899"/>
      <c r="AYI125" s="899"/>
      <c r="AYJ125" s="899"/>
      <c r="AYK125" s="899"/>
      <c r="AYL125" s="899"/>
      <c r="AYM125" s="899"/>
      <c r="AYN125" s="899"/>
      <c r="AYO125" s="899"/>
      <c r="AYP125" s="899"/>
      <c r="AYQ125" s="899"/>
      <c r="AYR125" s="899"/>
      <c r="AYS125" s="899"/>
      <c r="AYT125" s="899"/>
      <c r="AYU125" s="899"/>
      <c r="AYV125" s="899"/>
      <c r="AYW125" s="899"/>
      <c r="AYX125" s="899"/>
      <c r="AYY125" s="899"/>
      <c r="AYZ125" s="899"/>
      <c r="AZA125" s="899"/>
      <c r="AZB125" s="899"/>
      <c r="AZC125" s="899"/>
      <c r="AZD125" s="899"/>
      <c r="AZE125" s="899"/>
      <c r="AZF125" s="899"/>
      <c r="AZG125" s="899"/>
      <c r="AZH125" s="899"/>
      <c r="AZI125" s="899"/>
      <c r="AZJ125" s="899"/>
      <c r="AZK125" s="899"/>
      <c r="AZL125" s="899"/>
      <c r="AZM125" s="899"/>
      <c r="AZN125" s="899"/>
      <c r="AZO125" s="899"/>
      <c r="AZP125" s="899"/>
      <c r="AZQ125" s="899"/>
      <c r="AZR125" s="899"/>
      <c r="AZS125" s="899"/>
      <c r="AZT125" s="899"/>
      <c r="AZU125" s="899"/>
      <c r="AZV125" s="899"/>
      <c r="AZW125" s="899"/>
      <c r="AZX125" s="899"/>
      <c r="AZY125" s="899"/>
      <c r="AZZ125" s="899"/>
      <c r="BAA125" s="899"/>
      <c r="BAB125" s="899"/>
      <c r="BAC125" s="899"/>
      <c r="BAD125" s="899"/>
      <c r="BAE125" s="899"/>
      <c r="BAF125" s="899"/>
      <c r="BAG125" s="899"/>
      <c r="BAH125" s="899"/>
      <c r="BAI125" s="899"/>
      <c r="BAJ125" s="899"/>
      <c r="BAK125" s="899"/>
      <c r="BAL125" s="899"/>
      <c r="BAM125" s="899"/>
      <c r="BAN125" s="899"/>
      <c r="BAO125" s="899"/>
      <c r="BAP125" s="899"/>
      <c r="BAQ125" s="899"/>
      <c r="BAR125" s="899"/>
      <c r="BAS125" s="899"/>
      <c r="BAT125" s="899"/>
      <c r="BAU125" s="899"/>
      <c r="BAV125" s="899"/>
      <c r="BAW125" s="899"/>
      <c r="BAX125" s="899"/>
      <c r="BAY125" s="899"/>
      <c r="BAZ125" s="899"/>
      <c r="BBA125" s="899"/>
      <c r="BBB125" s="899"/>
      <c r="BBC125" s="899"/>
      <c r="BBD125" s="899"/>
      <c r="BBE125" s="899"/>
      <c r="BBF125" s="899"/>
      <c r="BBG125" s="899"/>
      <c r="BBH125" s="899"/>
      <c r="BBI125" s="899"/>
      <c r="BBJ125" s="899"/>
      <c r="BBK125" s="899"/>
      <c r="BBL125" s="899"/>
      <c r="BBM125" s="899"/>
      <c r="BBN125" s="899"/>
      <c r="BBO125" s="899"/>
      <c r="BBP125" s="899"/>
      <c r="BBQ125" s="899"/>
      <c r="BBR125" s="899"/>
      <c r="BBS125" s="899"/>
      <c r="BBT125" s="899"/>
      <c r="BBU125" s="899"/>
      <c r="BBV125" s="899"/>
      <c r="BBW125" s="899"/>
      <c r="BBX125" s="899"/>
      <c r="BBY125" s="899"/>
      <c r="BBZ125" s="899"/>
      <c r="BCA125" s="899"/>
      <c r="BCB125" s="899"/>
      <c r="BCC125" s="899"/>
      <c r="BCD125" s="899"/>
      <c r="BCE125" s="899"/>
      <c r="BCF125" s="899"/>
      <c r="BCG125" s="899"/>
      <c r="BCH125" s="899"/>
      <c r="BCI125" s="899"/>
      <c r="BCJ125" s="899"/>
      <c r="BCK125" s="899"/>
      <c r="BCL125" s="899"/>
      <c r="BCM125" s="899"/>
      <c r="BCN125" s="899"/>
      <c r="BCO125" s="899"/>
      <c r="BCP125" s="899"/>
      <c r="BCQ125" s="899"/>
      <c r="BCR125" s="899"/>
      <c r="BCS125" s="899"/>
      <c r="BCT125" s="899"/>
      <c r="BCU125" s="899"/>
      <c r="BCV125" s="899"/>
      <c r="BCW125" s="899"/>
      <c r="BCX125" s="899"/>
      <c r="BCY125" s="899"/>
      <c r="BCZ125" s="899"/>
      <c r="BDA125" s="899"/>
      <c r="BDB125" s="899"/>
      <c r="BDC125" s="899"/>
      <c r="BDD125" s="899"/>
      <c r="BDE125" s="899"/>
      <c r="BDF125" s="899"/>
      <c r="BDG125" s="899"/>
      <c r="BDH125" s="899"/>
      <c r="BDI125" s="899"/>
      <c r="BDJ125" s="899"/>
      <c r="BDK125" s="899"/>
      <c r="BDL125" s="899"/>
      <c r="BDM125" s="899"/>
      <c r="BDN125" s="899"/>
      <c r="BDO125" s="899"/>
      <c r="BDP125" s="899"/>
      <c r="BDQ125" s="899"/>
      <c r="BDR125" s="899"/>
      <c r="BDS125" s="899"/>
      <c r="BDT125" s="899"/>
      <c r="BDU125" s="899"/>
      <c r="BDV125" s="899"/>
      <c r="BDW125" s="899"/>
      <c r="BDX125" s="899"/>
      <c r="BDY125" s="899"/>
      <c r="BDZ125" s="899"/>
      <c r="BEA125" s="899"/>
      <c r="BEB125" s="899"/>
      <c r="BEC125" s="899"/>
      <c r="BED125" s="899"/>
      <c r="BEE125" s="899"/>
      <c r="BEF125" s="899"/>
      <c r="BEG125" s="899"/>
      <c r="BEH125" s="899"/>
      <c r="BEI125" s="899"/>
      <c r="BEJ125" s="899"/>
      <c r="BEK125" s="899"/>
      <c r="BEL125" s="899"/>
      <c r="BEM125" s="899"/>
      <c r="BEN125" s="899"/>
      <c r="BEO125" s="899"/>
      <c r="BEP125" s="899"/>
      <c r="BEQ125" s="899"/>
      <c r="BER125" s="899"/>
      <c r="BES125" s="899"/>
      <c r="BET125" s="899"/>
      <c r="BEU125" s="899"/>
      <c r="BEV125" s="899"/>
      <c r="BEW125" s="899"/>
      <c r="BEX125" s="899"/>
      <c r="BEY125" s="899"/>
      <c r="BEZ125" s="899"/>
      <c r="BFA125" s="899"/>
      <c r="BFB125" s="899"/>
      <c r="BFC125" s="899"/>
      <c r="BFD125" s="899"/>
      <c r="BFE125" s="899"/>
      <c r="BFF125" s="899"/>
      <c r="BFG125" s="899"/>
      <c r="BFH125" s="899"/>
      <c r="BFI125" s="899"/>
      <c r="BFJ125" s="899"/>
      <c r="BFK125" s="899"/>
      <c r="BFL125" s="899"/>
      <c r="BFM125" s="899"/>
      <c r="BFN125" s="899"/>
      <c r="BFO125" s="899"/>
      <c r="BFP125" s="899"/>
      <c r="BFQ125" s="899"/>
      <c r="BFR125" s="899"/>
      <c r="BFS125" s="899"/>
      <c r="BFT125" s="899"/>
      <c r="BFU125" s="899"/>
      <c r="BFV125" s="899"/>
      <c r="BFW125" s="899"/>
      <c r="BFX125" s="899"/>
      <c r="BFY125" s="899"/>
      <c r="BFZ125" s="899"/>
      <c r="BGA125" s="899"/>
      <c r="BGB125" s="899"/>
      <c r="BGC125" s="899"/>
      <c r="BGD125" s="899"/>
      <c r="BGE125" s="899"/>
      <c r="BGF125" s="899"/>
      <c r="BGG125" s="899"/>
      <c r="BGH125" s="899"/>
      <c r="BGI125" s="899"/>
      <c r="BGJ125" s="899"/>
      <c r="BGK125" s="899"/>
      <c r="BGL125" s="899"/>
      <c r="BGM125" s="899"/>
      <c r="BGN125" s="899"/>
      <c r="BGO125" s="899"/>
      <c r="BGP125" s="899"/>
      <c r="BGQ125" s="899"/>
      <c r="BGR125" s="899"/>
      <c r="BGS125" s="899"/>
      <c r="BGT125" s="899"/>
      <c r="BGU125" s="899"/>
      <c r="BGV125" s="899"/>
      <c r="BGW125" s="899"/>
      <c r="BGX125" s="899"/>
      <c r="BGY125" s="899"/>
      <c r="BGZ125" s="899"/>
      <c r="BHA125" s="899"/>
      <c r="BHB125" s="899"/>
      <c r="BHC125" s="899"/>
      <c r="BHD125" s="899"/>
      <c r="BHE125" s="899"/>
      <c r="BHF125" s="899"/>
      <c r="BHG125" s="899"/>
      <c r="BHH125" s="899"/>
      <c r="BHI125" s="899"/>
      <c r="BHJ125" s="899"/>
      <c r="BHK125" s="899"/>
      <c r="BHL125" s="899"/>
      <c r="BHM125" s="899"/>
      <c r="BHN125" s="899"/>
      <c r="BHO125" s="899"/>
      <c r="BHP125" s="899"/>
      <c r="BHQ125" s="899"/>
      <c r="BHR125" s="899"/>
      <c r="BHS125" s="899"/>
      <c r="BHT125" s="899"/>
      <c r="BHU125" s="899"/>
      <c r="BHV125" s="899"/>
      <c r="BHW125" s="899"/>
      <c r="BHX125" s="899"/>
      <c r="BHY125" s="899"/>
      <c r="BHZ125" s="899"/>
      <c r="BIA125" s="899"/>
      <c r="BIB125" s="899"/>
      <c r="BIC125" s="899"/>
      <c r="BID125" s="899"/>
      <c r="BIE125" s="899"/>
      <c r="BIF125" s="899"/>
      <c r="BIG125" s="899"/>
      <c r="BIH125" s="899"/>
      <c r="BII125" s="899"/>
      <c r="BIJ125" s="899"/>
      <c r="BIK125" s="899"/>
      <c r="BIL125" s="899"/>
      <c r="BIM125" s="899"/>
      <c r="BIN125" s="899"/>
      <c r="BIO125" s="899"/>
      <c r="BIP125" s="899"/>
      <c r="BIQ125" s="899"/>
      <c r="BIR125" s="899"/>
      <c r="BIS125" s="899"/>
      <c r="BIT125" s="899"/>
      <c r="BIU125" s="899"/>
      <c r="BIV125" s="899"/>
      <c r="BIW125" s="899"/>
      <c r="BIX125" s="899"/>
      <c r="BIY125" s="899"/>
      <c r="BIZ125" s="899"/>
      <c r="BJA125" s="899"/>
      <c r="BJB125" s="899"/>
      <c r="BJC125" s="899"/>
      <c r="BJD125" s="899"/>
      <c r="BJE125" s="899"/>
      <c r="BJF125" s="899"/>
      <c r="BJG125" s="899"/>
      <c r="BJH125" s="899"/>
      <c r="BJI125" s="899"/>
      <c r="BJJ125" s="899"/>
      <c r="BJK125" s="899"/>
      <c r="BJL125" s="899"/>
      <c r="BJM125" s="899"/>
      <c r="BJN125" s="899"/>
      <c r="BJO125" s="899"/>
      <c r="BJP125" s="899"/>
      <c r="BJQ125" s="899"/>
      <c r="BJR125" s="899"/>
      <c r="BJS125" s="899"/>
      <c r="BJT125" s="899"/>
      <c r="BJU125" s="899"/>
      <c r="BJV125" s="899"/>
      <c r="BJW125" s="899"/>
      <c r="BJX125" s="899"/>
      <c r="BJY125" s="899"/>
      <c r="BJZ125" s="899"/>
      <c r="BKA125" s="899"/>
      <c r="BKB125" s="899"/>
      <c r="BKC125" s="899"/>
      <c r="BKD125" s="899"/>
      <c r="BKE125" s="899"/>
      <c r="BKF125" s="899"/>
      <c r="BKG125" s="899"/>
      <c r="BKH125" s="899"/>
      <c r="BKI125" s="899"/>
      <c r="BKJ125" s="899"/>
      <c r="BKK125" s="899"/>
      <c r="BKL125" s="899"/>
      <c r="BKM125" s="899"/>
      <c r="BKN125" s="899"/>
      <c r="BKO125" s="899"/>
      <c r="BKP125" s="899"/>
      <c r="BKQ125" s="899"/>
      <c r="BKR125" s="899"/>
      <c r="BKS125" s="899"/>
      <c r="BKT125" s="899"/>
      <c r="BKU125" s="899"/>
      <c r="BKV125" s="899"/>
      <c r="BKW125" s="899"/>
      <c r="BKX125" s="899"/>
      <c r="BKY125" s="899"/>
      <c r="BKZ125" s="899"/>
      <c r="BLA125" s="899"/>
      <c r="BLB125" s="899"/>
      <c r="BLC125" s="899"/>
      <c r="BLD125" s="899"/>
      <c r="BLE125" s="899"/>
      <c r="BLF125" s="899"/>
      <c r="BLG125" s="899"/>
      <c r="BLH125" s="899"/>
      <c r="BLI125" s="899"/>
      <c r="BLJ125" s="899"/>
      <c r="BLK125" s="899"/>
      <c r="BLL125" s="899"/>
      <c r="BLM125" s="899"/>
      <c r="BLN125" s="899"/>
      <c r="BLO125" s="899"/>
      <c r="BLP125" s="899"/>
      <c r="BLQ125" s="899"/>
      <c r="BLR125" s="899"/>
      <c r="BLS125" s="899"/>
      <c r="BLT125" s="899"/>
      <c r="BLU125" s="899"/>
      <c r="BLV125" s="899"/>
      <c r="BLW125" s="899"/>
      <c r="BLX125" s="899"/>
      <c r="BLY125" s="899"/>
      <c r="BLZ125" s="899"/>
      <c r="BMA125" s="899"/>
      <c r="BMB125" s="899"/>
      <c r="BMC125" s="899"/>
      <c r="BMD125" s="899"/>
      <c r="BME125" s="899"/>
      <c r="BMF125" s="899"/>
      <c r="BMG125" s="899"/>
      <c r="BMH125" s="899"/>
      <c r="BMI125" s="899"/>
      <c r="BMJ125" s="899"/>
      <c r="BMK125" s="899"/>
      <c r="BML125" s="899"/>
      <c r="BMM125" s="899"/>
      <c r="BMN125" s="899"/>
      <c r="BMO125" s="899"/>
      <c r="BMP125" s="899"/>
      <c r="BMQ125" s="899"/>
      <c r="BMR125" s="899"/>
      <c r="BMS125" s="899"/>
      <c r="BMT125" s="899"/>
      <c r="BMU125" s="899"/>
      <c r="BMV125" s="899"/>
      <c r="BMW125" s="899"/>
      <c r="BMX125" s="899"/>
      <c r="BMY125" s="899"/>
      <c r="BMZ125" s="899"/>
      <c r="BNA125" s="899"/>
      <c r="BNB125" s="899"/>
      <c r="BNC125" s="899"/>
      <c r="BND125" s="899"/>
      <c r="BNE125" s="899"/>
      <c r="BNF125" s="899"/>
      <c r="BNG125" s="899"/>
      <c r="BNH125" s="899"/>
      <c r="BNI125" s="899"/>
      <c r="BNJ125" s="899"/>
      <c r="BNK125" s="899"/>
      <c r="BNL125" s="899"/>
      <c r="BNM125" s="899"/>
      <c r="BNN125" s="899"/>
      <c r="BNO125" s="899"/>
      <c r="BNP125" s="899"/>
      <c r="BNQ125" s="899"/>
      <c r="BNR125" s="899"/>
      <c r="BNS125" s="899"/>
      <c r="BNT125" s="899"/>
      <c r="BNU125" s="899"/>
      <c r="BNV125" s="899"/>
      <c r="BNW125" s="899"/>
      <c r="BNX125" s="899"/>
      <c r="BNY125" s="899"/>
      <c r="BNZ125" s="899"/>
      <c r="BOA125" s="899"/>
      <c r="BOB125" s="899"/>
      <c r="BOC125" s="899"/>
      <c r="BOD125" s="899"/>
      <c r="BOE125" s="899"/>
      <c r="BOF125" s="899"/>
      <c r="BOG125" s="899"/>
      <c r="BOH125" s="899"/>
      <c r="BOI125" s="899"/>
      <c r="BOJ125" s="899"/>
      <c r="BOK125" s="899"/>
      <c r="BOL125" s="899"/>
      <c r="BOM125" s="899"/>
      <c r="BON125" s="899"/>
      <c r="BOO125" s="899"/>
      <c r="BOP125" s="899"/>
      <c r="BOQ125" s="899"/>
      <c r="BOR125" s="899"/>
      <c r="BOS125" s="899"/>
      <c r="BOT125" s="899"/>
      <c r="BOU125" s="899"/>
      <c r="BOV125" s="899"/>
      <c r="BOW125" s="899"/>
      <c r="BOX125" s="899"/>
      <c r="BOY125" s="899"/>
      <c r="BOZ125" s="899"/>
      <c r="BPA125" s="899"/>
      <c r="BPB125" s="899"/>
      <c r="BPC125" s="899"/>
      <c r="BPD125" s="899"/>
      <c r="BPE125" s="899"/>
      <c r="BPF125" s="899"/>
      <c r="BPG125" s="899"/>
      <c r="BPH125" s="899"/>
      <c r="BPI125" s="899"/>
      <c r="BPJ125" s="899"/>
      <c r="BPK125" s="899"/>
      <c r="BPL125" s="899"/>
      <c r="BPM125" s="899"/>
      <c r="BPN125" s="899"/>
      <c r="BPO125" s="899"/>
      <c r="BPP125" s="899"/>
      <c r="BPQ125" s="899"/>
      <c r="BPR125" s="899"/>
      <c r="BPS125" s="899"/>
      <c r="BPT125" s="899"/>
      <c r="BPU125" s="899"/>
      <c r="BPV125" s="899"/>
    </row>
    <row r="126" spans="1:1790" s="665" customFormat="1" ht="43.15" hidden="1">
      <c r="A126" s="666" t="s">
        <v>700</v>
      </c>
      <c r="B126" s="369" t="s">
        <v>889</v>
      </c>
      <c r="C126" s="667" t="s">
        <v>1261</v>
      </c>
      <c r="D126" s="668" t="s">
        <v>1262</v>
      </c>
      <c r="E126" s="668" t="s">
        <v>1263</v>
      </c>
      <c r="F126" s="671"/>
      <c r="G126" s="892" t="s">
        <v>1264</v>
      </c>
      <c r="H126" s="894" t="s">
        <v>700</v>
      </c>
      <c r="I126" s="895" t="s">
        <v>1174</v>
      </c>
      <c r="J126" s="896"/>
      <c r="K126" s="896"/>
      <c r="L126" s="896"/>
      <c r="M126" s="896"/>
      <c r="N126" s="664"/>
      <c r="O126" s="664"/>
      <c r="P126" s="688"/>
      <c r="Q126" s="689"/>
      <c r="R126" s="689"/>
      <c r="S126" s="897"/>
      <c r="T126" s="898"/>
      <c r="U126" s="898"/>
      <c r="V126" s="896"/>
      <c r="W126" s="896"/>
      <c r="X126" s="896"/>
      <c r="Y126" s="896"/>
      <c r="Z126" s="896"/>
      <c r="AA126" s="899"/>
      <c r="AB126" s="899"/>
      <c r="AC126" s="899"/>
      <c r="AD126" s="899"/>
      <c r="AE126" s="899"/>
      <c r="AF126" s="899"/>
      <c r="AG126" s="899"/>
      <c r="AH126" s="899"/>
      <c r="AI126" s="899"/>
      <c r="AJ126" s="899"/>
      <c r="AK126" s="899"/>
      <c r="AL126" s="899"/>
      <c r="AM126" s="899"/>
      <c r="AN126" s="899"/>
      <c r="AO126" s="899"/>
      <c r="AP126" s="899"/>
      <c r="AQ126" s="899"/>
      <c r="AR126" s="899"/>
      <c r="AS126" s="899"/>
      <c r="AT126" s="899"/>
      <c r="AU126" s="899"/>
      <c r="AV126" s="899"/>
      <c r="AW126" s="899"/>
      <c r="AX126" s="899"/>
      <c r="AY126" s="899"/>
      <c r="AZ126" s="899"/>
      <c r="BA126" s="899"/>
      <c r="BB126" s="899"/>
      <c r="BC126" s="899"/>
      <c r="BD126" s="899"/>
      <c r="BE126" s="899"/>
      <c r="BF126" s="899"/>
      <c r="BG126" s="899"/>
      <c r="BH126" s="899"/>
      <c r="BI126" s="899"/>
      <c r="BJ126" s="899"/>
      <c r="BK126" s="899"/>
      <c r="BL126" s="899"/>
      <c r="BM126" s="899"/>
      <c r="BN126" s="899"/>
      <c r="BO126" s="899"/>
      <c r="BP126" s="899"/>
      <c r="BQ126" s="899"/>
      <c r="BR126" s="899"/>
      <c r="BS126" s="899"/>
      <c r="BT126" s="899"/>
      <c r="BU126" s="899"/>
      <c r="BV126" s="899"/>
      <c r="BW126" s="899"/>
      <c r="BX126" s="899"/>
      <c r="BY126" s="899"/>
      <c r="BZ126" s="899"/>
      <c r="CA126" s="899"/>
      <c r="CB126" s="899"/>
      <c r="CC126" s="899"/>
      <c r="CD126" s="899"/>
      <c r="CE126" s="899"/>
      <c r="CF126" s="899"/>
      <c r="CG126" s="899"/>
      <c r="CH126" s="899"/>
      <c r="CI126" s="899"/>
      <c r="CJ126" s="899"/>
      <c r="CK126" s="899"/>
      <c r="CL126" s="899"/>
      <c r="CM126" s="899"/>
      <c r="CN126" s="899"/>
      <c r="CO126" s="899"/>
      <c r="CP126" s="899"/>
      <c r="CQ126" s="899"/>
      <c r="CR126" s="899"/>
      <c r="CS126" s="899"/>
      <c r="CT126" s="899"/>
      <c r="CU126" s="899"/>
      <c r="CV126" s="899"/>
      <c r="CW126" s="899"/>
      <c r="CX126" s="899"/>
      <c r="CY126" s="899"/>
      <c r="CZ126" s="899"/>
      <c r="DA126" s="899"/>
      <c r="DB126" s="899"/>
      <c r="DC126" s="899"/>
      <c r="DD126" s="899"/>
      <c r="DE126" s="899"/>
      <c r="DF126" s="899"/>
      <c r="DG126" s="899"/>
      <c r="DH126" s="899"/>
      <c r="DI126" s="899"/>
      <c r="DJ126" s="899"/>
      <c r="DK126" s="899"/>
      <c r="DL126" s="899"/>
      <c r="DM126" s="899"/>
      <c r="DN126" s="899"/>
      <c r="DO126" s="899"/>
      <c r="DP126" s="899"/>
      <c r="DQ126" s="899"/>
      <c r="DR126" s="899"/>
      <c r="DS126" s="899"/>
      <c r="DT126" s="899"/>
      <c r="DU126" s="899"/>
      <c r="DV126" s="899"/>
      <c r="DW126" s="899"/>
      <c r="DX126" s="899"/>
      <c r="DY126" s="899"/>
      <c r="DZ126" s="899"/>
      <c r="EA126" s="899"/>
      <c r="EB126" s="899"/>
      <c r="EC126" s="899"/>
      <c r="ED126" s="899"/>
      <c r="EE126" s="899"/>
      <c r="EF126" s="899"/>
      <c r="EG126" s="899"/>
      <c r="EH126" s="899"/>
      <c r="EI126" s="899"/>
      <c r="EJ126" s="899"/>
      <c r="EK126" s="899"/>
      <c r="EL126" s="899"/>
      <c r="EM126" s="899"/>
      <c r="EN126" s="899"/>
      <c r="EO126" s="899"/>
      <c r="EP126" s="899"/>
      <c r="EQ126" s="899"/>
      <c r="ER126" s="899"/>
      <c r="ES126" s="899"/>
      <c r="ET126" s="899"/>
      <c r="EU126" s="899"/>
      <c r="EV126" s="899"/>
      <c r="EW126" s="899"/>
      <c r="EX126" s="899"/>
      <c r="EY126" s="899"/>
      <c r="EZ126" s="899"/>
      <c r="FA126" s="899"/>
      <c r="FB126" s="899"/>
      <c r="FC126" s="899"/>
      <c r="FD126" s="899"/>
      <c r="FE126" s="899"/>
      <c r="FF126" s="899"/>
      <c r="FG126" s="899"/>
      <c r="FH126" s="899"/>
      <c r="FI126" s="899"/>
      <c r="FJ126" s="899"/>
      <c r="FK126" s="899"/>
      <c r="FL126" s="899"/>
      <c r="FM126" s="899"/>
      <c r="FN126" s="899"/>
      <c r="FO126" s="899"/>
      <c r="FP126" s="899"/>
      <c r="FQ126" s="899"/>
      <c r="FR126" s="899"/>
      <c r="FS126" s="899"/>
      <c r="FT126" s="899"/>
      <c r="FU126" s="899"/>
      <c r="FV126" s="899"/>
      <c r="FW126" s="899"/>
      <c r="FX126" s="899"/>
      <c r="FY126" s="899"/>
      <c r="FZ126" s="899"/>
      <c r="GA126" s="899"/>
      <c r="GB126" s="899"/>
      <c r="GC126" s="899"/>
      <c r="GD126" s="899"/>
      <c r="GE126" s="899"/>
      <c r="GF126" s="899"/>
      <c r="GG126" s="899"/>
      <c r="GH126" s="899"/>
      <c r="GI126" s="899"/>
      <c r="GJ126" s="899"/>
      <c r="GK126" s="899"/>
      <c r="GL126" s="899"/>
      <c r="GM126" s="899"/>
      <c r="GN126" s="899"/>
      <c r="GO126" s="899"/>
      <c r="GP126" s="899"/>
      <c r="GQ126" s="899"/>
      <c r="GR126" s="899"/>
      <c r="GS126" s="899"/>
      <c r="GT126" s="899"/>
      <c r="GU126" s="899"/>
      <c r="GV126" s="899"/>
      <c r="GW126" s="899"/>
      <c r="GX126" s="899"/>
      <c r="GY126" s="899"/>
      <c r="GZ126" s="899"/>
      <c r="HA126" s="899"/>
      <c r="HB126" s="899"/>
      <c r="HC126" s="899"/>
      <c r="HD126" s="899"/>
      <c r="HE126" s="899"/>
      <c r="HF126" s="899"/>
      <c r="HG126" s="899"/>
      <c r="HH126" s="899"/>
      <c r="HI126" s="899"/>
      <c r="HJ126" s="899"/>
      <c r="HK126" s="899"/>
      <c r="HL126" s="899"/>
      <c r="HM126" s="899"/>
      <c r="HN126" s="899"/>
      <c r="HO126" s="899"/>
      <c r="HP126" s="899"/>
      <c r="HQ126" s="899"/>
      <c r="HR126" s="899"/>
      <c r="HS126" s="899"/>
      <c r="HT126" s="899"/>
      <c r="HU126" s="899"/>
      <c r="HV126" s="899"/>
      <c r="HW126" s="899"/>
      <c r="HX126" s="899"/>
      <c r="HY126" s="899"/>
      <c r="HZ126" s="899"/>
      <c r="IA126" s="899"/>
      <c r="IB126" s="899"/>
      <c r="IC126" s="899"/>
      <c r="ID126" s="899"/>
      <c r="IE126" s="899"/>
      <c r="IF126" s="899"/>
      <c r="IG126" s="899"/>
      <c r="IH126" s="899"/>
      <c r="II126" s="899"/>
      <c r="IJ126" s="899"/>
      <c r="IK126" s="899"/>
      <c r="IL126" s="899"/>
      <c r="IM126" s="899"/>
      <c r="IN126" s="899"/>
      <c r="IO126" s="899"/>
      <c r="IP126" s="899"/>
      <c r="IQ126" s="899"/>
      <c r="IR126" s="899"/>
      <c r="IS126" s="899"/>
      <c r="IT126" s="899"/>
      <c r="IU126" s="899"/>
      <c r="IV126" s="899"/>
      <c r="IW126" s="899"/>
      <c r="IX126" s="899"/>
      <c r="IY126" s="899"/>
      <c r="IZ126" s="899"/>
      <c r="JA126" s="899"/>
      <c r="JB126" s="899"/>
      <c r="JC126" s="899"/>
      <c r="JD126" s="899"/>
      <c r="JE126" s="899"/>
      <c r="JF126" s="899"/>
      <c r="JG126" s="899"/>
      <c r="JH126" s="899"/>
      <c r="JI126" s="899"/>
      <c r="JJ126" s="899"/>
      <c r="JK126" s="899"/>
      <c r="JL126" s="899"/>
      <c r="JM126" s="899"/>
      <c r="JN126" s="899"/>
      <c r="JO126" s="899"/>
      <c r="JP126" s="899"/>
      <c r="JQ126" s="899"/>
      <c r="JR126" s="899"/>
      <c r="JS126" s="899"/>
      <c r="JT126" s="899"/>
      <c r="JU126" s="899"/>
      <c r="JV126" s="899"/>
      <c r="JW126" s="899"/>
      <c r="JX126" s="899"/>
      <c r="JY126" s="899"/>
      <c r="JZ126" s="899"/>
      <c r="KA126" s="899"/>
      <c r="KB126" s="899"/>
      <c r="KC126" s="899"/>
      <c r="KD126" s="899"/>
      <c r="KE126" s="899"/>
      <c r="KF126" s="899"/>
      <c r="KG126" s="899"/>
      <c r="KH126" s="899"/>
      <c r="KI126" s="899"/>
      <c r="KJ126" s="899"/>
      <c r="KK126" s="899"/>
      <c r="KL126" s="899"/>
      <c r="KM126" s="899"/>
      <c r="KN126" s="899"/>
      <c r="KO126" s="899"/>
      <c r="KP126" s="899"/>
      <c r="KQ126" s="899"/>
      <c r="KR126" s="899"/>
      <c r="KS126" s="899"/>
      <c r="KT126" s="899"/>
      <c r="KU126" s="899"/>
      <c r="KV126" s="899"/>
      <c r="KW126" s="899"/>
      <c r="KX126" s="899"/>
      <c r="KY126" s="899"/>
      <c r="KZ126" s="899"/>
      <c r="LA126" s="899"/>
      <c r="LB126" s="899"/>
      <c r="LC126" s="899"/>
      <c r="LD126" s="899"/>
      <c r="LE126" s="899"/>
      <c r="LF126" s="899"/>
      <c r="LG126" s="899"/>
      <c r="LH126" s="899"/>
      <c r="LI126" s="899"/>
      <c r="LJ126" s="899"/>
      <c r="LK126" s="899"/>
      <c r="LL126" s="899"/>
      <c r="LM126" s="899"/>
      <c r="LN126" s="899"/>
      <c r="LO126" s="899"/>
      <c r="LP126" s="899"/>
      <c r="LQ126" s="899"/>
      <c r="LR126" s="899"/>
      <c r="LS126" s="899"/>
      <c r="LT126" s="899"/>
      <c r="LU126" s="899"/>
      <c r="LV126" s="899"/>
      <c r="LW126" s="899"/>
      <c r="LX126" s="899"/>
      <c r="LY126" s="899"/>
      <c r="LZ126" s="899"/>
      <c r="MA126" s="899"/>
      <c r="MB126" s="899"/>
      <c r="MC126" s="899"/>
      <c r="MD126" s="899"/>
      <c r="ME126" s="899"/>
      <c r="MF126" s="899"/>
      <c r="MG126" s="899"/>
      <c r="MH126" s="899"/>
      <c r="MI126" s="899"/>
      <c r="MJ126" s="899"/>
      <c r="MK126" s="899"/>
      <c r="ML126" s="899"/>
      <c r="MM126" s="899"/>
      <c r="MN126" s="899"/>
      <c r="MO126" s="899"/>
      <c r="MP126" s="899"/>
      <c r="MQ126" s="899"/>
      <c r="MR126" s="899"/>
      <c r="MS126" s="899"/>
      <c r="MT126" s="899"/>
      <c r="MU126" s="899"/>
      <c r="MV126" s="899"/>
      <c r="MW126" s="899"/>
      <c r="MX126" s="899"/>
      <c r="MY126" s="899"/>
      <c r="MZ126" s="899"/>
      <c r="NA126" s="899"/>
      <c r="NB126" s="899"/>
      <c r="NC126" s="899"/>
      <c r="ND126" s="899"/>
      <c r="NE126" s="899"/>
      <c r="NF126" s="899"/>
      <c r="NG126" s="899"/>
      <c r="NH126" s="899"/>
      <c r="NI126" s="899"/>
      <c r="NJ126" s="899"/>
      <c r="NK126" s="899"/>
      <c r="NL126" s="899"/>
      <c r="NM126" s="899"/>
      <c r="NN126" s="899"/>
      <c r="NO126" s="899"/>
      <c r="NP126" s="899"/>
      <c r="NQ126" s="899"/>
      <c r="NR126" s="899"/>
      <c r="NS126" s="899"/>
      <c r="NT126" s="899"/>
      <c r="NU126" s="899"/>
      <c r="NV126" s="899"/>
      <c r="NW126" s="899"/>
      <c r="NX126" s="899"/>
      <c r="NY126" s="899"/>
      <c r="NZ126" s="899"/>
      <c r="OA126" s="899"/>
      <c r="OB126" s="899"/>
      <c r="OC126" s="899"/>
      <c r="OD126" s="899"/>
      <c r="OE126" s="899"/>
      <c r="OF126" s="899"/>
      <c r="OG126" s="899"/>
      <c r="OH126" s="899"/>
      <c r="OI126" s="899"/>
      <c r="OJ126" s="899"/>
      <c r="OK126" s="899"/>
      <c r="OL126" s="899"/>
      <c r="OM126" s="899"/>
      <c r="ON126" s="899"/>
      <c r="OO126" s="899"/>
      <c r="OP126" s="899"/>
      <c r="OQ126" s="899"/>
      <c r="OR126" s="899"/>
      <c r="OS126" s="899"/>
      <c r="OT126" s="899"/>
      <c r="OU126" s="899"/>
      <c r="OV126" s="899"/>
      <c r="OW126" s="899"/>
      <c r="OX126" s="899"/>
      <c r="OY126" s="899"/>
      <c r="OZ126" s="899"/>
      <c r="PA126" s="899"/>
      <c r="PB126" s="899"/>
      <c r="PC126" s="899"/>
      <c r="PD126" s="899"/>
      <c r="PE126" s="899"/>
      <c r="PF126" s="899"/>
      <c r="PG126" s="899"/>
      <c r="PH126" s="899"/>
      <c r="PI126" s="899"/>
      <c r="PJ126" s="899"/>
      <c r="PK126" s="899"/>
      <c r="PL126" s="899"/>
      <c r="PM126" s="899"/>
      <c r="PN126" s="899"/>
      <c r="PO126" s="899"/>
      <c r="PP126" s="899"/>
      <c r="PQ126" s="899"/>
      <c r="PR126" s="899"/>
      <c r="PS126" s="899"/>
      <c r="PT126" s="899"/>
      <c r="PU126" s="899"/>
      <c r="PV126" s="899"/>
      <c r="PW126" s="899"/>
      <c r="PX126" s="899"/>
      <c r="PY126" s="899"/>
      <c r="PZ126" s="899"/>
      <c r="QA126" s="899"/>
      <c r="QB126" s="899"/>
      <c r="QC126" s="899"/>
      <c r="QD126" s="899"/>
      <c r="QE126" s="899"/>
      <c r="QF126" s="899"/>
      <c r="QG126" s="899"/>
      <c r="QH126" s="899"/>
      <c r="QI126" s="899"/>
      <c r="QJ126" s="899"/>
      <c r="QK126" s="899"/>
      <c r="QL126" s="899"/>
      <c r="QM126" s="899"/>
      <c r="QN126" s="899"/>
      <c r="QO126" s="899"/>
      <c r="QP126" s="899"/>
      <c r="QQ126" s="899"/>
      <c r="QR126" s="899"/>
      <c r="QS126" s="899"/>
      <c r="QT126" s="899"/>
      <c r="QU126" s="899"/>
      <c r="QV126" s="899"/>
      <c r="QW126" s="899"/>
      <c r="QX126" s="899"/>
      <c r="QY126" s="899"/>
      <c r="QZ126" s="899"/>
      <c r="RA126" s="899"/>
      <c r="RB126" s="899"/>
      <c r="RC126" s="899"/>
      <c r="RD126" s="899"/>
      <c r="RE126" s="899"/>
      <c r="RF126" s="899"/>
      <c r="RG126" s="899"/>
      <c r="RH126" s="899"/>
      <c r="RI126" s="899"/>
      <c r="RJ126" s="899"/>
      <c r="RK126" s="899"/>
      <c r="RL126" s="899"/>
      <c r="RM126" s="899"/>
      <c r="RN126" s="899"/>
      <c r="RO126" s="899"/>
      <c r="RP126" s="899"/>
      <c r="RQ126" s="899"/>
      <c r="RR126" s="899"/>
      <c r="RS126" s="899"/>
      <c r="RT126" s="899"/>
      <c r="RU126" s="899"/>
      <c r="RV126" s="899"/>
      <c r="RW126" s="899"/>
      <c r="RX126" s="899"/>
      <c r="RY126" s="899"/>
      <c r="RZ126" s="899"/>
      <c r="SA126" s="899"/>
      <c r="SB126" s="899"/>
      <c r="SC126" s="899"/>
      <c r="SD126" s="899"/>
      <c r="SE126" s="899"/>
      <c r="SF126" s="899"/>
      <c r="SG126" s="899"/>
      <c r="SH126" s="899"/>
      <c r="SI126" s="899"/>
      <c r="SJ126" s="899"/>
      <c r="SK126" s="899"/>
      <c r="SL126" s="899"/>
      <c r="SM126" s="899"/>
      <c r="SN126" s="899"/>
      <c r="SO126" s="899"/>
      <c r="SP126" s="899"/>
      <c r="SQ126" s="899"/>
      <c r="SR126" s="899"/>
      <c r="SS126" s="899"/>
      <c r="ST126" s="899"/>
      <c r="SU126" s="899"/>
      <c r="SV126" s="899"/>
      <c r="SW126" s="899"/>
      <c r="SX126" s="899"/>
      <c r="SY126" s="899"/>
      <c r="SZ126" s="899"/>
      <c r="TA126" s="899"/>
      <c r="TB126" s="899"/>
      <c r="TC126" s="899"/>
      <c r="TD126" s="899"/>
      <c r="TE126" s="899"/>
      <c r="TF126" s="899"/>
      <c r="TG126" s="899"/>
      <c r="TH126" s="899"/>
      <c r="TI126" s="899"/>
      <c r="TJ126" s="899"/>
      <c r="TK126" s="899"/>
      <c r="TL126" s="899"/>
      <c r="TM126" s="899"/>
      <c r="TN126" s="899"/>
      <c r="TO126" s="899"/>
      <c r="TP126" s="899"/>
      <c r="TQ126" s="899"/>
      <c r="TR126" s="899"/>
      <c r="TS126" s="899"/>
      <c r="TT126" s="899"/>
      <c r="TU126" s="899"/>
      <c r="TV126" s="899"/>
      <c r="TW126" s="899"/>
      <c r="TX126" s="899"/>
      <c r="TY126" s="899"/>
      <c r="TZ126" s="899"/>
      <c r="UA126" s="899"/>
      <c r="UB126" s="899"/>
      <c r="UC126" s="899"/>
      <c r="UD126" s="899"/>
      <c r="UE126" s="899"/>
      <c r="UF126" s="899"/>
      <c r="UG126" s="899"/>
      <c r="UH126" s="899"/>
      <c r="UI126" s="899"/>
      <c r="UJ126" s="899"/>
      <c r="UK126" s="899"/>
      <c r="UL126" s="899"/>
      <c r="UM126" s="899"/>
      <c r="UN126" s="899"/>
      <c r="UO126" s="899"/>
      <c r="UP126" s="899"/>
      <c r="UQ126" s="899"/>
      <c r="UR126" s="899"/>
      <c r="US126" s="899"/>
      <c r="UT126" s="899"/>
      <c r="UU126" s="899"/>
      <c r="UV126" s="899"/>
      <c r="UW126" s="899"/>
      <c r="UX126" s="899"/>
      <c r="UY126" s="899"/>
      <c r="UZ126" s="899"/>
      <c r="VA126" s="899"/>
      <c r="VB126" s="899"/>
      <c r="VC126" s="899"/>
      <c r="VD126" s="899"/>
      <c r="VE126" s="899"/>
      <c r="VF126" s="899"/>
      <c r="VG126" s="899"/>
      <c r="VH126" s="899"/>
      <c r="VI126" s="899"/>
      <c r="VJ126" s="899"/>
      <c r="VK126" s="899"/>
      <c r="VL126" s="899"/>
      <c r="VM126" s="899"/>
      <c r="VN126" s="899"/>
      <c r="VO126" s="899"/>
      <c r="VP126" s="899"/>
      <c r="VQ126" s="899"/>
      <c r="VR126" s="899"/>
      <c r="VS126" s="899"/>
      <c r="VT126" s="899"/>
      <c r="VU126" s="899"/>
      <c r="VV126" s="899"/>
      <c r="VW126" s="899"/>
      <c r="VX126" s="899"/>
      <c r="VY126" s="899"/>
      <c r="VZ126" s="899"/>
      <c r="WA126" s="899"/>
      <c r="WB126" s="899"/>
      <c r="WC126" s="899"/>
      <c r="WD126" s="899"/>
      <c r="WE126" s="899"/>
      <c r="WF126" s="899"/>
      <c r="WG126" s="899"/>
      <c r="WH126" s="899"/>
      <c r="WI126" s="899"/>
      <c r="WJ126" s="899"/>
      <c r="WK126" s="899"/>
      <c r="WL126" s="899"/>
      <c r="WM126" s="899"/>
      <c r="WN126" s="899"/>
      <c r="WO126" s="899"/>
      <c r="WP126" s="899"/>
      <c r="WQ126" s="899"/>
      <c r="WR126" s="899"/>
      <c r="WS126" s="899"/>
      <c r="WT126" s="899"/>
      <c r="WU126" s="899"/>
      <c r="WV126" s="899"/>
      <c r="WW126" s="899"/>
      <c r="WX126" s="899"/>
      <c r="WY126" s="899"/>
      <c r="WZ126" s="899"/>
      <c r="XA126" s="899"/>
      <c r="XB126" s="899"/>
      <c r="XC126" s="899"/>
      <c r="XD126" s="899"/>
      <c r="XE126" s="899"/>
      <c r="XF126" s="899"/>
      <c r="XG126" s="899"/>
      <c r="XH126" s="899"/>
      <c r="XI126" s="899"/>
      <c r="XJ126" s="899"/>
      <c r="XK126" s="899"/>
      <c r="XL126" s="899"/>
      <c r="XM126" s="899"/>
      <c r="XN126" s="899"/>
      <c r="XO126" s="899"/>
      <c r="XP126" s="899"/>
      <c r="XQ126" s="899"/>
      <c r="XR126" s="899"/>
      <c r="XS126" s="899"/>
      <c r="XT126" s="899"/>
      <c r="XU126" s="899"/>
      <c r="XV126" s="899"/>
      <c r="XW126" s="899"/>
      <c r="XX126" s="899"/>
      <c r="XY126" s="899"/>
      <c r="XZ126" s="899"/>
      <c r="YA126" s="899"/>
      <c r="YB126" s="899"/>
      <c r="YC126" s="899"/>
      <c r="YD126" s="899"/>
      <c r="YE126" s="899"/>
      <c r="YF126" s="899"/>
      <c r="YG126" s="899"/>
      <c r="YH126" s="899"/>
      <c r="YI126" s="899"/>
      <c r="YJ126" s="899"/>
      <c r="YK126" s="899"/>
      <c r="YL126" s="899"/>
      <c r="YM126" s="899"/>
      <c r="YN126" s="899"/>
      <c r="YO126" s="899"/>
      <c r="YP126" s="899"/>
      <c r="YQ126" s="899"/>
      <c r="YR126" s="899"/>
      <c r="YS126" s="899"/>
      <c r="YT126" s="899"/>
      <c r="YU126" s="899"/>
      <c r="YV126" s="899"/>
      <c r="YW126" s="899"/>
      <c r="YX126" s="899"/>
      <c r="YY126" s="899"/>
      <c r="YZ126" s="899"/>
      <c r="ZA126" s="899"/>
      <c r="ZB126" s="899"/>
      <c r="ZC126" s="899"/>
      <c r="ZD126" s="899"/>
      <c r="ZE126" s="899"/>
      <c r="ZF126" s="899"/>
      <c r="ZG126" s="899"/>
      <c r="ZH126" s="899"/>
      <c r="ZI126" s="899"/>
      <c r="ZJ126" s="899"/>
      <c r="ZK126" s="899"/>
      <c r="ZL126" s="899"/>
      <c r="ZM126" s="899"/>
      <c r="ZN126" s="899"/>
      <c r="ZO126" s="899"/>
      <c r="ZP126" s="899"/>
      <c r="ZQ126" s="899"/>
      <c r="ZR126" s="899"/>
      <c r="ZS126" s="899"/>
      <c r="ZT126" s="899"/>
      <c r="ZU126" s="899"/>
      <c r="ZV126" s="899"/>
      <c r="ZW126" s="899"/>
      <c r="ZX126" s="899"/>
      <c r="ZY126" s="899"/>
      <c r="ZZ126" s="899"/>
      <c r="AAA126" s="899"/>
      <c r="AAB126" s="899"/>
      <c r="AAC126" s="899"/>
      <c r="AAD126" s="899"/>
      <c r="AAE126" s="899"/>
      <c r="AAF126" s="899"/>
      <c r="AAG126" s="899"/>
      <c r="AAH126" s="899"/>
      <c r="AAI126" s="899"/>
      <c r="AAJ126" s="899"/>
      <c r="AAK126" s="899"/>
      <c r="AAL126" s="899"/>
      <c r="AAM126" s="899"/>
      <c r="AAN126" s="899"/>
      <c r="AAO126" s="899"/>
      <c r="AAP126" s="899"/>
      <c r="AAQ126" s="899"/>
      <c r="AAR126" s="899"/>
      <c r="AAS126" s="899"/>
      <c r="AAT126" s="899"/>
      <c r="AAU126" s="899"/>
      <c r="AAV126" s="899"/>
      <c r="AAW126" s="899"/>
      <c r="AAX126" s="899"/>
      <c r="AAY126" s="899"/>
      <c r="AAZ126" s="899"/>
      <c r="ABA126" s="899"/>
      <c r="ABB126" s="899"/>
      <c r="ABC126" s="899"/>
      <c r="ABD126" s="899"/>
      <c r="ABE126" s="899"/>
      <c r="ABF126" s="899"/>
      <c r="ABG126" s="899"/>
      <c r="ABH126" s="899"/>
      <c r="ABI126" s="899"/>
      <c r="ABJ126" s="899"/>
      <c r="ABK126" s="899"/>
      <c r="ABL126" s="899"/>
      <c r="ABM126" s="899"/>
      <c r="ABN126" s="899"/>
      <c r="ABO126" s="899"/>
      <c r="ABP126" s="899"/>
      <c r="ABQ126" s="899"/>
      <c r="ABR126" s="899"/>
      <c r="ABS126" s="899"/>
      <c r="ABT126" s="899"/>
      <c r="ABU126" s="899"/>
      <c r="ABV126" s="899"/>
      <c r="ABW126" s="899"/>
      <c r="ABX126" s="899"/>
      <c r="ABY126" s="899"/>
      <c r="ABZ126" s="899"/>
      <c r="ACA126" s="899"/>
      <c r="ACB126" s="899"/>
      <c r="ACC126" s="899"/>
      <c r="ACD126" s="899"/>
      <c r="ACE126" s="899"/>
      <c r="ACF126" s="899"/>
      <c r="ACG126" s="899"/>
      <c r="ACH126" s="899"/>
      <c r="ACI126" s="899"/>
      <c r="ACJ126" s="899"/>
      <c r="ACK126" s="899"/>
      <c r="ACL126" s="899"/>
      <c r="ACM126" s="899"/>
      <c r="ACN126" s="899"/>
      <c r="ACO126" s="899"/>
      <c r="ACP126" s="899"/>
      <c r="ACQ126" s="899"/>
      <c r="ACR126" s="899"/>
      <c r="ACS126" s="899"/>
      <c r="ACT126" s="899"/>
      <c r="ACU126" s="899"/>
      <c r="ACV126" s="899"/>
      <c r="ACW126" s="899"/>
      <c r="ACX126" s="899"/>
      <c r="ACY126" s="899"/>
      <c r="ACZ126" s="899"/>
      <c r="ADA126" s="899"/>
      <c r="ADB126" s="899"/>
      <c r="ADC126" s="899"/>
      <c r="ADD126" s="899"/>
      <c r="ADE126" s="899"/>
      <c r="ADF126" s="899"/>
      <c r="ADG126" s="899"/>
      <c r="ADH126" s="899"/>
      <c r="ADI126" s="899"/>
      <c r="ADJ126" s="899"/>
      <c r="ADK126" s="899"/>
      <c r="ADL126" s="899"/>
      <c r="ADM126" s="899"/>
      <c r="ADN126" s="899"/>
      <c r="ADO126" s="899"/>
      <c r="ADP126" s="899"/>
      <c r="ADQ126" s="899"/>
      <c r="ADR126" s="899"/>
      <c r="ADS126" s="899"/>
      <c r="ADT126" s="899"/>
      <c r="ADU126" s="899"/>
      <c r="ADV126" s="899"/>
      <c r="ADW126" s="899"/>
      <c r="ADX126" s="899"/>
      <c r="ADY126" s="899"/>
      <c r="ADZ126" s="899"/>
      <c r="AEA126" s="899"/>
      <c r="AEB126" s="899"/>
      <c r="AEC126" s="899"/>
      <c r="AED126" s="899"/>
      <c r="AEE126" s="899"/>
      <c r="AEF126" s="899"/>
      <c r="AEG126" s="899"/>
      <c r="AEH126" s="899"/>
      <c r="AEI126" s="899"/>
      <c r="AEJ126" s="899"/>
      <c r="AEK126" s="899"/>
      <c r="AEL126" s="899"/>
      <c r="AEM126" s="899"/>
      <c r="AEN126" s="899"/>
      <c r="AEO126" s="899"/>
      <c r="AEP126" s="899"/>
      <c r="AEQ126" s="899"/>
      <c r="AER126" s="899"/>
      <c r="AES126" s="899"/>
      <c r="AET126" s="899"/>
      <c r="AEU126" s="899"/>
      <c r="AEV126" s="899"/>
      <c r="AEW126" s="899"/>
      <c r="AEX126" s="899"/>
      <c r="AEY126" s="899"/>
      <c r="AEZ126" s="899"/>
      <c r="AFA126" s="899"/>
      <c r="AFB126" s="899"/>
      <c r="AFC126" s="899"/>
      <c r="AFD126" s="899"/>
      <c r="AFE126" s="899"/>
      <c r="AFF126" s="899"/>
      <c r="AFG126" s="899"/>
      <c r="AFH126" s="899"/>
      <c r="AFI126" s="899"/>
      <c r="AFJ126" s="899"/>
      <c r="AFK126" s="899"/>
      <c r="AFL126" s="899"/>
      <c r="AFM126" s="899"/>
      <c r="AFN126" s="899"/>
      <c r="AFO126" s="899"/>
      <c r="AFP126" s="899"/>
      <c r="AFQ126" s="899"/>
      <c r="AFR126" s="899"/>
      <c r="AFS126" s="899"/>
      <c r="AFT126" s="899"/>
      <c r="AFU126" s="899"/>
      <c r="AFV126" s="899"/>
      <c r="AFW126" s="899"/>
      <c r="AFX126" s="899"/>
      <c r="AFY126" s="899"/>
      <c r="AFZ126" s="899"/>
      <c r="AGA126" s="899"/>
      <c r="AGB126" s="899"/>
      <c r="AGC126" s="899"/>
      <c r="AGD126" s="899"/>
      <c r="AGE126" s="899"/>
      <c r="AGF126" s="899"/>
      <c r="AGG126" s="899"/>
      <c r="AGH126" s="899"/>
      <c r="AGI126" s="899"/>
      <c r="AGJ126" s="899"/>
      <c r="AGK126" s="899"/>
      <c r="AGL126" s="899"/>
      <c r="AGM126" s="899"/>
      <c r="AGN126" s="899"/>
      <c r="AGO126" s="899"/>
      <c r="AGP126" s="899"/>
      <c r="AGQ126" s="899"/>
      <c r="AGR126" s="899"/>
      <c r="AGS126" s="899"/>
      <c r="AGT126" s="899"/>
      <c r="AGU126" s="899"/>
      <c r="AGV126" s="899"/>
      <c r="AGW126" s="899"/>
      <c r="AGX126" s="899"/>
      <c r="AGY126" s="899"/>
      <c r="AGZ126" s="899"/>
      <c r="AHA126" s="899"/>
      <c r="AHB126" s="899"/>
      <c r="AHC126" s="899"/>
      <c r="AHD126" s="899"/>
      <c r="AHE126" s="899"/>
      <c r="AHF126" s="899"/>
      <c r="AHG126" s="899"/>
      <c r="AHH126" s="899"/>
      <c r="AHI126" s="899"/>
      <c r="AHJ126" s="899"/>
      <c r="AHK126" s="899"/>
      <c r="AHL126" s="899"/>
      <c r="AHM126" s="899"/>
      <c r="AHN126" s="899"/>
      <c r="AHO126" s="899"/>
      <c r="AHP126" s="899"/>
      <c r="AHQ126" s="899"/>
      <c r="AHR126" s="899"/>
      <c r="AHS126" s="899"/>
      <c r="AHT126" s="899"/>
      <c r="AHU126" s="899"/>
      <c r="AHV126" s="899"/>
      <c r="AHW126" s="899"/>
      <c r="AHX126" s="899"/>
      <c r="AHY126" s="899"/>
      <c r="AHZ126" s="899"/>
      <c r="AIA126" s="899"/>
      <c r="AIB126" s="899"/>
      <c r="AIC126" s="899"/>
      <c r="AID126" s="899"/>
      <c r="AIE126" s="899"/>
      <c r="AIF126" s="899"/>
      <c r="AIG126" s="899"/>
      <c r="AIH126" s="899"/>
      <c r="AII126" s="899"/>
      <c r="AIJ126" s="899"/>
      <c r="AIK126" s="899"/>
      <c r="AIL126" s="899"/>
      <c r="AIM126" s="899"/>
      <c r="AIN126" s="899"/>
      <c r="AIO126" s="899"/>
      <c r="AIP126" s="899"/>
      <c r="AIQ126" s="899"/>
      <c r="AIR126" s="899"/>
      <c r="AIS126" s="899"/>
      <c r="AIT126" s="899"/>
      <c r="AIU126" s="899"/>
      <c r="AIV126" s="899"/>
      <c r="AIW126" s="899"/>
      <c r="AIX126" s="899"/>
      <c r="AIY126" s="899"/>
      <c r="AIZ126" s="899"/>
      <c r="AJA126" s="899"/>
      <c r="AJB126" s="899"/>
      <c r="AJC126" s="899"/>
      <c r="AJD126" s="899"/>
      <c r="AJE126" s="899"/>
      <c r="AJF126" s="899"/>
      <c r="AJG126" s="899"/>
      <c r="AJH126" s="899"/>
      <c r="AJI126" s="899"/>
      <c r="AJJ126" s="899"/>
      <c r="AJK126" s="899"/>
      <c r="AJL126" s="899"/>
      <c r="AJM126" s="899"/>
      <c r="AJN126" s="899"/>
      <c r="AJO126" s="899"/>
      <c r="AJP126" s="899"/>
      <c r="AJQ126" s="899"/>
      <c r="AJR126" s="899"/>
      <c r="AJS126" s="899"/>
      <c r="AJT126" s="899"/>
      <c r="AJU126" s="899"/>
      <c r="AJV126" s="899"/>
      <c r="AJW126" s="899"/>
      <c r="AJX126" s="899"/>
      <c r="AJY126" s="899"/>
      <c r="AJZ126" s="899"/>
      <c r="AKA126" s="899"/>
      <c r="AKB126" s="899"/>
      <c r="AKC126" s="899"/>
      <c r="AKD126" s="899"/>
      <c r="AKE126" s="899"/>
      <c r="AKF126" s="899"/>
      <c r="AKG126" s="899"/>
      <c r="AKH126" s="899"/>
      <c r="AKI126" s="899"/>
      <c r="AKJ126" s="899"/>
      <c r="AKK126" s="899"/>
      <c r="AKL126" s="899"/>
      <c r="AKM126" s="899"/>
      <c r="AKN126" s="899"/>
      <c r="AKO126" s="899"/>
      <c r="AKP126" s="899"/>
      <c r="AKQ126" s="899"/>
      <c r="AKR126" s="899"/>
      <c r="AKS126" s="899"/>
      <c r="AKT126" s="899"/>
      <c r="AKU126" s="899"/>
      <c r="AKV126" s="899"/>
      <c r="AKW126" s="899"/>
      <c r="AKX126" s="899"/>
      <c r="AKY126" s="899"/>
      <c r="AKZ126" s="899"/>
      <c r="ALA126" s="899"/>
      <c r="ALB126" s="899"/>
      <c r="ALC126" s="899"/>
      <c r="ALD126" s="899"/>
      <c r="ALE126" s="899"/>
      <c r="ALF126" s="899"/>
      <c r="ALG126" s="899"/>
      <c r="ALH126" s="899"/>
      <c r="ALI126" s="899"/>
      <c r="ALJ126" s="899"/>
      <c r="ALK126" s="899"/>
      <c r="ALL126" s="899"/>
      <c r="ALM126" s="899"/>
      <c r="ALN126" s="899"/>
      <c r="ALO126" s="899"/>
      <c r="ALP126" s="899"/>
      <c r="ALQ126" s="899"/>
      <c r="ALR126" s="899"/>
      <c r="ALS126" s="899"/>
      <c r="ALT126" s="899"/>
      <c r="ALU126" s="899"/>
      <c r="ALV126" s="899"/>
      <c r="ALW126" s="899"/>
      <c r="ALX126" s="899"/>
      <c r="ALY126" s="899"/>
      <c r="ALZ126" s="899"/>
      <c r="AMA126" s="899"/>
      <c r="AMB126" s="899"/>
      <c r="AMC126" s="899"/>
      <c r="AMD126" s="899"/>
      <c r="AME126" s="899"/>
      <c r="AMF126" s="899"/>
      <c r="AMG126" s="899"/>
      <c r="AMH126" s="899"/>
      <c r="AMI126" s="899"/>
      <c r="AMJ126" s="899"/>
      <c r="AMK126" s="899"/>
      <c r="AML126" s="899"/>
      <c r="AMM126" s="899"/>
      <c r="AMN126" s="899"/>
      <c r="AMO126" s="899"/>
      <c r="AMP126" s="899"/>
      <c r="AMQ126" s="899"/>
      <c r="AMR126" s="899"/>
      <c r="AMS126" s="899"/>
      <c r="AMT126" s="899"/>
      <c r="AMU126" s="899"/>
      <c r="AMV126" s="899"/>
      <c r="AMW126" s="899"/>
      <c r="AMX126" s="899"/>
      <c r="AMY126" s="899"/>
      <c r="AMZ126" s="899"/>
      <c r="ANA126" s="899"/>
      <c r="ANB126" s="899"/>
      <c r="ANC126" s="899"/>
      <c r="AND126" s="899"/>
      <c r="ANE126" s="899"/>
      <c r="ANF126" s="899"/>
      <c r="ANG126" s="899"/>
      <c r="ANH126" s="899"/>
      <c r="ANI126" s="899"/>
      <c r="ANJ126" s="899"/>
      <c r="ANK126" s="899"/>
      <c r="ANL126" s="899"/>
      <c r="ANM126" s="899"/>
      <c r="ANN126" s="899"/>
      <c r="ANO126" s="899"/>
      <c r="ANP126" s="899"/>
      <c r="ANQ126" s="899"/>
      <c r="ANR126" s="899"/>
      <c r="ANS126" s="899"/>
      <c r="ANT126" s="899"/>
      <c r="ANU126" s="899"/>
      <c r="ANV126" s="899"/>
      <c r="ANW126" s="899"/>
      <c r="ANX126" s="899"/>
      <c r="ANY126" s="899"/>
      <c r="ANZ126" s="899"/>
      <c r="AOA126" s="899"/>
      <c r="AOB126" s="899"/>
      <c r="AOC126" s="899"/>
      <c r="AOD126" s="899"/>
      <c r="AOE126" s="899"/>
      <c r="AOF126" s="899"/>
      <c r="AOG126" s="899"/>
      <c r="AOH126" s="899"/>
      <c r="AOI126" s="899"/>
      <c r="AOJ126" s="899"/>
      <c r="AOK126" s="899"/>
      <c r="AOL126" s="899"/>
      <c r="AOM126" s="899"/>
      <c r="AON126" s="899"/>
      <c r="AOO126" s="899"/>
      <c r="AOP126" s="899"/>
      <c r="AOQ126" s="899"/>
      <c r="AOR126" s="899"/>
      <c r="AOS126" s="899"/>
      <c r="AOT126" s="899"/>
      <c r="AOU126" s="899"/>
      <c r="AOV126" s="899"/>
      <c r="AOW126" s="899"/>
      <c r="AOX126" s="899"/>
      <c r="AOY126" s="899"/>
      <c r="AOZ126" s="899"/>
      <c r="APA126" s="899"/>
      <c r="APB126" s="899"/>
      <c r="APC126" s="899"/>
      <c r="APD126" s="899"/>
      <c r="APE126" s="899"/>
      <c r="APF126" s="899"/>
      <c r="APG126" s="899"/>
      <c r="APH126" s="899"/>
      <c r="API126" s="899"/>
      <c r="APJ126" s="899"/>
      <c r="APK126" s="899"/>
      <c r="APL126" s="899"/>
      <c r="APM126" s="899"/>
      <c r="APN126" s="899"/>
      <c r="APO126" s="899"/>
      <c r="APP126" s="899"/>
      <c r="APQ126" s="899"/>
      <c r="APR126" s="899"/>
      <c r="APS126" s="899"/>
      <c r="APT126" s="899"/>
      <c r="APU126" s="899"/>
      <c r="APV126" s="899"/>
      <c r="APW126" s="899"/>
      <c r="APX126" s="899"/>
      <c r="APY126" s="899"/>
      <c r="APZ126" s="899"/>
      <c r="AQA126" s="899"/>
      <c r="AQB126" s="899"/>
      <c r="AQC126" s="899"/>
      <c r="AQD126" s="899"/>
      <c r="AQE126" s="899"/>
      <c r="AQF126" s="899"/>
      <c r="AQG126" s="899"/>
      <c r="AQH126" s="899"/>
      <c r="AQI126" s="899"/>
      <c r="AQJ126" s="899"/>
      <c r="AQK126" s="899"/>
      <c r="AQL126" s="899"/>
      <c r="AQM126" s="899"/>
      <c r="AQN126" s="899"/>
      <c r="AQO126" s="899"/>
      <c r="AQP126" s="899"/>
      <c r="AQQ126" s="899"/>
      <c r="AQR126" s="899"/>
      <c r="AQS126" s="899"/>
      <c r="AQT126" s="899"/>
      <c r="AQU126" s="899"/>
      <c r="AQV126" s="899"/>
      <c r="AQW126" s="899"/>
      <c r="AQX126" s="899"/>
      <c r="AQY126" s="899"/>
      <c r="AQZ126" s="899"/>
      <c r="ARA126" s="899"/>
      <c r="ARB126" s="899"/>
      <c r="ARC126" s="899"/>
      <c r="ARD126" s="899"/>
      <c r="ARE126" s="899"/>
      <c r="ARF126" s="899"/>
      <c r="ARG126" s="899"/>
      <c r="ARH126" s="899"/>
      <c r="ARI126" s="899"/>
      <c r="ARJ126" s="899"/>
      <c r="ARK126" s="899"/>
      <c r="ARL126" s="899"/>
      <c r="ARM126" s="899"/>
      <c r="ARN126" s="899"/>
      <c r="ARO126" s="899"/>
      <c r="ARP126" s="899"/>
      <c r="ARQ126" s="899"/>
      <c r="ARR126" s="899"/>
      <c r="ARS126" s="899"/>
      <c r="ART126" s="899"/>
      <c r="ARU126" s="899"/>
      <c r="ARV126" s="899"/>
      <c r="ARW126" s="899"/>
      <c r="ARX126" s="899"/>
      <c r="ARY126" s="899"/>
      <c r="ARZ126" s="899"/>
      <c r="ASA126" s="899"/>
      <c r="ASB126" s="899"/>
      <c r="ASC126" s="899"/>
      <c r="ASD126" s="899"/>
      <c r="ASE126" s="899"/>
      <c r="ASF126" s="899"/>
      <c r="ASG126" s="899"/>
      <c r="ASH126" s="899"/>
      <c r="ASI126" s="899"/>
      <c r="ASJ126" s="899"/>
      <c r="ASK126" s="899"/>
      <c r="ASL126" s="899"/>
      <c r="ASM126" s="899"/>
      <c r="ASN126" s="899"/>
      <c r="ASO126" s="899"/>
      <c r="ASP126" s="899"/>
      <c r="ASQ126" s="899"/>
      <c r="ASR126" s="899"/>
      <c r="ASS126" s="899"/>
      <c r="AST126" s="899"/>
      <c r="ASU126" s="899"/>
      <c r="ASV126" s="899"/>
      <c r="ASW126" s="899"/>
      <c r="ASX126" s="899"/>
      <c r="ASY126" s="899"/>
      <c r="ASZ126" s="899"/>
      <c r="ATA126" s="899"/>
      <c r="ATB126" s="899"/>
      <c r="ATC126" s="899"/>
      <c r="ATD126" s="899"/>
      <c r="ATE126" s="899"/>
      <c r="ATF126" s="899"/>
      <c r="ATG126" s="899"/>
      <c r="ATH126" s="899"/>
      <c r="ATI126" s="899"/>
      <c r="ATJ126" s="899"/>
      <c r="ATK126" s="899"/>
      <c r="ATL126" s="899"/>
      <c r="ATM126" s="899"/>
      <c r="ATN126" s="899"/>
      <c r="ATO126" s="899"/>
      <c r="ATP126" s="899"/>
      <c r="ATQ126" s="899"/>
      <c r="ATR126" s="899"/>
      <c r="ATS126" s="899"/>
      <c r="ATT126" s="899"/>
      <c r="ATU126" s="899"/>
      <c r="ATV126" s="899"/>
      <c r="ATW126" s="899"/>
      <c r="ATX126" s="899"/>
      <c r="ATY126" s="899"/>
      <c r="ATZ126" s="899"/>
      <c r="AUA126" s="899"/>
      <c r="AUB126" s="899"/>
      <c r="AUC126" s="899"/>
      <c r="AUD126" s="899"/>
      <c r="AUE126" s="899"/>
      <c r="AUF126" s="899"/>
      <c r="AUG126" s="899"/>
      <c r="AUH126" s="899"/>
      <c r="AUI126" s="899"/>
      <c r="AUJ126" s="899"/>
      <c r="AUK126" s="899"/>
      <c r="AUL126" s="899"/>
      <c r="AUM126" s="899"/>
      <c r="AUN126" s="899"/>
      <c r="AUO126" s="899"/>
      <c r="AUP126" s="899"/>
      <c r="AUQ126" s="899"/>
      <c r="AUR126" s="899"/>
      <c r="AUS126" s="899"/>
      <c r="AUT126" s="899"/>
      <c r="AUU126" s="899"/>
      <c r="AUV126" s="899"/>
      <c r="AUW126" s="899"/>
      <c r="AUX126" s="899"/>
      <c r="AUY126" s="899"/>
      <c r="AUZ126" s="899"/>
      <c r="AVA126" s="899"/>
      <c r="AVB126" s="899"/>
      <c r="AVC126" s="899"/>
      <c r="AVD126" s="899"/>
      <c r="AVE126" s="899"/>
      <c r="AVF126" s="899"/>
      <c r="AVG126" s="899"/>
      <c r="AVH126" s="899"/>
      <c r="AVI126" s="899"/>
      <c r="AVJ126" s="899"/>
      <c r="AVK126" s="899"/>
      <c r="AVL126" s="899"/>
      <c r="AVM126" s="899"/>
      <c r="AVN126" s="899"/>
      <c r="AVO126" s="899"/>
      <c r="AVP126" s="899"/>
      <c r="AVQ126" s="899"/>
      <c r="AVR126" s="899"/>
      <c r="AVS126" s="899"/>
      <c r="AVT126" s="899"/>
      <c r="AVU126" s="899"/>
      <c r="AVV126" s="899"/>
      <c r="AVW126" s="899"/>
      <c r="AVX126" s="899"/>
      <c r="AVY126" s="899"/>
      <c r="AVZ126" s="899"/>
      <c r="AWA126" s="899"/>
      <c r="AWB126" s="899"/>
      <c r="AWC126" s="899"/>
      <c r="AWD126" s="899"/>
      <c r="AWE126" s="899"/>
      <c r="AWF126" s="899"/>
      <c r="AWG126" s="899"/>
      <c r="AWH126" s="899"/>
      <c r="AWI126" s="899"/>
      <c r="AWJ126" s="899"/>
      <c r="AWK126" s="899"/>
      <c r="AWL126" s="899"/>
      <c r="AWM126" s="899"/>
      <c r="AWN126" s="899"/>
      <c r="AWO126" s="899"/>
      <c r="AWP126" s="899"/>
      <c r="AWQ126" s="899"/>
      <c r="AWR126" s="899"/>
      <c r="AWS126" s="899"/>
      <c r="AWT126" s="899"/>
      <c r="AWU126" s="899"/>
      <c r="AWV126" s="899"/>
      <c r="AWW126" s="899"/>
      <c r="AWX126" s="899"/>
      <c r="AWY126" s="899"/>
      <c r="AWZ126" s="899"/>
      <c r="AXA126" s="899"/>
      <c r="AXB126" s="899"/>
      <c r="AXC126" s="899"/>
      <c r="AXD126" s="899"/>
      <c r="AXE126" s="899"/>
      <c r="AXF126" s="899"/>
      <c r="AXG126" s="899"/>
      <c r="AXH126" s="899"/>
      <c r="AXI126" s="899"/>
      <c r="AXJ126" s="899"/>
      <c r="AXK126" s="899"/>
      <c r="AXL126" s="899"/>
      <c r="AXM126" s="899"/>
      <c r="AXN126" s="899"/>
      <c r="AXO126" s="899"/>
      <c r="AXP126" s="899"/>
      <c r="AXQ126" s="899"/>
      <c r="AXR126" s="899"/>
      <c r="AXS126" s="899"/>
      <c r="AXT126" s="899"/>
      <c r="AXU126" s="899"/>
      <c r="AXV126" s="899"/>
      <c r="AXW126" s="899"/>
      <c r="AXX126" s="899"/>
      <c r="AXY126" s="899"/>
      <c r="AXZ126" s="899"/>
      <c r="AYA126" s="899"/>
      <c r="AYB126" s="899"/>
      <c r="AYC126" s="899"/>
      <c r="AYD126" s="899"/>
      <c r="AYE126" s="899"/>
      <c r="AYF126" s="899"/>
      <c r="AYG126" s="899"/>
      <c r="AYH126" s="899"/>
      <c r="AYI126" s="899"/>
      <c r="AYJ126" s="899"/>
      <c r="AYK126" s="899"/>
      <c r="AYL126" s="899"/>
      <c r="AYM126" s="899"/>
      <c r="AYN126" s="899"/>
      <c r="AYO126" s="899"/>
      <c r="AYP126" s="899"/>
      <c r="AYQ126" s="899"/>
      <c r="AYR126" s="899"/>
      <c r="AYS126" s="899"/>
      <c r="AYT126" s="899"/>
      <c r="AYU126" s="899"/>
      <c r="AYV126" s="899"/>
      <c r="AYW126" s="899"/>
      <c r="AYX126" s="899"/>
      <c r="AYY126" s="899"/>
      <c r="AYZ126" s="899"/>
      <c r="AZA126" s="899"/>
      <c r="AZB126" s="899"/>
      <c r="AZC126" s="899"/>
      <c r="AZD126" s="899"/>
      <c r="AZE126" s="899"/>
      <c r="AZF126" s="899"/>
      <c r="AZG126" s="899"/>
      <c r="AZH126" s="899"/>
      <c r="AZI126" s="899"/>
      <c r="AZJ126" s="899"/>
      <c r="AZK126" s="899"/>
      <c r="AZL126" s="899"/>
      <c r="AZM126" s="899"/>
      <c r="AZN126" s="899"/>
      <c r="AZO126" s="899"/>
      <c r="AZP126" s="899"/>
      <c r="AZQ126" s="899"/>
      <c r="AZR126" s="899"/>
      <c r="AZS126" s="899"/>
      <c r="AZT126" s="899"/>
      <c r="AZU126" s="899"/>
      <c r="AZV126" s="899"/>
      <c r="AZW126" s="899"/>
      <c r="AZX126" s="899"/>
      <c r="AZY126" s="899"/>
      <c r="AZZ126" s="899"/>
      <c r="BAA126" s="899"/>
      <c r="BAB126" s="899"/>
      <c r="BAC126" s="899"/>
      <c r="BAD126" s="899"/>
      <c r="BAE126" s="899"/>
      <c r="BAF126" s="899"/>
      <c r="BAG126" s="899"/>
      <c r="BAH126" s="899"/>
      <c r="BAI126" s="899"/>
      <c r="BAJ126" s="899"/>
      <c r="BAK126" s="899"/>
      <c r="BAL126" s="899"/>
      <c r="BAM126" s="899"/>
      <c r="BAN126" s="899"/>
      <c r="BAO126" s="899"/>
      <c r="BAP126" s="899"/>
      <c r="BAQ126" s="899"/>
      <c r="BAR126" s="899"/>
      <c r="BAS126" s="899"/>
      <c r="BAT126" s="899"/>
      <c r="BAU126" s="899"/>
      <c r="BAV126" s="899"/>
      <c r="BAW126" s="899"/>
      <c r="BAX126" s="899"/>
      <c r="BAY126" s="899"/>
      <c r="BAZ126" s="899"/>
      <c r="BBA126" s="899"/>
      <c r="BBB126" s="899"/>
      <c r="BBC126" s="899"/>
      <c r="BBD126" s="899"/>
      <c r="BBE126" s="899"/>
      <c r="BBF126" s="899"/>
      <c r="BBG126" s="899"/>
      <c r="BBH126" s="899"/>
      <c r="BBI126" s="899"/>
      <c r="BBJ126" s="899"/>
      <c r="BBK126" s="899"/>
      <c r="BBL126" s="899"/>
      <c r="BBM126" s="899"/>
      <c r="BBN126" s="899"/>
      <c r="BBO126" s="899"/>
      <c r="BBP126" s="899"/>
      <c r="BBQ126" s="899"/>
      <c r="BBR126" s="899"/>
      <c r="BBS126" s="899"/>
      <c r="BBT126" s="899"/>
      <c r="BBU126" s="899"/>
      <c r="BBV126" s="899"/>
      <c r="BBW126" s="899"/>
      <c r="BBX126" s="899"/>
      <c r="BBY126" s="899"/>
      <c r="BBZ126" s="899"/>
      <c r="BCA126" s="899"/>
      <c r="BCB126" s="899"/>
      <c r="BCC126" s="899"/>
      <c r="BCD126" s="899"/>
      <c r="BCE126" s="899"/>
      <c r="BCF126" s="899"/>
      <c r="BCG126" s="899"/>
      <c r="BCH126" s="899"/>
      <c r="BCI126" s="899"/>
      <c r="BCJ126" s="899"/>
      <c r="BCK126" s="899"/>
      <c r="BCL126" s="899"/>
      <c r="BCM126" s="899"/>
      <c r="BCN126" s="899"/>
      <c r="BCO126" s="899"/>
      <c r="BCP126" s="899"/>
      <c r="BCQ126" s="899"/>
      <c r="BCR126" s="899"/>
      <c r="BCS126" s="899"/>
      <c r="BCT126" s="899"/>
      <c r="BCU126" s="899"/>
      <c r="BCV126" s="899"/>
      <c r="BCW126" s="899"/>
      <c r="BCX126" s="899"/>
      <c r="BCY126" s="899"/>
      <c r="BCZ126" s="899"/>
      <c r="BDA126" s="899"/>
      <c r="BDB126" s="899"/>
      <c r="BDC126" s="899"/>
      <c r="BDD126" s="899"/>
      <c r="BDE126" s="899"/>
      <c r="BDF126" s="899"/>
      <c r="BDG126" s="899"/>
      <c r="BDH126" s="899"/>
      <c r="BDI126" s="899"/>
      <c r="BDJ126" s="899"/>
      <c r="BDK126" s="899"/>
      <c r="BDL126" s="899"/>
      <c r="BDM126" s="899"/>
      <c r="BDN126" s="899"/>
      <c r="BDO126" s="899"/>
      <c r="BDP126" s="899"/>
      <c r="BDQ126" s="899"/>
      <c r="BDR126" s="899"/>
      <c r="BDS126" s="899"/>
      <c r="BDT126" s="899"/>
      <c r="BDU126" s="899"/>
      <c r="BDV126" s="899"/>
      <c r="BDW126" s="899"/>
      <c r="BDX126" s="899"/>
      <c r="BDY126" s="899"/>
      <c r="BDZ126" s="899"/>
      <c r="BEA126" s="899"/>
      <c r="BEB126" s="899"/>
      <c r="BEC126" s="899"/>
      <c r="BED126" s="899"/>
      <c r="BEE126" s="899"/>
      <c r="BEF126" s="899"/>
      <c r="BEG126" s="899"/>
      <c r="BEH126" s="899"/>
      <c r="BEI126" s="899"/>
      <c r="BEJ126" s="899"/>
      <c r="BEK126" s="899"/>
      <c r="BEL126" s="899"/>
      <c r="BEM126" s="899"/>
      <c r="BEN126" s="899"/>
      <c r="BEO126" s="899"/>
      <c r="BEP126" s="899"/>
      <c r="BEQ126" s="899"/>
      <c r="BER126" s="899"/>
      <c r="BES126" s="899"/>
      <c r="BET126" s="899"/>
      <c r="BEU126" s="899"/>
      <c r="BEV126" s="899"/>
      <c r="BEW126" s="899"/>
      <c r="BEX126" s="899"/>
      <c r="BEY126" s="899"/>
      <c r="BEZ126" s="899"/>
      <c r="BFA126" s="899"/>
      <c r="BFB126" s="899"/>
      <c r="BFC126" s="899"/>
      <c r="BFD126" s="899"/>
      <c r="BFE126" s="899"/>
      <c r="BFF126" s="899"/>
      <c r="BFG126" s="899"/>
      <c r="BFH126" s="899"/>
      <c r="BFI126" s="899"/>
      <c r="BFJ126" s="899"/>
      <c r="BFK126" s="899"/>
      <c r="BFL126" s="899"/>
      <c r="BFM126" s="899"/>
      <c r="BFN126" s="899"/>
      <c r="BFO126" s="899"/>
      <c r="BFP126" s="899"/>
      <c r="BFQ126" s="899"/>
      <c r="BFR126" s="899"/>
      <c r="BFS126" s="899"/>
      <c r="BFT126" s="899"/>
      <c r="BFU126" s="899"/>
      <c r="BFV126" s="899"/>
      <c r="BFW126" s="899"/>
      <c r="BFX126" s="899"/>
      <c r="BFY126" s="899"/>
      <c r="BFZ126" s="899"/>
      <c r="BGA126" s="899"/>
      <c r="BGB126" s="899"/>
      <c r="BGC126" s="899"/>
      <c r="BGD126" s="899"/>
      <c r="BGE126" s="899"/>
      <c r="BGF126" s="899"/>
      <c r="BGG126" s="899"/>
      <c r="BGH126" s="899"/>
      <c r="BGI126" s="899"/>
      <c r="BGJ126" s="899"/>
      <c r="BGK126" s="899"/>
      <c r="BGL126" s="899"/>
      <c r="BGM126" s="899"/>
      <c r="BGN126" s="899"/>
      <c r="BGO126" s="899"/>
      <c r="BGP126" s="899"/>
      <c r="BGQ126" s="899"/>
      <c r="BGR126" s="899"/>
      <c r="BGS126" s="899"/>
      <c r="BGT126" s="899"/>
      <c r="BGU126" s="899"/>
      <c r="BGV126" s="899"/>
      <c r="BGW126" s="899"/>
      <c r="BGX126" s="899"/>
      <c r="BGY126" s="899"/>
      <c r="BGZ126" s="899"/>
      <c r="BHA126" s="899"/>
      <c r="BHB126" s="899"/>
      <c r="BHC126" s="899"/>
      <c r="BHD126" s="899"/>
      <c r="BHE126" s="899"/>
      <c r="BHF126" s="899"/>
      <c r="BHG126" s="899"/>
      <c r="BHH126" s="899"/>
      <c r="BHI126" s="899"/>
      <c r="BHJ126" s="899"/>
      <c r="BHK126" s="899"/>
      <c r="BHL126" s="899"/>
      <c r="BHM126" s="899"/>
      <c r="BHN126" s="899"/>
      <c r="BHO126" s="899"/>
      <c r="BHP126" s="899"/>
      <c r="BHQ126" s="899"/>
      <c r="BHR126" s="899"/>
      <c r="BHS126" s="899"/>
      <c r="BHT126" s="899"/>
      <c r="BHU126" s="899"/>
      <c r="BHV126" s="899"/>
      <c r="BHW126" s="899"/>
      <c r="BHX126" s="899"/>
      <c r="BHY126" s="899"/>
      <c r="BHZ126" s="899"/>
      <c r="BIA126" s="899"/>
      <c r="BIB126" s="899"/>
      <c r="BIC126" s="899"/>
      <c r="BID126" s="899"/>
      <c r="BIE126" s="899"/>
      <c r="BIF126" s="899"/>
      <c r="BIG126" s="899"/>
      <c r="BIH126" s="899"/>
      <c r="BII126" s="899"/>
      <c r="BIJ126" s="899"/>
      <c r="BIK126" s="899"/>
      <c r="BIL126" s="899"/>
      <c r="BIM126" s="899"/>
      <c r="BIN126" s="899"/>
      <c r="BIO126" s="899"/>
      <c r="BIP126" s="899"/>
      <c r="BIQ126" s="899"/>
      <c r="BIR126" s="899"/>
      <c r="BIS126" s="899"/>
      <c r="BIT126" s="899"/>
      <c r="BIU126" s="899"/>
      <c r="BIV126" s="899"/>
      <c r="BIW126" s="899"/>
      <c r="BIX126" s="899"/>
      <c r="BIY126" s="899"/>
      <c r="BIZ126" s="899"/>
      <c r="BJA126" s="899"/>
      <c r="BJB126" s="899"/>
      <c r="BJC126" s="899"/>
      <c r="BJD126" s="899"/>
      <c r="BJE126" s="899"/>
      <c r="BJF126" s="899"/>
      <c r="BJG126" s="899"/>
      <c r="BJH126" s="899"/>
      <c r="BJI126" s="899"/>
      <c r="BJJ126" s="899"/>
      <c r="BJK126" s="899"/>
      <c r="BJL126" s="899"/>
      <c r="BJM126" s="899"/>
      <c r="BJN126" s="899"/>
      <c r="BJO126" s="899"/>
      <c r="BJP126" s="899"/>
      <c r="BJQ126" s="899"/>
      <c r="BJR126" s="899"/>
      <c r="BJS126" s="899"/>
      <c r="BJT126" s="899"/>
      <c r="BJU126" s="899"/>
      <c r="BJV126" s="899"/>
      <c r="BJW126" s="899"/>
      <c r="BJX126" s="899"/>
      <c r="BJY126" s="899"/>
      <c r="BJZ126" s="899"/>
      <c r="BKA126" s="899"/>
      <c r="BKB126" s="899"/>
      <c r="BKC126" s="899"/>
      <c r="BKD126" s="899"/>
      <c r="BKE126" s="899"/>
      <c r="BKF126" s="899"/>
      <c r="BKG126" s="899"/>
      <c r="BKH126" s="899"/>
      <c r="BKI126" s="899"/>
      <c r="BKJ126" s="899"/>
      <c r="BKK126" s="899"/>
      <c r="BKL126" s="899"/>
      <c r="BKM126" s="899"/>
      <c r="BKN126" s="899"/>
      <c r="BKO126" s="899"/>
      <c r="BKP126" s="899"/>
      <c r="BKQ126" s="899"/>
      <c r="BKR126" s="899"/>
      <c r="BKS126" s="899"/>
      <c r="BKT126" s="899"/>
      <c r="BKU126" s="899"/>
      <c r="BKV126" s="899"/>
      <c r="BKW126" s="899"/>
      <c r="BKX126" s="899"/>
      <c r="BKY126" s="899"/>
      <c r="BKZ126" s="899"/>
      <c r="BLA126" s="899"/>
      <c r="BLB126" s="899"/>
      <c r="BLC126" s="899"/>
      <c r="BLD126" s="899"/>
      <c r="BLE126" s="899"/>
      <c r="BLF126" s="899"/>
      <c r="BLG126" s="899"/>
      <c r="BLH126" s="899"/>
      <c r="BLI126" s="899"/>
      <c r="BLJ126" s="899"/>
      <c r="BLK126" s="899"/>
      <c r="BLL126" s="899"/>
      <c r="BLM126" s="899"/>
      <c r="BLN126" s="899"/>
      <c r="BLO126" s="899"/>
      <c r="BLP126" s="899"/>
      <c r="BLQ126" s="899"/>
      <c r="BLR126" s="899"/>
      <c r="BLS126" s="899"/>
      <c r="BLT126" s="899"/>
      <c r="BLU126" s="899"/>
      <c r="BLV126" s="899"/>
      <c r="BLW126" s="899"/>
      <c r="BLX126" s="899"/>
      <c r="BLY126" s="899"/>
      <c r="BLZ126" s="899"/>
      <c r="BMA126" s="899"/>
      <c r="BMB126" s="899"/>
      <c r="BMC126" s="899"/>
      <c r="BMD126" s="899"/>
      <c r="BME126" s="899"/>
      <c r="BMF126" s="899"/>
      <c r="BMG126" s="899"/>
      <c r="BMH126" s="899"/>
      <c r="BMI126" s="899"/>
      <c r="BMJ126" s="899"/>
      <c r="BMK126" s="899"/>
      <c r="BML126" s="899"/>
      <c r="BMM126" s="899"/>
      <c r="BMN126" s="899"/>
      <c r="BMO126" s="899"/>
      <c r="BMP126" s="899"/>
      <c r="BMQ126" s="899"/>
      <c r="BMR126" s="899"/>
      <c r="BMS126" s="899"/>
      <c r="BMT126" s="899"/>
      <c r="BMU126" s="899"/>
      <c r="BMV126" s="899"/>
      <c r="BMW126" s="899"/>
      <c r="BMX126" s="899"/>
      <c r="BMY126" s="899"/>
      <c r="BMZ126" s="899"/>
      <c r="BNA126" s="899"/>
      <c r="BNB126" s="899"/>
      <c r="BNC126" s="899"/>
      <c r="BND126" s="899"/>
      <c r="BNE126" s="899"/>
      <c r="BNF126" s="899"/>
      <c r="BNG126" s="899"/>
      <c r="BNH126" s="899"/>
      <c r="BNI126" s="899"/>
      <c r="BNJ126" s="899"/>
      <c r="BNK126" s="899"/>
      <c r="BNL126" s="899"/>
      <c r="BNM126" s="899"/>
      <c r="BNN126" s="899"/>
      <c r="BNO126" s="899"/>
      <c r="BNP126" s="899"/>
      <c r="BNQ126" s="899"/>
      <c r="BNR126" s="899"/>
      <c r="BNS126" s="899"/>
      <c r="BNT126" s="899"/>
      <c r="BNU126" s="899"/>
      <c r="BNV126" s="899"/>
      <c r="BNW126" s="899"/>
      <c r="BNX126" s="899"/>
      <c r="BNY126" s="899"/>
      <c r="BNZ126" s="899"/>
      <c r="BOA126" s="899"/>
      <c r="BOB126" s="899"/>
      <c r="BOC126" s="899"/>
      <c r="BOD126" s="899"/>
      <c r="BOE126" s="899"/>
      <c r="BOF126" s="899"/>
      <c r="BOG126" s="899"/>
      <c r="BOH126" s="899"/>
      <c r="BOI126" s="899"/>
      <c r="BOJ126" s="899"/>
      <c r="BOK126" s="899"/>
      <c r="BOL126" s="899"/>
      <c r="BOM126" s="899"/>
      <c r="BON126" s="899"/>
      <c r="BOO126" s="899"/>
      <c r="BOP126" s="899"/>
      <c r="BOQ126" s="899"/>
      <c r="BOR126" s="899"/>
      <c r="BOS126" s="899"/>
      <c r="BOT126" s="899"/>
      <c r="BOU126" s="899"/>
      <c r="BOV126" s="899"/>
      <c r="BOW126" s="899"/>
      <c r="BOX126" s="899"/>
      <c r="BOY126" s="899"/>
      <c r="BOZ126" s="899"/>
      <c r="BPA126" s="899"/>
      <c r="BPB126" s="899"/>
      <c r="BPC126" s="899"/>
      <c r="BPD126" s="899"/>
      <c r="BPE126" s="899"/>
      <c r="BPF126" s="899"/>
      <c r="BPG126" s="899"/>
      <c r="BPH126" s="899"/>
      <c r="BPI126" s="899"/>
      <c r="BPJ126" s="899"/>
      <c r="BPK126" s="899"/>
      <c r="BPL126" s="899"/>
      <c r="BPM126" s="899"/>
      <c r="BPN126" s="899"/>
      <c r="BPO126" s="899"/>
      <c r="BPP126" s="899"/>
      <c r="BPQ126" s="899"/>
      <c r="BPR126" s="899"/>
      <c r="BPS126" s="899"/>
      <c r="BPT126" s="899"/>
      <c r="BPU126" s="899"/>
      <c r="BPV126" s="899"/>
    </row>
    <row r="127" spans="1:1790" s="665" customFormat="1" ht="43.15" hidden="1">
      <c r="A127" s="666" t="s">
        <v>447</v>
      </c>
      <c r="B127" s="369" t="s">
        <v>889</v>
      </c>
      <c r="C127" s="667" t="s">
        <v>1265</v>
      </c>
      <c r="D127" s="668">
        <v>46127</v>
      </c>
      <c r="E127" s="668" t="s">
        <v>897</v>
      </c>
      <c r="F127" s="671"/>
      <c r="G127" s="892" t="s">
        <v>1266</v>
      </c>
      <c r="H127" s="895" t="s">
        <v>1164</v>
      </c>
      <c r="I127" s="901" t="s">
        <v>897</v>
      </c>
      <c r="J127" s="896"/>
      <c r="K127" s="896"/>
      <c r="L127" s="896"/>
      <c r="M127" s="896"/>
      <c r="N127" s="693"/>
      <c r="O127" s="693"/>
      <c r="P127" s="694"/>
      <c r="Q127" s="695"/>
      <c r="R127" s="695"/>
      <c r="S127" s="902"/>
      <c r="T127" s="903"/>
      <c r="U127" s="901"/>
      <c r="V127" s="896"/>
      <c r="W127" s="896"/>
      <c r="X127" s="896"/>
      <c r="Y127" s="896"/>
      <c r="Z127" s="896"/>
      <c r="AA127" s="899"/>
      <c r="AB127" s="899"/>
      <c r="AC127" s="899"/>
      <c r="AD127" s="899"/>
      <c r="AE127" s="899"/>
      <c r="AF127" s="899"/>
      <c r="AG127" s="899"/>
      <c r="AH127" s="899"/>
      <c r="AI127" s="899"/>
      <c r="AJ127" s="899"/>
      <c r="AK127" s="899"/>
      <c r="AL127" s="899"/>
      <c r="AM127" s="899"/>
      <c r="AN127" s="899"/>
      <c r="AO127" s="899"/>
      <c r="AP127" s="899"/>
      <c r="AQ127" s="899"/>
      <c r="AR127" s="899"/>
      <c r="AS127" s="899"/>
      <c r="AT127" s="899"/>
      <c r="AU127" s="899"/>
      <c r="AV127" s="899"/>
      <c r="AW127" s="899"/>
      <c r="AX127" s="899"/>
      <c r="AY127" s="899"/>
      <c r="AZ127" s="899"/>
      <c r="BA127" s="899"/>
      <c r="BB127" s="899"/>
      <c r="BC127" s="899"/>
      <c r="BD127" s="899"/>
      <c r="BE127" s="899"/>
      <c r="BF127" s="899"/>
      <c r="BG127" s="899"/>
      <c r="BH127" s="899"/>
      <c r="BI127" s="899"/>
      <c r="BJ127" s="899"/>
      <c r="BK127" s="899"/>
      <c r="BL127" s="899"/>
      <c r="BM127" s="899"/>
      <c r="BN127" s="899"/>
      <c r="BO127" s="899"/>
      <c r="BP127" s="899"/>
      <c r="BQ127" s="899"/>
      <c r="BR127" s="899"/>
      <c r="BS127" s="899"/>
      <c r="BT127" s="899"/>
      <c r="BU127" s="899"/>
      <c r="BV127" s="899"/>
      <c r="BW127" s="899"/>
      <c r="BX127" s="899"/>
      <c r="BY127" s="899"/>
      <c r="BZ127" s="899"/>
      <c r="CA127" s="899"/>
      <c r="CB127" s="899"/>
      <c r="CC127" s="899"/>
      <c r="CD127" s="899"/>
      <c r="CE127" s="899"/>
      <c r="CF127" s="899"/>
      <c r="CG127" s="899"/>
      <c r="CH127" s="899"/>
      <c r="CI127" s="899"/>
      <c r="CJ127" s="899"/>
      <c r="CK127" s="899"/>
      <c r="CL127" s="899"/>
      <c r="CM127" s="899"/>
      <c r="CN127" s="899"/>
      <c r="CO127" s="899"/>
      <c r="CP127" s="899"/>
      <c r="CQ127" s="899"/>
      <c r="CR127" s="899"/>
      <c r="CS127" s="899"/>
      <c r="CT127" s="899"/>
      <c r="CU127" s="899"/>
      <c r="CV127" s="899"/>
      <c r="CW127" s="899"/>
      <c r="CX127" s="899"/>
      <c r="CY127" s="899"/>
      <c r="CZ127" s="899"/>
      <c r="DA127" s="899"/>
      <c r="DB127" s="899"/>
      <c r="DC127" s="899"/>
      <c r="DD127" s="899"/>
      <c r="DE127" s="899"/>
      <c r="DF127" s="899"/>
      <c r="DG127" s="899"/>
      <c r="DH127" s="899"/>
      <c r="DI127" s="899"/>
      <c r="DJ127" s="899"/>
      <c r="DK127" s="899"/>
      <c r="DL127" s="899"/>
      <c r="DM127" s="899"/>
      <c r="DN127" s="899"/>
      <c r="DO127" s="899"/>
      <c r="DP127" s="899"/>
      <c r="DQ127" s="899"/>
      <c r="DR127" s="899"/>
      <c r="DS127" s="899"/>
      <c r="DT127" s="899"/>
      <c r="DU127" s="899"/>
      <c r="DV127" s="899"/>
      <c r="DW127" s="899"/>
      <c r="DX127" s="899"/>
      <c r="DY127" s="899"/>
      <c r="DZ127" s="899"/>
      <c r="EA127" s="899"/>
      <c r="EB127" s="899"/>
      <c r="EC127" s="899"/>
      <c r="ED127" s="899"/>
      <c r="EE127" s="899"/>
      <c r="EF127" s="899"/>
      <c r="EG127" s="899"/>
      <c r="EH127" s="899"/>
      <c r="EI127" s="899"/>
      <c r="EJ127" s="899"/>
      <c r="EK127" s="899"/>
      <c r="EL127" s="899"/>
      <c r="EM127" s="899"/>
      <c r="EN127" s="899"/>
      <c r="EO127" s="899"/>
      <c r="EP127" s="899"/>
      <c r="EQ127" s="899"/>
      <c r="ER127" s="899"/>
      <c r="ES127" s="899"/>
      <c r="ET127" s="899"/>
      <c r="EU127" s="899"/>
      <c r="EV127" s="899"/>
      <c r="EW127" s="899"/>
      <c r="EX127" s="899"/>
      <c r="EY127" s="899"/>
      <c r="EZ127" s="899"/>
      <c r="FA127" s="899"/>
      <c r="FB127" s="899"/>
      <c r="FC127" s="899"/>
      <c r="FD127" s="899"/>
      <c r="FE127" s="899"/>
      <c r="FF127" s="899"/>
      <c r="FG127" s="899"/>
      <c r="FH127" s="899"/>
      <c r="FI127" s="899"/>
      <c r="FJ127" s="899"/>
      <c r="FK127" s="899"/>
      <c r="FL127" s="899"/>
      <c r="FM127" s="899"/>
      <c r="FN127" s="899"/>
      <c r="FO127" s="899"/>
      <c r="FP127" s="899"/>
      <c r="FQ127" s="899"/>
      <c r="FR127" s="899"/>
      <c r="FS127" s="899"/>
      <c r="FT127" s="899"/>
      <c r="FU127" s="899"/>
      <c r="FV127" s="899"/>
      <c r="FW127" s="899"/>
      <c r="FX127" s="899"/>
      <c r="FY127" s="899"/>
      <c r="FZ127" s="899"/>
      <c r="GA127" s="899"/>
      <c r="GB127" s="899"/>
      <c r="GC127" s="899"/>
      <c r="GD127" s="899"/>
      <c r="GE127" s="899"/>
      <c r="GF127" s="899"/>
      <c r="GG127" s="899"/>
      <c r="GH127" s="899"/>
      <c r="GI127" s="899"/>
      <c r="GJ127" s="899"/>
      <c r="GK127" s="899"/>
      <c r="GL127" s="899"/>
      <c r="GM127" s="899"/>
      <c r="GN127" s="899"/>
      <c r="GO127" s="899"/>
      <c r="GP127" s="899"/>
      <c r="GQ127" s="899"/>
      <c r="GR127" s="899"/>
      <c r="GS127" s="899"/>
      <c r="GT127" s="899"/>
      <c r="GU127" s="899"/>
      <c r="GV127" s="899"/>
      <c r="GW127" s="899"/>
      <c r="GX127" s="899"/>
      <c r="GY127" s="899"/>
      <c r="GZ127" s="899"/>
      <c r="HA127" s="899"/>
      <c r="HB127" s="899"/>
      <c r="HC127" s="899"/>
      <c r="HD127" s="899"/>
      <c r="HE127" s="899"/>
      <c r="HF127" s="899"/>
      <c r="HG127" s="899"/>
      <c r="HH127" s="899"/>
      <c r="HI127" s="899"/>
      <c r="HJ127" s="899"/>
      <c r="HK127" s="899"/>
      <c r="HL127" s="899"/>
      <c r="HM127" s="899"/>
      <c r="HN127" s="899"/>
      <c r="HO127" s="899"/>
      <c r="HP127" s="899"/>
      <c r="HQ127" s="899"/>
      <c r="HR127" s="899"/>
      <c r="HS127" s="899"/>
      <c r="HT127" s="899"/>
      <c r="HU127" s="899"/>
      <c r="HV127" s="899"/>
      <c r="HW127" s="899"/>
      <c r="HX127" s="899"/>
      <c r="HY127" s="899"/>
      <c r="HZ127" s="899"/>
      <c r="IA127" s="899"/>
      <c r="IB127" s="899"/>
      <c r="IC127" s="899"/>
      <c r="ID127" s="899"/>
      <c r="IE127" s="899"/>
      <c r="IF127" s="899"/>
      <c r="IG127" s="899"/>
      <c r="IH127" s="899"/>
      <c r="II127" s="899"/>
      <c r="IJ127" s="899"/>
      <c r="IK127" s="899"/>
      <c r="IL127" s="899"/>
      <c r="IM127" s="899"/>
      <c r="IN127" s="899"/>
      <c r="IO127" s="899"/>
      <c r="IP127" s="899"/>
      <c r="IQ127" s="899"/>
      <c r="IR127" s="899"/>
      <c r="IS127" s="899"/>
      <c r="IT127" s="899"/>
      <c r="IU127" s="899"/>
      <c r="IV127" s="899"/>
      <c r="IW127" s="899"/>
      <c r="IX127" s="899"/>
      <c r="IY127" s="899"/>
      <c r="IZ127" s="899"/>
      <c r="JA127" s="899"/>
      <c r="JB127" s="899"/>
      <c r="JC127" s="899"/>
      <c r="JD127" s="899"/>
      <c r="JE127" s="899"/>
      <c r="JF127" s="899"/>
      <c r="JG127" s="899"/>
      <c r="JH127" s="899"/>
      <c r="JI127" s="899"/>
      <c r="JJ127" s="899"/>
      <c r="JK127" s="899"/>
      <c r="JL127" s="899"/>
      <c r="JM127" s="899"/>
      <c r="JN127" s="899"/>
      <c r="JO127" s="899"/>
      <c r="JP127" s="899"/>
      <c r="JQ127" s="899"/>
      <c r="JR127" s="899"/>
      <c r="JS127" s="899"/>
      <c r="JT127" s="899"/>
      <c r="JU127" s="899"/>
      <c r="JV127" s="899"/>
      <c r="JW127" s="899"/>
      <c r="JX127" s="899"/>
      <c r="JY127" s="899"/>
      <c r="JZ127" s="899"/>
      <c r="KA127" s="899"/>
      <c r="KB127" s="899"/>
      <c r="KC127" s="899"/>
      <c r="KD127" s="899"/>
      <c r="KE127" s="899"/>
      <c r="KF127" s="899"/>
      <c r="KG127" s="899"/>
      <c r="KH127" s="899"/>
      <c r="KI127" s="899"/>
      <c r="KJ127" s="899"/>
      <c r="KK127" s="899"/>
      <c r="KL127" s="899"/>
      <c r="KM127" s="899"/>
      <c r="KN127" s="899"/>
      <c r="KO127" s="899"/>
      <c r="KP127" s="899"/>
      <c r="KQ127" s="899"/>
      <c r="KR127" s="899"/>
      <c r="KS127" s="899"/>
      <c r="KT127" s="899"/>
      <c r="KU127" s="899"/>
      <c r="KV127" s="899"/>
      <c r="KW127" s="899"/>
      <c r="KX127" s="899"/>
      <c r="KY127" s="899"/>
      <c r="KZ127" s="899"/>
      <c r="LA127" s="899"/>
      <c r="LB127" s="899"/>
      <c r="LC127" s="899"/>
      <c r="LD127" s="899"/>
      <c r="LE127" s="899"/>
      <c r="LF127" s="899"/>
      <c r="LG127" s="899"/>
      <c r="LH127" s="899"/>
      <c r="LI127" s="899"/>
      <c r="LJ127" s="899"/>
      <c r="LK127" s="899"/>
      <c r="LL127" s="899"/>
      <c r="LM127" s="899"/>
      <c r="LN127" s="899"/>
      <c r="LO127" s="899"/>
      <c r="LP127" s="899"/>
      <c r="LQ127" s="899"/>
      <c r="LR127" s="899"/>
      <c r="LS127" s="899"/>
      <c r="LT127" s="899"/>
      <c r="LU127" s="899"/>
      <c r="LV127" s="899"/>
      <c r="LW127" s="899"/>
      <c r="LX127" s="899"/>
      <c r="LY127" s="899"/>
      <c r="LZ127" s="899"/>
      <c r="MA127" s="899"/>
      <c r="MB127" s="899"/>
      <c r="MC127" s="899"/>
      <c r="MD127" s="899"/>
      <c r="ME127" s="899"/>
      <c r="MF127" s="899"/>
      <c r="MG127" s="899"/>
      <c r="MH127" s="899"/>
      <c r="MI127" s="899"/>
      <c r="MJ127" s="899"/>
      <c r="MK127" s="899"/>
      <c r="ML127" s="899"/>
      <c r="MM127" s="899"/>
      <c r="MN127" s="899"/>
      <c r="MO127" s="899"/>
      <c r="MP127" s="899"/>
      <c r="MQ127" s="899"/>
      <c r="MR127" s="899"/>
      <c r="MS127" s="899"/>
      <c r="MT127" s="899"/>
      <c r="MU127" s="899"/>
      <c r="MV127" s="899"/>
      <c r="MW127" s="899"/>
      <c r="MX127" s="899"/>
      <c r="MY127" s="899"/>
      <c r="MZ127" s="899"/>
      <c r="NA127" s="899"/>
      <c r="NB127" s="899"/>
      <c r="NC127" s="899"/>
      <c r="ND127" s="899"/>
      <c r="NE127" s="899"/>
      <c r="NF127" s="899"/>
      <c r="NG127" s="899"/>
      <c r="NH127" s="899"/>
      <c r="NI127" s="899"/>
      <c r="NJ127" s="899"/>
      <c r="NK127" s="899"/>
      <c r="NL127" s="899"/>
      <c r="NM127" s="899"/>
      <c r="NN127" s="899"/>
      <c r="NO127" s="899"/>
      <c r="NP127" s="899"/>
      <c r="NQ127" s="899"/>
      <c r="NR127" s="899"/>
      <c r="NS127" s="899"/>
      <c r="NT127" s="899"/>
      <c r="NU127" s="899"/>
      <c r="NV127" s="899"/>
      <c r="NW127" s="899"/>
      <c r="NX127" s="899"/>
      <c r="NY127" s="899"/>
      <c r="NZ127" s="899"/>
      <c r="OA127" s="899"/>
      <c r="OB127" s="899"/>
      <c r="OC127" s="899"/>
      <c r="OD127" s="899"/>
      <c r="OE127" s="899"/>
      <c r="OF127" s="899"/>
      <c r="OG127" s="899"/>
      <c r="OH127" s="899"/>
      <c r="OI127" s="899"/>
      <c r="OJ127" s="899"/>
      <c r="OK127" s="899"/>
      <c r="OL127" s="899"/>
      <c r="OM127" s="899"/>
      <c r="ON127" s="899"/>
      <c r="OO127" s="899"/>
      <c r="OP127" s="899"/>
      <c r="OQ127" s="899"/>
      <c r="OR127" s="899"/>
      <c r="OS127" s="899"/>
      <c r="OT127" s="899"/>
      <c r="OU127" s="899"/>
      <c r="OV127" s="899"/>
      <c r="OW127" s="899"/>
      <c r="OX127" s="899"/>
      <c r="OY127" s="899"/>
      <c r="OZ127" s="899"/>
      <c r="PA127" s="899"/>
      <c r="PB127" s="899"/>
      <c r="PC127" s="899"/>
      <c r="PD127" s="899"/>
      <c r="PE127" s="899"/>
      <c r="PF127" s="899"/>
      <c r="PG127" s="899"/>
      <c r="PH127" s="899"/>
      <c r="PI127" s="899"/>
      <c r="PJ127" s="899"/>
      <c r="PK127" s="899"/>
      <c r="PL127" s="899"/>
      <c r="PM127" s="899"/>
      <c r="PN127" s="899"/>
      <c r="PO127" s="899"/>
      <c r="PP127" s="899"/>
      <c r="PQ127" s="899"/>
      <c r="PR127" s="899"/>
      <c r="PS127" s="899"/>
      <c r="PT127" s="899"/>
      <c r="PU127" s="899"/>
      <c r="PV127" s="899"/>
      <c r="PW127" s="899"/>
      <c r="PX127" s="899"/>
      <c r="PY127" s="899"/>
      <c r="PZ127" s="899"/>
      <c r="QA127" s="899"/>
      <c r="QB127" s="899"/>
      <c r="QC127" s="899"/>
      <c r="QD127" s="899"/>
      <c r="QE127" s="899"/>
      <c r="QF127" s="899"/>
      <c r="QG127" s="899"/>
      <c r="QH127" s="899"/>
      <c r="QI127" s="899"/>
      <c r="QJ127" s="899"/>
      <c r="QK127" s="899"/>
      <c r="QL127" s="899"/>
      <c r="QM127" s="899"/>
      <c r="QN127" s="899"/>
      <c r="QO127" s="899"/>
      <c r="QP127" s="899"/>
      <c r="QQ127" s="899"/>
      <c r="QR127" s="899"/>
      <c r="QS127" s="899"/>
      <c r="QT127" s="899"/>
      <c r="QU127" s="899"/>
      <c r="QV127" s="899"/>
      <c r="QW127" s="899"/>
      <c r="QX127" s="899"/>
      <c r="QY127" s="899"/>
      <c r="QZ127" s="899"/>
      <c r="RA127" s="899"/>
      <c r="RB127" s="899"/>
      <c r="RC127" s="899"/>
      <c r="RD127" s="899"/>
      <c r="RE127" s="899"/>
      <c r="RF127" s="899"/>
      <c r="RG127" s="899"/>
      <c r="RH127" s="899"/>
      <c r="RI127" s="899"/>
      <c r="RJ127" s="899"/>
      <c r="RK127" s="899"/>
      <c r="RL127" s="899"/>
      <c r="RM127" s="899"/>
      <c r="RN127" s="899"/>
      <c r="RO127" s="899"/>
      <c r="RP127" s="899"/>
      <c r="RQ127" s="899"/>
      <c r="RR127" s="899"/>
      <c r="RS127" s="899"/>
      <c r="RT127" s="899"/>
      <c r="RU127" s="899"/>
      <c r="RV127" s="899"/>
      <c r="RW127" s="899"/>
      <c r="RX127" s="899"/>
      <c r="RY127" s="899"/>
      <c r="RZ127" s="899"/>
      <c r="SA127" s="899"/>
      <c r="SB127" s="899"/>
      <c r="SC127" s="899"/>
      <c r="SD127" s="899"/>
      <c r="SE127" s="899"/>
      <c r="SF127" s="899"/>
      <c r="SG127" s="899"/>
      <c r="SH127" s="899"/>
      <c r="SI127" s="899"/>
      <c r="SJ127" s="899"/>
      <c r="SK127" s="899"/>
      <c r="SL127" s="899"/>
      <c r="SM127" s="899"/>
      <c r="SN127" s="899"/>
      <c r="SO127" s="899"/>
      <c r="SP127" s="899"/>
      <c r="SQ127" s="899"/>
      <c r="SR127" s="899"/>
      <c r="SS127" s="899"/>
      <c r="ST127" s="899"/>
      <c r="SU127" s="899"/>
      <c r="SV127" s="899"/>
      <c r="SW127" s="899"/>
      <c r="SX127" s="899"/>
      <c r="SY127" s="899"/>
      <c r="SZ127" s="899"/>
      <c r="TA127" s="899"/>
      <c r="TB127" s="899"/>
      <c r="TC127" s="899"/>
      <c r="TD127" s="899"/>
      <c r="TE127" s="899"/>
      <c r="TF127" s="899"/>
      <c r="TG127" s="899"/>
      <c r="TH127" s="899"/>
      <c r="TI127" s="899"/>
      <c r="TJ127" s="899"/>
      <c r="TK127" s="899"/>
      <c r="TL127" s="899"/>
      <c r="TM127" s="899"/>
      <c r="TN127" s="899"/>
      <c r="TO127" s="899"/>
      <c r="TP127" s="899"/>
      <c r="TQ127" s="899"/>
      <c r="TR127" s="899"/>
      <c r="TS127" s="899"/>
      <c r="TT127" s="899"/>
      <c r="TU127" s="899"/>
      <c r="TV127" s="899"/>
      <c r="TW127" s="899"/>
      <c r="TX127" s="899"/>
      <c r="TY127" s="899"/>
      <c r="TZ127" s="899"/>
      <c r="UA127" s="899"/>
      <c r="UB127" s="899"/>
      <c r="UC127" s="899"/>
      <c r="UD127" s="899"/>
      <c r="UE127" s="899"/>
      <c r="UF127" s="899"/>
      <c r="UG127" s="899"/>
      <c r="UH127" s="899"/>
      <c r="UI127" s="899"/>
      <c r="UJ127" s="899"/>
      <c r="UK127" s="899"/>
      <c r="UL127" s="899"/>
      <c r="UM127" s="899"/>
      <c r="UN127" s="899"/>
      <c r="UO127" s="899"/>
      <c r="UP127" s="899"/>
      <c r="UQ127" s="899"/>
      <c r="UR127" s="899"/>
      <c r="US127" s="899"/>
      <c r="UT127" s="899"/>
      <c r="UU127" s="899"/>
      <c r="UV127" s="899"/>
      <c r="UW127" s="899"/>
      <c r="UX127" s="899"/>
      <c r="UY127" s="899"/>
      <c r="UZ127" s="899"/>
      <c r="VA127" s="899"/>
      <c r="VB127" s="899"/>
      <c r="VC127" s="899"/>
      <c r="VD127" s="899"/>
      <c r="VE127" s="899"/>
      <c r="VF127" s="899"/>
      <c r="VG127" s="899"/>
      <c r="VH127" s="899"/>
      <c r="VI127" s="899"/>
      <c r="VJ127" s="899"/>
      <c r="VK127" s="899"/>
      <c r="VL127" s="899"/>
      <c r="VM127" s="899"/>
      <c r="VN127" s="899"/>
      <c r="VO127" s="899"/>
      <c r="VP127" s="899"/>
      <c r="VQ127" s="899"/>
      <c r="VR127" s="899"/>
      <c r="VS127" s="899"/>
      <c r="VT127" s="899"/>
      <c r="VU127" s="899"/>
      <c r="VV127" s="899"/>
      <c r="VW127" s="899"/>
      <c r="VX127" s="899"/>
      <c r="VY127" s="899"/>
      <c r="VZ127" s="899"/>
      <c r="WA127" s="899"/>
      <c r="WB127" s="899"/>
      <c r="WC127" s="899"/>
      <c r="WD127" s="899"/>
      <c r="WE127" s="899"/>
      <c r="WF127" s="899"/>
      <c r="WG127" s="899"/>
      <c r="WH127" s="899"/>
      <c r="WI127" s="899"/>
      <c r="WJ127" s="899"/>
      <c r="WK127" s="899"/>
      <c r="WL127" s="899"/>
      <c r="WM127" s="899"/>
      <c r="WN127" s="899"/>
      <c r="WO127" s="899"/>
      <c r="WP127" s="899"/>
      <c r="WQ127" s="899"/>
      <c r="WR127" s="899"/>
      <c r="WS127" s="899"/>
      <c r="WT127" s="899"/>
      <c r="WU127" s="899"/>
      <c r="WV127" s="899"/>
      <c r="WW127" s="899"/>
      <c r="WX127" s="899"/>
      <c r="WY127" s="899"/>
      <c r="WZ127" s="899"/>
      <c r="XA127" s="899"/>
      <c r="XB127" s="899"/>
      <c r="XC127" s="899"/>
      <c r="XD127" s="899"/>
      <c r="XE127" s="899"/>
      <c r="XF127" s="899"/>
      <c r="XG127" s="899"/>
      <c r="XH127" s="899"/>
      <c r="XI127" s="899"/>
      <c r="XJ127" s="899"/>
      <c r="XK127" s="899"/>
      <c r="XL127" s="899"/>
      <c r="XM127" s="899"/>
      <c r="XN127" s="899"/>
      <c r="XO127" s="899"/>
      <c r="XP127" s="899"/>
      <c r="XQ127" s="899"/>
      <c r="XR127" s="899"/>
      <c r="XS127" s="899"/>
      <c r="XT127" s="899"/>
      <c r="XU127" s="899"/>
      <c r="XV127" s="899"/>
      <c r="XW127" s="899"/>
      <c r="XX127" s="899"/>
      <c r="XY127" s="899"/>
      <c r="XZ127" s="899"/>
      <c r="YA127" s="899"/>
      <c r="YB127" s="899"/>
      <c r="YC127" s="899"/>
      <c r="YD127" s="899"/>
      <c r="YE127" s="899"/>
      <c r="YF127" s="899"/>
      <c r="YG127" s="899"/>
      <c r="YH127" s="899"/>
      <c r="YI127" s="899"/>
      <c r="YJ127" s="899"/>
      <c r="YK127" s="899"/>
      <c r="YL127" s="899"/>
      <c r="YM127" s="899"/>
      <c r="YN127" s="899"/>
      <c r="YO127" s="899"/>
      <c r="YP127" s="899"/>
      <c r="YQ127" s="899"/>
      <c r="YR127" s="899"/>
      <c r="YS127" s="899"/>
      <c r="YT127" s="899"/>
      <c r="YU127" s="899"/>
      <c r="YV127" s="899"/>
      <c r="YW127" s="899"/>
      <c r="YX127" s="899"/>
      <c r="YY127" s="899"/>
      <c r="YZ127" s="899"/>
      <c r="ZA127" s="899"/>
      <c r="ZB127" s="899"/>
      <c r="ZC127" s="899"/>
      <c r="ZD127" s="899"/>
      <c r="ZE127" s="899"/>
      <c r="ZF127" s="899"/>
      <c r="ZG127" s="899"/>
      <c r="ZH127" s="899"/>
      <c r="ZI127" s="899"/>
      <c r="ZJ127" s="899"/>
      <c r="ZK127" s="899"/>
      <c r="ZL127" s="899"/>
      <c r="ZM127" s="899"/>
      <c r="ZN127" s="899"/>
      <c r="ZO127" s="899"/>
      <c r="ZP127" s="899"/>
      <c r="ZQ127" s="899"/>
      <c r="ZR127" s="899"/>
      <c r="ZS127" s="899"/>
      <c r="ZT127" s="899"/>
      <c r="ZU127" s="899"/>
      <c r="ZV127" s="899"/>
      <c r="ZW127" s="899"/>
      <c r="ZX127" s="899"/>
      <c r="ZY127" s="899"/>
      <c r="ZZ127" s="899"/>
      <c r="AAA127" s="899"/>
      <c r="AAB127" s="899"/>
      <c r="AAC127" s="899"/>
      <c r="AAD127" s="899"/>
      <c r="AAE127" s="899"/>
      <c r="AAF127" s="899"/>
      <c r="AAG127" s="899"/>
      <c r="AAH127" s="899"/>
      <c r="AAI127" s="899"/>
      <c r="AAJ127" s="899"/>
      <c r="AAK127" s="899"/>
      <c r="AAL127" s="899"/>
      <c r="AAM127" s="899"/>
      <c r="AAN127" s="899"/>
      <c r="AAO127" s="899"/>
      <c r="AAP127" s="899"/>
      <c r="AAQ127" s="899"/>
      <c r="AAR127" s="899"/>
      <c r="AAS127" s="899"/>
      <c r="AAT127" s="899"/>
      <c r="AAU127" s="899"/>
      <c r="AAV127" s="899"/>
      <c r="AAW127" s="899"/>
      <c r="AAX127" s="899"/>
      <c r="AAY127" s="899"/>
      <c r="AAZ127" s="899"/>
      <c r="ABA127" s="899"/>
      <c r="ABB127" s="899"/>
      <c r="ABC127" s="899"/>
      <c r="ABD127" s="899"/>
      <c r="ABE127" s="899"/>
      <c r="ABF127" s="899"/>
      <c r="ABG127" s="899"/>
      <c r="ABH127" s="899"/>
      <c r="ABI127" s="899"/>
      <c r="ABJ127" s="899"/>
      <c r="ABK127" s="899"/>
      <c r="ABL127" s="899"/>
      <c r="ABM127" s="899"/>
      <c r="ABN127" s="899"/>
      <c r="ABO127" s="899"/>
      <c r="ABP127" s="899"/>
      <c r="ABQ127" s="899"/>
      <c r="ABR127" s="899"/>
      <c r="ABS127" s="899"/>
      <c r="ABT127" s="899"/>
      <c r="ABU127" s="899"/>
      <c r="ABV127" s="899"/>
      <c r="ABW127" s="899"/>
      <c r="ABX127" s="899"/>
      <c r="ABY127" s="899"/>
      <c r="ABZ127" s="899"/>
      <c r="ACA127" s="899"/>
      <c r="ACB127" s="899"/>
      <c r="ACC127" s="899"/>
      <c r="ACD127" s="899"/>
      <c r="ACE127" s="899"/>
      <c r="ACF127" s="899"/>
      <c r="ACG127" s="899"/>
      <c r="ACH127" s="899"/>
      <c r="ACI127" s="899"/>
      <c r="ACJ127" s="899"/>
      <c r="ACK127" s="899"/>
      <c r="ACL127" s="899"/>
      <c r="ACM127" s="899"/>
      <c r="ACN127" s="899"/>
      <c r="ACO127" s="899"/>
      <c r="ACP127" s="899"/>
      <c r="ACQ127" s="899"/>
      <c r="ACR127" s="899"/>
      <c r="ACS127" s="899"/>
      <c r="ACT127" s="899"/>
      <c r="ACU127" s="899"/>
      <c r="ACV127" s="899"/>
      <c r="ACW127" s="899"/>
      <c r="ACX127" s="899"/>
      <c r="ACY127" s="899"/>
      <c r="ACZ127" s="899"/>
      <c r="ADA127" s="899"/>
      <c r="ADB127" s="899"/>
      <c r="ADC127" s="899"/>
      <c r="ADD127" s="899"/>
      <c r="ADE127" s="899"/>
      <c r="ADF127" s="899"/>
      <c r="ADG127" s="899"/>
      <c r="ADH127" s="899"/>
      <c r="ADI127" s="899"/>
      <c r="ADJ127" s="899"/>
      <c r="ADK127" s="899"/>
      <c r="ADL127" s="899"/>
      <c r="ADM127" s="899"/>
      <c r="ADN127" s="899"/>
      <c r="ADO127" s="899"/>
      <c r="ADP127" s="899"/>
      <c r="ADQ127" s="899"/>
      <c r="ADR127" s="899"/>
      <c r="ADS127" s="899"/>
      <c r="ADT127" s="899"/>
      <c r="ADU127" s="899"/>
      <c r="ADV127" s="899"/>
      <c r="ADW127" s="899"/>
      <c r="ADX127" s="899"/>
      <c r="ADY127" s="899"/>
      <c r="ADZ127" s="899"/>
      <c r="AEA127" s="899"/>
      <c r="AEB127" s="899"/>
      <c r="AEC127" s="899"/>
      <c r="AED127" s="899"/>
      <c r="AEE127" s="899"/>
      <c r="AEF127" s="899"/>
      <c r="AEG127" s="899"/>
      <c r="AEH127" s="899"/>
      <c r="AEI127" s="899"/>
      <c r="AEJ127" s="899"/>
      <c r="AEK127" s="899"/>
      <c r="AEL127" s="899"/>
      <c r="AEM127" s="899"/>
      <c r="AEN127" s="899"/>
      <c r="AEO127" s="899"/>
      <c r="AEP127" s="899"/>
      <c r="AEQ127" s="899"/>
      <c r="AER127" s="899"/>
      <c r="AES127" s="899"/>
      <c r="AET127" s="899"/>
      <c r="AEU127" s="899"/>
      <c r="AEV127" s="899"/>
      <c r="AEW127" s="899"/>
      <c r="AEX127" s="899"/>
      <c r="AEY127" s="899"/>
      <c r="AEZ127" s="899"/>
      <c r="AFA127" s="899"/>
      <c r="AFB127" s="899"/>
      <c r="AFC127" s="899"/>
      <c r="AFD127" s="899"/>
      <c r="AFE127" s="899"/>
      <c r="AFF127" s="899"/>
      <c r="AFG127" s="899"/>
      <c r="AFH127" s="899"/>
      <c r="AFI127" s="899"/>
      <c r="AFJ127" s="899"/>
      <c r="AFK127" s="899"/>
      <c r="AFL127" s="899"/>
      <c r="AFM127" s="899"/>
      <c r="AFN127" s="899"/>
      <c r="AFO127" s="899"/>
      <c r="AFP127" s="899"/>
      <c r="AFQ127" s="899"/>
      <c r="AFR127" s="899"/>
      <c r="AFS127" s="899"/>
      <c r="AFT127" s="899"/>
      <c r="AFU127" s="899"/>
      <c r="AFV127" s="899"/>
      <c r="AFW127" s="899"/>
      <c r="AFX127" s="899"/>
      <c r="AFY127" s="899"/>
      <c r="AFZ127" s="899"/>
      <c r="AGA127" s="899"/>
      <c r="AGB127" s="899"/>
      <c r="AGC127" s="899"/>
      <c r="AGD127" s="899"/>
      <c r="AGE127" s="899"/>
      <c r="AGF127" s="899"/>
      <c r="AGG127" s="899"/>
      <c r="AGH127" s="899"/>
      <c r="AGI127" s="899"/>
      <c r="AGJ127" s="899"/>
      <c r="AGK127" s="899"/>
      <c r="AGL127" s="899"/>
      <c r="AGM127" s="899"/>
      <c r="AGN127" s="899"/>
      <c r="AGO127" s="899"/>
      <c r="AGP127" s="899"/>
      <c r="AGQ127" s="899"/>
      <c r="AGR127" s="899"/>
      <c r="AGS127" s="899"/>
      <c r="AGT127" s="899"/>
      <c r="AGU127" s="899"/>
      <c r="AGV127" s="899"/>
      <c r="AGW127" s="899"/>
      <c r="AGX127" s="899"/>
      <c r="AGY127" s="899"/>
      <c r="AGZ127" s="899"/>
      <c r="AHA127" s="899"/>
      <c r="AHB127" s="899"/>
      <c r="AHC127" s="899"/>
      <c r="AHD127" s="899"/>
      <c r="AHE127" s="899"/>
      <c r="AHF127" s="899"/>
      <c r="AHG127" s="899"/>
      <c r="AHH127" s="899"/>
      <c r="AHI127" s="899"/>
      <c r="AHJ127" s="899"/>
      <c r="AHK127" s="899"/>
      <c r="AHL127" s="899"/>
      <c r="AHM127" s="899"/>
      <c r="AHN127" s="899"/>
      <c r="AHO127" s="899"/>
      <c r="AHP127" s="899"/>
      <c r="AHQ127" s="899"/>
      <c r="AHR127" s="899"/>
      <c r="AHS127" s="899"/>
      <c r="AHT127" s="899"/>
      <c r="AHU127" s="899"/>
      <c r="AHV127" s="899"/>
      <c r="AHW127" s="899"/>
      <c r="AHX127" s="899"/>
      <c r="AHY127" s="899"/>
      <c r="AHZ127" s="899"/>
      <c r="AIA127" s="899"/>
      <c r="AIB127" s="899"/>
      <c r="AIC127" s="899"/>
      <c r="AID127" s="899"/>
      <c r="AIE127" s="899"/>
      <c r="AIF127" s="899"/>
      <c r="AIG127" s="899"/>
      <c r="AIH127" s="899"/>
      <c r="AII127" s="899"/>
      <c r="AIJ127" s="899"/>
      <c r="AIK127" s="899"/>
      <c r="AIL127" s="899"/>
      <c r="AIM127" s="899"/>
      <c r="AIN127" s="899"/>
      <c r="AIO127" s="899"/>
      <c r="AIP127" s="899"/>
      <c r="AIQ127" s="899"/>
      <c r="AIR127" s="899"/>
      <c r="AIS127" s="899"/>
      <c r="AIT127" s="899"/>
      <c r="AIU127" s="899"/>
      <c r="AIV127" s="899"/>
      <c r="AIW127" s="899"/>
      <c r="AIX127" s="899"/>
      <c r="AIY127" s="899"/>
      <c r="AIZ127" s="899"/>
      <c r="AJA127" s="899"/>
      <c r="AJB127" s="899"/>
      <c r="AJC127" s="899"/>
      <c r="AJD127" s="899"/>
      <c r="AJE127" s="899"/>
      <c r="AJF127" s="899"/>
      <c r="AJG127" s="899"/>
      <c r="AJH127" s="899"/>
      <c r="AJI127" s="899"/>
      <c r="AJJ127" s="899"/>
      <c r="AJK127" s="899"/>
      <c r="AJL127" s="899"/>
      <c r="AJM127" s="899"/>
      <c r="AJN127" s="899"/>
      <c r="AJO127" s="899"/>
      <c r="AJP127" s="899"/>
      <c r="AJQ127" s="899"/>
      <c r="AJR127" s="899"/>
      <c r="AJS127" s="899"/>
      <c r="AJT127" s="899"/>
      <c r="AJU127" s="899"/>
      <c r="AJV127" s="899"/>
      <c r="AJW127" s="899"/>
      <c r="AJX127" s="899"/>
      <c r="AJY127" s="899"/>
      <c r="AJZ127" s="899"/>
      <c r="AKA127" s="899"/>
      <c r="AKB127" s="899"/>
      <c r="AKC127" s="899"/>
      <c r="AKD127" s="899"/>
      <c r="AKE127" s="899"/>
      <c r="AKF127" s="899"/>
      <c r="AKG127" s="899"/>
      <c r="AKH127" s="899"/>
      <c r="AKI127" s="899"/>
      <c r="AKJ127" s="899"/>
      <c r="AKK127" s="899"/>
      <c r="AKL127" s="899"/>
      <c r="AKM127" s="899"/>
      <c r="AKN127" s="899"/>
      <c r="AKO127" s="899"/>
      <c r="AKP127" s="899"/>
      <c r="AKQ127" s="899"/>
      <c r="AKR127" s="899"/>
      <c r="AKS127" s="899"/>
      <c r="AKT127" s="899"/>
      <c r="AKU127" s="899"/>
      <c r="AKV127" s="899"/>
      <c r="AKW127" s="899"/>
      <c r="AKX127" s="899"/>
      <c r="AKY127" s="899"/>
      <c r="AKZ127" s="899"/>
      <c r="ALA127" s="899"/>
      <c r="ALB127" s="899"/>
      <c r="ALC127" s="899"/>
      <c r="ALD127" s="899"/>
      <c r="ALE127" s="899"/>
      <c r="ALF127" s="899"/>
      <c r="ALG127" s="899"/>
      <c r="ALH127" s="899"/>
      <c r="ALI127" s="899"/>
      <c r="ALJ127" s="899"/>
      <c r="ALK127" s="899"/>
      <c r="ALL127" s="899"/>
      <c r="ALM127" s="899"/>
      <c r="ALN127" s="899"/>
      <c r="ALO127" s="899"/>
      <c r="ALP127" s="899"/>
      <c r="ALQ127" s="899"/>
      <c r="ALR127" s="899"/>
      <c r="ALS127" s="899"/>
      <c r="ALT127" s="899"/>
      <c r="ALU127" s="899"/>
      <c r="ALV127" s="899"/>
      <c r="ALW127" s="899"/>
      <c r="ALX127" s="899"/>
      <c r="ALY127" s="899"/>
      <c r="ALZ127" s="899"/>
      <c r="AMA127" s="899"/>
      <c r="AMB127" s="899"/>
      <c r="AMC127" s="899"/>
      <c r="AMD127" s="899"/>
      <c r="AME127" s="899"/>
      <c r="AMF127" s="899"/>
      <c r="AMG127" s="899"/>
      <c r="AMH127" s="899"/>
      <c r="AMI127" s="899"/>
      <c r="AMJ127" s="899"/>
      <c r="AMK127" s="899"/>
      <c r="AML127" s="899"/>
      <c r="AMM127" s="899"/>
      <c r="AMN127" s="899"/>
      <c r="AMO127" s="899"/>
      <c r="AMP127" s="899"/>
      <c r="AMQ127" s="899"/>
      <c r="AMR127" s="899"/>
      <c r="AMS127" s="899"/>
      <c r="AMT127" s="899"/>
      <c r="AMU127" s="899"/>
      <c r="AMV127" s="899"/>
      <c r="AMW127" s="899"/>
      <c r="AMX127" s="899"/>
      <c r="AMY127" s="899"/>
      <c r="AMZ127" s="899"/>
      <c r="ANA127" s="899"/>
      <c r="ANB127" s="899"/>
      <c r="ANC127" s="899"/>
      <c r="AND127" s="899"/>
      <c r="ANE127" s="899"/>
      <c r="ANF127" s="899"/>
      <c r="ANG127" s="899"/>
      <c r="ANH127" s="899"/>
      <c r="ANI127" s="899"/>
      <c r="ANJ127" s="899"/>
      <c r="ANK127" s="899"/>
      <c r="ANL127" s="899"/>
      <c r="ANM127" s="899"/>
      <c r="ANN127" s="899"/>
      <c r="ANO127" s="899"/>
      <c r="ANP127" s="899"/>
      <c r="ANQ127" s="899"/>
      <c r="ANR127" s="899"/>
      <c r="ANS127" s="899"/>
      <c r="ANT127" s="899"/>
      <c r="ANU127" s="899"/>
      <c r="ANV127" s="899"/>
      <c r="ANW127" s="899"/>
      <c r="ANX127" s="899"/>
      <c r="ANY127" s="899"/>
      <c r="ANZ127" s="899"/>
      <c r="AOA127" s="899"/>
      <c r="AOB127" s="899"/>
      <c r="AOC127" s="899"/>
      <c r="AOD127" s="899"/>
      <c r="AOE127" s="899"/>
      <c r="AOF127" s="899"/>
      <c r="AOG127" s="899"/>
      <c r="AOH127" s="899"/>
      <c r="AOI127" s="899"/>
      <c r="AOJ127" s="899"/>
      <c r="AOK127" s="899"/>
      <c r="AOL127" s="899"/>
      <c r="AOM127" s="899"/>
      <c r="AON127" s="899"/>
      <c r="AOO127" s="899"/>
      <c r="AOP127" s="899"/>
      <c r="AOQ127" s="899"/>
      <c r="AOR127" s="899"/>
      <c r="AOS127" s="899"/>
      <c r="AOT127" s="899"/>
      <c r="AOU127" s="899"/>
      <c r="AOV127" s="899"/>
      <c r="AOW127" s="899"/>
      <c r="AOX127" s="899"/>
      <c r="AOY127" s="899"/>
      <c r="AOZ127" s="899"/>
      <c r="APA127" s="899"/>
      <c r="APB127" s="899"/>
      <c r="APC127" s="899"/>
      <c r="APD127" s="899"/>
      <c r="APE127" s="899"/>
      <c r="APF127" s="899"/>
      <c r="APG127" s="899"/>
      <c r="APH127" s="899"/>
      <c r="API127" s="899"/>
      <c r="APJ127" s="899"/>
      <c r="APK127" s="899"/>
      <c r="APL127" s="899"/>
      <c r="APM127" s="899"/>
      <c r="APN127" s="899"/>
      <c r="APO127" s="899"/>
      <c r="APP127" s="899"/>
      <c r="APQ127" s="899"/>
      <c r="APR127" s="899"/>
      <c r="APS127" s="899"/>
      <c r="APT127" s="899"/>
      <c r="APU127" s="899"/>
      <c r="APV127" s="899"/>
      <c r="APW127" s="899"/>
      <c r="APX127" s="899"/>
      <c r="APY127" s="899"/>
      <c r="APZ127" s="899"/>
      <c r="AQA127" s="899"/>
      <c r="AQB127" s="899"/>
      <c r="AQC127" s="899"/>
      <c r="AQD127" s="899"/>
      <c r="AQE127" s="899"/>
      <c r="AQF127" s="899"/>
      <c r="AQG127" s="899"/>
      <c r="AQH127" s="899"/>
      <c r="AQI127" s="899"/>
      <c r="AQJ127" s="899"/>
      <c r="AQK127" s="899"/>
      <c r="AQL127" s="899"/>
      <c r="AQM127" s="899"/>
      <c r="AQN127" s="899"/>
      <c r="AQO127" s="899"/>
      <c r="AQP127" s="899"/>
      <c r="AQQ127" s="899"/>
      <c r="AQR127" s="899"/>
      <c r="AQS127" s="899"/>
      <c r="AQT127" s="899"/>
      <c r="AQU127" s="899"/>
      <c r="AQV127" s="899"/>
      <c r="AQW127" s="899"/>
      <c r="AQX127" s="899"/>
      <c r="AQY127" s="899"/>
      <c r="AQZ127" s="899"/>
      <c r="ARA127" s="899"/>
      <c r="ARB127" s="899"/>
      <c r="ARC127" s="899"/>
      <c r="ARD127" s="899"/>
      <c r="ARE127" s="899"/>
      <c r="ARF127" s="899"/>
      <c r="ARG127" s="899"/>
      <c r="ARH127" s="899"/>
      <c r="ARI127" s="899"/>
      <c r="ARJ127" s="899"/>
      <c r="ARK127" s="899"/>
      <c r="ARL127" s="899"/>
      <c r="ARM127" s="899"/>
      <c r="ARN127" s="899"/>
      <c r="ARO127" s="899"/>
      <c r="ARP127" s="899"/>
      <c r="ARQ127" s="899"/>
      <c r="ARR127" s="899"/>
      <c r="ARS127" s="899"/>
      <c r="ART127" s="899"/>
      <c r="ARU127" s="899"/>
      <c r="ARV127" s="899"/>
      <c r="ARW127" s="899"/>
      <c r="ARX127" s="899"/>
      <c r="ARY127" s="899"/>
      <c r="ARZ127" s="899"/>
      <c r="ASA127" s="899"/>
      <c r="ASB127" s="899"/>
      <c r="ASC127" s="899"/>
      <c r="ASD127" s="899"/>
      <c r="ASE127" s="899"/>
      <c r="ASF127" s="899"/>
      <c r="ASG127" s="899"/>
      <c r="ASH127" s="899"/>
      <c r="ASI127" s="899"/>
      <c r="ASJ127" s="899"/>
      <c r="ASK127" s="899"/>
      <c r="ASL127" s="899"/>
      <c r="ASM127" s="899"/>
      <c r="ASN127" s="899"/>
      <c r="ASO127" s="899"/>
      <c r="ASP127" s="899"/>
      <c r="ASQ127" s="899"/>
      <c r="ASR127" s="899"/>
      <c r="ASS127" s="899"/>
      <c r="AST127" s="899"/>
      <c r="ASU127" s="899"/>
      <c r="ASV127" s="899"/>
      <c r="ASW127" s="899"/>
      <c r="ASX127" s="899"/>
      <c r="ASY127" s="899"/>
      <c r="ASZ127" s="899"/>
      <c r="ATA127" s="899"/>
      <c r="ATB127" s="899"/>
      <c r="ATC127" s="899"/>
      <c r="ATD127" s="899"/>
      <c r="ATE127" s="899"/>
      <c r="ATF127" s="899"/>
      <c r="ATG127" s="899"/>
      <c r="ATH127" s="899"/>
      <c r="ATI127" s="899"/>
      <c r="ATJ127" s="899"/>
      <c r="ATK127" s="899"/>
      <c r="ATL127" s="899"/>
      <c r="ATM127" s="899"/>
      <c r="ATN127" s="899"/>
      <c r="ATO127" s="899"/>
      <c r="ATP127" s="899"/>
      <c r="ATQ127" s="899"/>
      <c r="ATR127" s="899"/>
      <c r="ATS127" s="899"/>
      <c r="ATT127" s="899"/>
      <c r="ATU127" s="899"/>
      <c r="ATV127" s="899"/>
      <c r="ATW127" s="899"/>
      <c r="ATX127" s="899"/>
      <c r="ATY127" s="899"/>
      <c r="ATZ127" s="899"/>
      <c r="AUA127" s="899"/>
      <c r="AUB127" s="899"/>
      <c r="AUC127" s="899"/>
      <c r="AUD127" s="899"/>
      <c r="AUE127" s="899"/>
      <c r="AUF127" s="899"/>
      <c r="AUG127" s="899"/>
      <c r="AUH127" s="899"/>
      <c r="AUI127" s="899"/>
      <c r="AUJ127" s="899"/>
      <c r="AUK127" s="899"/>
      <c r="AUL127" s="899"/>
      <c r="AUM127" s="899"/>
      <c r="AUN127" s="899"/>
      <c r="AUO127" s="899"/>
      <c r="AUP127" s="899"/>
      <c r="AUQ127" s="899"/>
      <c r="AUR127" s="899"/>
      <c r="AUS127" s="899"/>
      <c r="AUT127" s="899"/>
      <c r="AUU127" s="899"/>
      <c r="AUV127" s="899"/>
      <c r="AUW127" s="899"/>
      <c r="AUX127" s="899"/>
      <c r="AUY127" s="899"/>
      <c r="AUZ127" s="899"/>
      <c r="AVA127" s="899"/>
      <c r="AVB127" s="899"/>
      <c r="AVC127" s="899"/>
      <c r="AVD127" s="899"/>
      <c r="AVE127" s="899"/>
      <c r="AVF127" s="899"/>
      <c r="AVG127" s="899"/>
      <c r="AVH127" s="899"/>
      <c r="AVI127" s="899"/>
      <c r="AVJ127" s="899"/>
      <c r="AVK127" s="899"/>
      <c r="AVL127" s="899"/>
      <c r="AVM127" s="899"/>
      <c r="AVN127" s="899"/>
      <c r="AVO127" s="899"/>
      <c r="AVP127" s="899"/>
      <c r="AVQ127" s="899"/>
      <c r="AVR127" s="899"/>
      <c r="AVS127" s="899"/>
      <c r="AVT127" s="899"/>
      <c r="AVU127" s="899"/>
      <c r="AVV127" s="899"/>
      <c r="AVW127" s="899"/>
      <c r="AVX127" s="899"/>
      <c r="AVY127" s="899"/>
      <c r="AVZ127" s="899"/>
      <c r="AWA127" s="899"/>
      <c r="AWB127" s="899"/>
      <c r="AWC127" s="899"/>
      <c r="AWD127" s="899"/>
      <c r="AWE127" s="899"/>
      <c r="AWF127" s="899"/>
      <c r="AWG127" s="899"/>
      <c r="AWH127" s="899"/>
      <c r="AWI127" s="899"/>
      <c r="AWJ127" s="899"/>
      <c r="AWK127" s="899"/>
      <c r="AWL127" s="899"/>
      <c r="AWM127" s="899"/>
      <c r="AWN127" s="899"/>
      <c r="AWO127" s="899"/>
      <c r="AWP127" s="899"/>
      <c r="AWQ127" s="899"/>
      <c r="AWR127" s="899"/>
      <c r="AWS127" s="899"/>
      <c r="AWT127" s="899"/>
      <c r="AWU127" s="899"/>
      <c r="AWV127" s="899"/>
      <c r="AWW127" s="899"/>
      <c r="AWX127" s="899"/>
      <c r="AWY127" s="899"/>
      <c r="AWZ127" s="899"/>
      <c r="AXA127" s="899"/>
      <c r="AXB127" s="899"/>
      <c r="AXC127" s="899"/>
      <c r="AXD127" s="899"/>
      <c r="AXE127" s="899"/>
      <c r="AXF127" s="899"/>
      <c r="AXG127" s="899"/>
      <c r="AXH127" s="899"/>
      <c r="AXI127" s="899"/>
      <c r="AXJ127" s="899"/>
      <c r="AXK127" s="899"/>
      <c r="AXL127" s="899"/>
      <c r="AXM127" s="899"/>
      <c r="AXN127" s="899"/>
      <c r="AXO127" s="899"/>
      <c r="AXP127" s="899"/>
      <c r="AXQ127" s="899"/>
      <c r="AXR127" s="899"/>
      <c r="AXS127" s="899"/>
      <c r="AXT127" s="899"/>
      <c r="AXU127" s="899"/>
      <c r="AXV127" s="899"/>
      <c r="AXW127" s="899"/>
      <c r="AXX127" s="899"/>
      <c r="AXY127" s="899"/>
      <c r="AXZ127" s="899"/>
      <c r="AYA127" s="899"/>
      <c r="AYB127" s="899"/>
      <c r="AYC127" s="899"/>
      <c r="AYD127" s="899"/>
      <c r="AYE127" s="899"/>
      <c r="AYF127" s="899"/>
      <c r="AYG127" s="899"/>
      <c r="AYH127" s="899"/>
      <c r="AYI127" s="899"/>
      <c r="AYJ127" s="899"/>
      <c r="AYK127" s="899"/>
      <c r="AYL127" s="899"/>
      <c r="AYM127" s="899"/>
      <c r="AYN127" s="899"/>
      <c r="AYO127" s="899"/>
      <c r="AYP127" s="899"/>
      <c r="AYQ127" s="899"/>
      <c r="AYR127" s="899"/>
      <c r="AYS127" s="899"/>
      <c r="AYT127" s="899"/>
      <c r="AYU127" s="899"/>
      <c r="AYV127" s="899"/>
      <c r="AYW127" s="899"/>
      <c r="AYX127" s="899"/>
      <c r="AYY127" s="899"/>
      <c r="AYZ127" s="899"/>
      <c r="AZA127" s="899"/>
      <c r="AZB127" s="899"/>
      <c r="AZC127" s="899"/>
      <c r="AZD127" s="899"/>
      <c r="AZE127" s="899"/>
      <c r="AZF127" s="899"/>
      <c r="AZG127" s="899"/>
      <c r="AZH127" s="899"/>
      <c r="AZI127" s="899"/>
      <c r="AZJ127" s="899"/>
      <c r="AZK127" s="899"/>
      <c r="AZL127" s="899"/>
      <c r="AZM127" s="899"/>
      <c r="AZN127" s="899"/>
      <c r="AZO127" s="899"/>
      <c r="AZP127" s="899"/>
      <c r="AZQ127" s="899"/>
      <c r="AZR127" s="899"/>
      <c r="AZS127" s="899"/>
      <c r="AZT127" s="899"/>
      <c r="AZU127" s="899"/>
      <c r="AZV127" s="899"/>
      <c r="AZW127" s="899"/>
      <c r="AZX127" s="899"/>
      <c r="AZY127" s="899"/>
      <c r="AZZ127" s="899"/>
      <c r="BAA127" s="899"/>
      <c r="BAB127" s="899"/>
      <c r="BAC127" s="899"/>
      <c r="BAD127" s="899"/>
      <c r="BAE127" s="899"/>
      <c r="BAF127" s="899"/>
      <c r="BAG127" s="899"/>
      <c r="BAH127" s="899"/>
      <c r="BAI127" s="899"/>
      <c r="BAJ127" s="899"/>
      <c r="BAK127" s="899"/>
      <c r="BAL127" s="899"/>
      <c r="BAM127" s="899"/>
      <c r="BAN127" s="899"/>
      <c r="BAO127" s="899"/>
      <c r="BAP127" s="899"/>
      <c r="BAQ127" s="899"/>
      <c r="BAR127" s="899"/>
      <c r="BAS127" s="899"/>
      <c r="BAT127" s="899"/>
      <c r="BAU127" s="899"/>
      <c r="BAV127" s="899"/>
      <c r="BAW127" s="899"/>
      <c r="BAX127" s="899"/>
      <c r="BAY127" s="899"/>
      <c r="BAZ127" s="899"/>
      <c r="BBA127" s="899"/>
      <c r="BBB127" s="899"/>
      <c r="BBC127" s="899"/>
      <c r="BBD127" s="899"/>
      <c r="BBE127" s="899"/>
      <c r="BBF127" s="899"/>
      <c r="BBG127" s="899"/>
      <c r="BBH127" s="899"/>
      <c r="BBI127" s="899"/>
      <c r="BBJ127" s="899"/>
      <c r="BBK127" s="899"/>
      <c r="BBL127" s="899"/>
      <c r="BBM127" s="899"/>
      <c r="BBN127" s="899"/>
      <c r="BBO127" s="899"/>
      <c r="BBP127" s="899"/>
      <c r="BBQ127" s="899"/>
      <c r="BBR127" s="899"/>
      <c r="BBS127" s="899"/>
      <c r="BBT127" s="899"/>
      <c r="BBU127" s="899"/>
      <c r="BBV127" s="899"/>
      <c r="BBW127" s="899"/>
      <c r="BBX127" s="899"/>
      <c r="BBY127" s="899"/>
      <c r="BBZ127" s="899"/>
      <c r="BCA127" s="899"/>
      <c r="BCB127" s="899"/>
      <c r="BCC127" s="899"/>
      <c r="BCD127" s="899"/>
      <c r="BCE127" s="899"/>
      <c r="BCF127" s="899"/>
      <c r="BCG127" s="899"/>
      <c r="BCH127" s="899"/>
      <c r="BCI127" s="899"/>
      <c r="BCJ127" s="899"/>
      <c r="BCK127" s="899"/>
      <c r="BCL127" s="899"/>
      <c r="BCM127" s="899"/>
      <c r="BCN127" s="899"/>
      <c r="BCO127" s="899"/>
      <c r="BCP127" s="899"/>
      <c r="BCQ127" s="899"/>
      <c r="BCR127" s="899"/>
      <c r="BCS127" s="899"/>
      <c r="BCT127" s="899"/>
      <c r="BCU127" s="899"/>
      <c r="BCV127" s="899"/>
      <c r="BCW127" s="899"/>
      <c r="BCX127" s="899"/>
      <c r="BCY127" s="899"/>
      <c r="BCZ127" s="899"/>
      <c r="BDA127" s="899"/>
      <c r="BDB127" s="899"/>
      <c r="BDC127" s="899"/>
      <c r="BDD127" s="899"/>
      <c r="BDE127" s="899"/>
      <c r="BDF127" s="899"/>
      <c r="BDG127" s="899"/>
      <c r="BDH127" s="899"/>
      <c r="BDI127" s="899"/>
      <c r="BDJ127" s="899"/>
      <c r="BDK127" s="899"/>
      <c r="BDL127" s="899"/>
      <c r="BDM127" s="899"/>
      <c r="BDN127" s="899"/>
      <c r="BDO127" s="899"/>
      <c r="BDP127" s="899"/>
      <c r="BDQ127" s="899"/>
      <c r="BDR127" s="899"/>
      <c r="BDS127" s="899"/>
      <c r="BDT127" s="899"/>
      <c r="BDU127" s="899"/>
      <c r="BDV127" s="899"/>
      <c r="BDW127" s="899"/>
      <c r="BDX127" s="899"/>
      <c r="BDY127" s="899"/>
      <c r="BDZ127" s="899"/>
      <c r="BEA127" s="899"/>
      <c r="BEB127" s="899"/>
      <c r="BEC127" s="899"/>
      <c r="BED127" s="899"/>
      <c r="BEE127" s="899"/>
      <c r="BEF127" s="899"/>
      <c r="BEG127" s="899"/>
      <c r="BEH127" s="899"/>
      <c r="BEI127" s="899"/>
      <c r="BEJ127" s="899"/>
      <c r="BEK127" s="899"/>
      <c r="BEL127" s="899"/>
      <c r="BEM127" s="899"/>
      <c r="BEN127" s="899"/>
      <c r="BEO127" s="899"/>
      <c r="BEP127" s="899"/>
      <c r="BEQ127" s="899"/>
      <c r="BER127" s="899"/>
      <c r="BES127" s="899"/>
      <c r="BET127" s="899"/>
      <c r="BEU127" s="899"/>
      <c r="BEV127" s="899"/>
      <c r="BEW127" s="899"/>
      <c r="BEX127" s="899"/>
      <c r="BEY127" s="899"/>
      <c r="BEZ127" s="899"/>
      <c r="BFA127" s="899"/>
      <c r="BFB127" s="899"/>
      <c r="BFC127" s="899"/>
      <c r="BFD127" s="899"/>
      <c r="BFE127" s="899"/>
      <c r="BFF127" s="899"/>
      <c r="BFG127" s="899"/>
      <c r="BFH127" s="899"/>
      <c r="BFI127" s="899"/>
      <c r="BFJ127" s="899"/>
      <c r="BFK127" s="899"/>
      <c r="BFL127" s="899"/>
      <c r="BFM127" s="899"/>
      <c r="BFN127" s="899"/>
      <c r="BFO127" s="899"/>
      <c r="BFP127" s="899"/>
      <c r="BFQ127" s="899"/>
      <c r="BFR127" s="899"/>
      <c r="BFS127" s="899"/>
      <c r="BFT127" s="899"/>
      <c r="BFU127" s="899"/>
      <c r="BFV127" s="899"/>
      <c r="BFW127" s="899"/>
      <c r="BFX127" s="899"/>
      <c r="BFY127" s="899"/>
      <c r="BFZ127" s="899"/>
      <c r="BGA127" s="899"/>
      <c r="BGB127" s="899"/>
      <c r="BGC127" s="899"/>
      <c r="BGD127" s="899"/>
      <c r="BGE127" s="899"/>
      <c r="BGF127" s="899"/>
      <c r="BGG127" s="899"/>
      <c r="BGH127" s="899"/>
      <c r="BGI127" s="899"/>
      <c r="BGJ127" s="899"/>
      <c r="BGK127" s="899"/>
      <c r="BGL127" s="899"/>
      <c r="BGM127" s="899"/>
      <c r="BGN127" s="899"/>
      <c r="BGO127" s="899"/>
      <c r="BGP127" s="899"/>
      <c r="BGQ127" s="899"/>
      <c r="BGR127" s="899"/>
      <c r="BGS127" s="899"/>
      <c r="BGT127" s="899"/>
      <c r="BGU127" s="899"/>
      <c r="BGV127" s="899"/>
      <c r="BGW127" s="899"/>
      <c r="BGX127" s="899"/>
      <c r="BGY127" s="899"/>
      <c r="BGZ127" s="899"/>
      <c r="BHA127" s="899"/>
      <c r="BHB127" s="899"/>
      <c r="BHC127" s="899"/>
      <c r="BHD127" s="899"/>
      <c r="BHE127" s="899"/>
      <c r="BHF127" s="899"/>
      <c r="BHG127" s="899"/>
      <c r="BHH127" s="899"/>
      <c r="BHI127" s="899"/>
      <c r="BHJ127" s="899"/>
      <c r="BHK127" s="899"/>
      <c r="BHL127" s="899"/>
      <c r="BHM127" s="899"/>
      <c r="BHN127" s="899"/>
      <c r="BHO127" s="899"/>
      <c r="BHP127" s="899"/>
      <c r="BHQ127" s="899"/>
      <c r="BHR127" s="899"/>
      <c r="BHS127" s="899"/>
      <c r="BHT127" s="899"/>
      <c r="BHU127" s="899"/>
      <c r="BHV127" s="899"/>
      <c r="BHW127" s="899"/>
      <c r="BHX127" s="899"/>
      <c r="BHY127" s="899"/>
      <c r="BHZ127" s="899"/>
      <c r="BIA127" s="899"/>
      <c r="BIB127" s="899"/>
      <c r="BIC127" s="899"/>
      <c r="BID127" s="899"/>
      <c r="BIE127" s="899"/>
      <c r="BIF127" s="899"/>
      <c r="BIG127" s="899"/>
      <c r="BIH127" s="899"/>
      <c r="BII127" s="899"/>
      <c r="BIJ127" s="899"/>
      <c r="BIK127" s="899"/>
      <c r="BIL127" s="899"/>
      <c r="BIM127" s="899"/>
      <c r="BIN127" s="899"/>
      <c r="BIO127" s="899"/>
      <c r="BIP127" s="899"/>
      <c r="BIQ127" s="899"/>
      <c r="BIR127" s="899"/>
      <c r="BIS127" s="899"/>
      <c r="BIT127" s="899"/>
      <c r="BIU127" s="899"/>
      <c r="BIV127" s="899"/>
      <c r="BIW127" s="899"/>
      <c r="BIX127" s="899"/>
      <c r="BIY127" s="899"/>
      <c r="BIZ127" s="899"/>
      <c r="BJA127" s="899"/>
      <c r="BJB127" s="899"/>
      <c r="BJC127" s="899"/>
      <c r="BJD127" s="899"/>
      <c r="BJE127" s="899"/>
      <c r="BJF127" s="899"/>
      <c r="BJG127" s="899"/>
      <c r="BJH127" s="899"/>
      <c r="BJI127" s="899"/>
      <c r="BJJ127" s="899"/>
      <c r="BJK127" s="899"/>
      <c r="BJL127" s="899"/>
      <c r="BJM127" s="899"/>
      <c r="BJN127" s="899"/>
      <c r="BJO127" s="899"/>
      <c r="BJP127" s="899"/>
      <c r="BJQ127" s="899"/>
      <c r="BJR127" s="899"/>
      <c r="BJS127" s="899"/>
      <c r="BJT127" s="899"/>
      <c r="BJU127" s="899"/>
      <c r="BJV127" s="899"/>
      <c r="BJW127" s="899"/>
      <c r="BJX127" s="899"/>
      <c r="BJY127" s="899"/>
      <c r="BJZ127" s="899"/>
      <c r="BKA127" s="899"/>
      <c r="BKB127" s="899"/>
      <c r="BKC127" s="899"/>
      <c r="BKD127" s="899"/>
      <c r="BKE127" s="899"/>
      <c r="BKF127" s="899"/>
      <c r="BKG127" s="899"/>
      <c r="BKH127" s="899"/>
      <c r="BKI127" s="899"/>
      <c r="BKJ127" s="899"/>
      <c r="BKK127" s="899"/>
      <c r="BKL127" s="899"/>
      <c r="BKM127" s="899"/>
      <c r="BKN127" s="899"/>
      <c r="BKO127" s="899"/>
      <c r="BKP127" s="899"/>
      <c r="BKQ127" s="899"/>
      <c r="BKR127" s="899"/>
      <c r="BKS127" s="899"/>
      <c r="BKT127" s="899"/>
      <c r="BKU127" s="899"/>
      <c r="BKV127" s="899"/>
      <c r="BKW127" s="899"/>
      <c r="BKX127" s="899"/>
      <c r="BKY127" s="899"/>
      <c r="BKZ127" s="899"/>
      <c r="BLA127" s="899"/>
      <c r="BLB127" s="899"/>
      <c r="BLC127" s="899"/>
      <c r="BLD127" s="899"/>
      <c r="BLE127" s="899"/>
      <c r="BLF127" s="899"/>
      <c r="BLG127" s="899"/>
      <c r="BLH127" s="899"/>
      <c r="BLI127" s="899"/>
      <c r="BLJ127" s="899"/>
      <c r="BLK127" s="899"/>
      <c r="BLL127" s="899"/>
      <c r="BLM127" s="899"/>
      <c r="BLN127" s="899"/>
      <c r="BLO127" s="899"/>
      <c r="BLP127" s="899"/>
      <c r="BLQ127" s="899"/>
      <c r="BLR127" s="899"/>
      <c r="BLS127" s="899"/>
      <c r="BLT127" s="899"/>
      <c r="BLU127" s="899"/>
      <c r="BLV127" s="899"/>
      <c r="BLW127" s="899"/>
      <c r="BLX127" s="899"/>
      <c r="BLY127" s="899"/>
      <c r="BLZ127" s="899"/>
      <c r="BMA127" s="899"/>
      <c r="BMB127" s="899"/>
      <c r="BMC127" s="899"/>
      <c r="BMD127" s="899"/>
      <c r="BME127" s="899"/>
      <c r="BMF127" s="899"/>
      <c r="BMG127" s="899"/>
      <c r="BMH127" s="899"/>
      <c r="BMI127" s="899"/>
      <c r="BMJ127" s="899"/>
      <c r="BMK127" s="899"/>
      <c r="BML127" s="899"/>
      <c r="BMM127" s="899"/>
      <c r="BMN127" s="899"/>
      <c r="BMO127" s="899"/>
      <c r="BMP127" s="899"/>
      <c r="BMQ127" s="899"/>
      <c r="BMR127" s="899"/>
      <c r="BMS127" s="899"/>
      <c r="BMT127" s="899"/>
      <c r="BMU127" s="899"/>
      <c r="BMV127" s="899"/>
      <c r="BMW127" s="899"/>
      <c r="BMX127" s="899"/>
      <c r="BMY127" s="899"/>
      <c r="BMZ127" s="899"/>
      <c r="BNA127" s="899"/>
      <c r="BNB127" s="899"/>
      <c r="BNC127" s="899"/>
      <c r="BND127" s="899"/>
      <c r="BNE127" s="899"/>
      <c r="BNF127" s="899"/>
      <c r="BNG127" s="899"/>
      <c r="BNH127" s="899"/>
      <c r="BNI127" s="899"/>
      <c r="BNJ127" s="899"/>
      <c r="BNK127" s="899"/>
      <c r="BNL127" s="899"/>
      <c r="BNM127" s="899"/>
      <c r="BNN127" s="899"/>
      <c r="BNO127" s="899"/>
      <c r="BNP127" s="899"/>
      <c r="BNQ127" s="899"/>
      <c r="BNR127" s="899"/>
      <c r="BNS127" s="899"/>
      <c r="BNT127" s="899"/>
      <c r="BNU127" s="899"/>
      <c r="BNV127" s="899"/>
      <c r="BNW127" s="899"/>
      <c r="BNX127" s="899"/>
      <c r="BNY127" s="899"/>
      <c r="BNZ127" s="899"/>
      <c r="BOA127" s="899"/>
      <c r="BOB127" s="899"/>
      <c r="BOC127" s="899"/>
      <c r="BOD127" s="899"/>
      <c r="BOE127" s="899"/>
      <c r="BOF127" s="899"/>
      <c r="BOG127" s="899"/>
      <c r="BOH127" s="899"/>
      <c r="BOI127" s="899"/>
      <c r="BOJ127" s="899"/>
      <c r="BOK127" s="899"/>
      <c r="BOL127" s="899"/>
      <c r="BOM127" s="899"/>
      <c r="BON127" s="899"/>
      <c r="BOO127" s="899"/>
      <c r="BOP127" s="899"/>
      <c r="BOQ127" s="899"/>
      <c r="BOR127" s="899"/>
      <c r="BOS127" s="899"/>
      <c r="BOT127" s="899"/>
      <c r="BOU127" s="899"/>
      <c r="BOV127" s="899"/>
      <c r="BOW127" s="899"/>
      <c r="BOX127" s="899"/>
      <c r="BOY127" s="899"/>
      <c r="BOZ127" s="899"/>
      <c r="BPA127" s="899"/>
      <c r="BPB127" s="899"/>
      <c r="BPC127" s="899"/>
      <c r="BPD127" s="899"/>
      <c r="BPE127" s="899"/>
      <c r="BPF127" s="899"/>
      <c r="BPG127" s="899"/>
      <c r="BPH127" s="899"/>
      <c r="BPI127" s="899"/>
      <c r="BPJ127" s="899"/>
      <c r="BPK127" s="899"/>
      <c r="BPL127" s="899"/>
      <c r="BPM127" s="899"/>
      <c r="BPN127" s="899"/>
      <c r="BPO127" s="899"/>
      <c r="BPP127" s="899"/>
      <c r="BPQ127" s="899"/>
      <c r="BPR127" s="899"/>
      <c r="BPS127" s="899"/>
      <c r="BPT127" s="899"/>
      <c r="BPU127" s="899"/>
      <c r="BPV127" s="899"/>
    </row>
    <row r="128" spans="1:1790" s="665" customFormat="1" ht="28.9" hidden="1">
      <c r="A128" s="666" t="s">
        <v>346</v>
      </c>
      <c r="B128" s="369" t="s">
        <v>889</v>
      </c>
      <c r="C128" s="667" t="s">
        <v>1267</v>
      </c>
      <c r="D128" s="668" t="s">
        <v>1268</v>
      </c>
      <c r="E128" s="668" t="s">
        <v>897</v>
      </c>
      <c r="F128" s="671"/>
      <c r="G128" s="892" t="s">
        <v>1269</v>
      </c>
      <c r="H128" s="895" t="s">
        <v>1270</v>
      </c>
      <c r="I128" s="895" t="s">
        <v>897</v>
      </c>
      <c r="J128" s="896"/>
      <c r="K128" s="896"/>
      <c r="L128" s="896"/>
      <c r="M128" s="896"/>
      <c r="N128" s="666"/>
      <c r="O128" s="666"/>
      <c r="P128" s="667"/>
      <c r="Q128" s="668"/>
      <c r="R128" s="668"/>
      <c r="S128" s="892"/>
      <c r="T128" s="894"/>
      <c r="U128" s="895"/>
      <c r="V128" s="896"/>
      <c r="W128" s="896"/>
      <c r="X128" s="896"/>
      <c r="Y128" s="896"/>
      <c r="Z128" s="896"/>
      <c r="AA128" s="899"/>
      <c r="AB128" s="899"/>
      <c r="AC128" s="899"/>
      <c r="AD128" s="899"/>
      <c r="AE128" s="899"/>
      <c r="AF128" s="899"/>
      <c r="AG128" s="899"/>
      <c r="AH128" s="899"/>
      <c r="AI128" s="899"/>
      <c r="AJ128" s="899"/>
      <c r="AK128" s="899"/>
      <c r="AL128" s="899"/>
      <c r="AM128" s="899"/>
      <c r="AN128" s="899"/>
      <c r="AO128" s="899"/>
      <c r="AP128" s="899"/>
      <c r="AQ128" s="899"/>
      <c r="AR128" s="899"/>
      <c r="AS128" s="899"/>
      <c r="AT128" s="899"/>
      <c r="AU128" s="899"/>
      <c r="AV128" s="899"/>
      <c r="AW128" s="899"/>
      <c r="AX128" s="899"/>
      <c r="AY128" s="899"/>
      <c r="AZ128" s="899"/>
      <c r="BA128" s="899"/>
      <c r="BB128" s="899"/>
      <c r="BC128" s="899"/>
      <c r="BD128" s="899"/>
      <c r="BE128" s="899"/>
      <c r="BF128" s="899"/>
      <c r="BG128" s="899"/>
      <c r="BH128" s="899"/>
      <c r="BI128" s="899"/>
      <c r="BJ128" s="899"/>
      <c r="BK128" s="899"/>
      <c r="BL128" s="899"/>
      <c r="BM128" s="899"/>
      <c r="BN128" s="899"/>
      <c r="BO128" s="899"/>
      <c r="BP128" s="899"/>
      <c r="BQ128" s="899"/>
      <c r="BR128" s="899"/>
      <c r="BS128" s="899"/>
      <c r="BT128" s="899"/>
      <c r="BU128" s="899"/>
      <c r="BV128" s="899"/>
      <c r="BW128" s="899"/>
      <c r="BX128" s="899"/>
      <c r="BY128" s="899"/>
      <c r="BZ128" s="899"/>
      <c r="CA128" s="899"/>
      <c r="CB128" s="899"/>
      <c r="CC128" s="899"/>
      <c r="CD128" s="899"/>
      <c r="CE128" s="899"/>
      <c r="CF128" s="899"/>
      <c r="CG128" s="899"/>
      <c r="CH128" s="899"/>
      <c r="CI128" s="899"/>
      <c r="CJ128" s="899"/>
      <c r="CK128" s="899"/>
      <c r="CL128" s="899"/>
      <c r="CM128" s="899"/>
      <c r="CN128" s="899"/>
      <c r="CO128" s="899"/>
      <c r="CP128" s="899"/>
      <c r="CQ128" s="899"/>
      <c r="CR128" s="899"/>
      <c r="CS128" s="899"/>
      <c r="CT128" s="899"/>
      <c r="CU128" s="899"/>
      <c r="CV128" s="899"/>
      <c r="CW128" s="899"/>
      <c r="CX128" s="899"/>
      <c r="CY128" s="899"/>
      <c r="CZ128" s="899"/>
      <c r="DA128" s="899"/>
      <c r="DB128" s="899"/>
      <c r="DC128" s="899"/>
      <c r="DD128" s="899"/>
      <c r="DE128" s="899"/>
      <c r="DF128" s="899"/>
      <c r="DG128" s="899"/>
      <c r="DH128" s="899"/>
      <c r="DI128" s="899"/>
      <c r="DJ128" s="899"/>
      <c r="DK128" s="899"/>
      <c r="DL128" s="899"/>
      <c r="DM128" s="899"/>
      <c r="DN128" s="899"/>
      <c r="DO128" s="899"/>
      <c r="DP128" s="899"/>
      <c r="DQ128" s="899"/>
      <c r="DR128" s="899"/>
      <c r="DS128" s="899"/>
      <c r="DT128" s="899"/>
      <c r="DU128" s="899"/>
      <c r="DV128" s="899"/>
      <c r="DW128" s="899"/>
      <c r="DX128" s="899"/>
      <c r="DY128" s="899"/>
      <c r="DZ128" s="899"/>
      <c r="EA128" s="899"/>
      <c r="EB128" s="899"/>
      <c r="EC128" s="899"/>
      <c r="ED128" s="899"/>
      <c r="EE128" s="899"/>
      <c r="EF128" s="899"/>
      <c r="EG128" s="899"/>
      <c r="EH128" s="899"/>
      <c r="EI128" s="899"/>
      <c r="EJ128" s="899"/>
      <c r="EK128" s="899"/>
      <c r="EL128" s="899"/>
      <c r="EM128" s="899"/>
      <c r="EN128" s="899"/>
      <c r="EO128" s="899"/>
      <c r="EP128" s="899"/>
      <c r="EQ128" s="899"/>
      <c r="ER128" s="899"/>
      <c r="ES128" s="899"/>
      <c r="ET128" s="899"/>
      <c r="EU128" s="899"/>
      <c r="EV128" s="899"/>
      <c r="EW128" s="899"/>
      <c r="EX128" s="899"/>
      <c r="EY128" s="899"/>
      <c r="EZ128" s="899"/>
      <c r="FA128" s="899"/>
      <c r="FB128" s="899"/>
      <c r="FC128" s="899"/>
      <c r="FD128" s="899"/>
      <c r="FE128" s="899"/>
      <c r="FF128" s="899"/>
      <c r="FG128" s="899"/>
      <c r="FH128" s="899"/>
      <c r="FI128" s="899"/>
      <c r="FJ128" s="899"/>
      <c r="FK128" s="899"/>
      <c r="FL128" s="899"/>
      <c r="FM128" s="899"/>
      <c r="FN128" s="899"/>
      <c r="FO128" s="899"/>
      <c r="FP128" s="899"/>
      <c r="FQ128" s="899"/>
      <c r="FR128" s="899"/>
      <c r="FS128" s="899"/>
      <c r="FT128" s="899"/>
      <c r="FU128" s="899"/>
      <c r="FV128" s="899"/>
      <c r="FW128" s="899"/>
      <c r="FX128" s="899"/>
      <c r="FY128" s="899"/>
      <c r="FZ128" s="899"/>
      <c r="GA128" s="899"/>
      <c r="GB128" s="899"/>
      <c r="GC128" s="899"/>
      <c r="GD128" s="899"/>
      <c r="GE128" s="899"/>
      <c r="GF128" s="899"/>
      <c r="GG128" s="899"/>
      <c r="GH128" s="899"/>
      <c r="GI128" s="899"/>
      <c r="GJ128" s="899"/>
      <c r="GK128" s="899"/>
      <c r="GL128" s="899"/>
      <c r="GM128" s="899"/>
      <c r="GN128" s="899"/>
      <c r="GO128" s="899"/>
      <c r="GP128" s="899"/>
      <c r="GQ128" s="899"/>
      <c r="GR128" s="899"/>
      <c r="GS128" s="899"/>
      <c r="GT128" s="899"/>
      <c r="GU128" s="899"/>
      <c r="GV128" s="899"/>
      <c r="GW128" s="899"/>
      <c r="GX128" s="899"/>
      <c r="GY128" s="899"/>
      <c r="GZ128" s="899"/>
      <c r="HA128" s="899"/>
      <c r="HB128" s="899"/>
      <c r="HC128" s="899"/>
      <c r="HD128" s="899"/>
      <c r="HE128" s="899"/>
      <c r="HF128" s="899"/>
      <c r="HG128" s="899"/>
      <c r="HH128" s="899"/>
      <c r="HI128" s="899"/>
      <c r="HJ128" s="899"/>
      <c r="HK128" s="899"/>
      <c r="HL128" s="899"/>
      <c r="HM128" s="899"/>
      <c r="HN128" s="899"/>
      <c r="HO128" s="899"/>
      <c r="HP128" s="899"/>
      <c r="HQ128" s="899"/>
      <c r="HR128" s="899"/>
      <c r="HS128" s="899"/>
      <c r="HT128" s="899"/>
      <c r="HU128" s="899"/>
      <c r="HV128" s="899"/>
      <c r="HW128" s="899"/>
      <c r="HX128" s="899"/>
      <c r="HY128" s="899"/>
      <c r="HZ128" s="899"/>
      <c r="IA128" s="899"/>
      <c r="IB128" s="899"/>
      <c r="IC128" s="899"/>
      <c r="ID128" s="899"/>
      <c r="IE128" s="899"/>
      <c r="IF128" s="899"/>
      <c r="IG128" s="899"/>
      <c r="IH128" s="899"/>
      <c r="II128" s="899"/>
      <c r="IJ128" s="899"/>
      <c r="IK128" s="899"/>
      <c r="IL128" s="899"/>
      <c r="IM128" s="899"/>
      <c r="IN128" s="899"/>
      <c r="IO128" s="899"/>
      <c r="IP128" s="899"/>
      <c r="IQ128" s="899"/>
      <c r="IR128" s="899"/>
      <c r="IS128" s="899"/>
      <c r="IT128" s="899"/>
      <c r="IU128" s="899"/>
      <c r="IV128" s="899"/>
      <c r="IW128" s="899"/>
      <c r="IX128" s="899"/>
      <c r="IY128" s="899"/>
      <c r="IZ128" s="899"/>
      <c r="JA128" s="899"/>
      <c r="JB128" s="899"/>
      <c r="JC128" s="899"/>
      <c r="JD128" s="899"/>
      <c r="JE128" s="899"/>
      <c r="JF128" s="899"/>
      <c r="JG128" s="899"/>
      <c r="JH128" s="899"/>
      <c r="JI128" s="899"/>
      <c r="JJ128" s="899"/>
      <c r="JK128" s="899"/>
      <c r="JL128" s="899"/>
      <c r="JM128" s="899"/>
      <c r="JN128" s="899"/>
      <c r="JO128" s="899"/>
      <c r="JP128" s="899"/>
      <c r="JQ128" s="899"/>
      <c r="JR128" s="899"/>
      <c r="JS128" s="899"/>
      <c r="JT128" s="899"/>
      <c r="JU128" s="899"/>
      <c r="JV128" s="899"/>
      <c r="JW128" s="899"/>
      <c r="JX128" s="899"/>
      <c r="JY128" s="899"/>
      <c r="JZ128" s="899"/>
      <c r="KA128" s="899"/>
      <c r="KB128" s="899"/>
      <c r="KC128" s="899"/>
      <c r="KD128" s="899"/>
      <c r="KE128" s="899"/>
      <c r="KF128" s="899"/>
      <c r="KG128" s="899"/>
      <c r="KH128" s="899"/>
      <c r="KI128" s="899"/>
      <c r="KJ128" s="899"/>
      <c r="KK128" s="899"/>
      <c r="KL128" s="899"/>
      <c r="KM128" s="899"/>
      <c r="KN128" s="899"/>
      <c r="KO128" s="899"/>
      <c r="KP128" s="899"/>
      <c r="KQ128" s="899"/>
      <c r="KR128" s="899"/>
      <c r="KS128" s="899"/>
      <c r="KT128" s="899"/>
      <c r="KU128" s="899"/>
      <c r="KV128" s="899"/>
      <c r="KW128" s="899"/>
      <c r="KX128" s="899"/>
      <c r="KY128" s="899"/>
      <c r="KZ128" s="899"/>
      <c r="LA128" s="899"/>
      <c r="LB128" s="899"/>
      <c r="LC128" s="899"/>
      <c r="LD128" s="899"/>
      <c r="LE128" s="899"/>
      <c r="LF128" s="899"/>
      <c r="LG128" s="899"/>
      <c r="LH128" s="899"/>
      <c r="LI128" s="899"/>
      <c r="LJ128" s="899"/>
      <c r="LK128" s="899"/>
      <c r="LL128" s="899"/>
      <c r="LM128" s="899"/>
      <c r="LN128" s="899"/>
      <c r="LO128" s="899"/>
      <c r="LP128" s="899"/>
      <c r="LQ128" s="899"/>
      <c r="LR128" s="899"/>
      <c r="LS128" s="899"/>
      <c r="LT128" s="899"/>
      <c r="LU128" s="899"/>
      <c r="LV128" s="899"/>
      <c r="LW128" s="899"/>
      <c r="LX128" s="899"/>
      <c r="LY128" s="899"/>
      <c r="LZ128" s="899"/>
      <c r="MA128" s="899"/>
      <c r="MB128" s="899"/>
      <c r="MC128" s="899"/>
      <c r="MD128" s="899"/>
      <c r="ME128" s="899"/>
      <c r="MF128" s="899"/>
      <c r="MG128" s="899"/>
      <c r="MH128" s="899"/>
      <c r="MI128" s="899"/>
      <c r="MJ128" s="899"/>
      <c r="MK128" s="899"/>
      <c r="ML128" s="899"/>
      <c r="MM128" s="899"/>
      <c r="MN128" s="899"/>
      <c r="MO128" s="899"/>
      <c r="MP128" s="899"/>
      <c r="MQ128" s="899"/>
      <c r="MR128" s="899"/>
      <c r="MS128" s="899"/>
      <c r="MT128" s="899"/>
      <c r="MU128" s="899"/>
      <c r="MV128" s="899"/>
      <c r="MW128" s="899"/>
      <c r="MX128" s="899"/>
      <c r="MY128" s="899"/>
      <c r="MZ128" s="899"/>
      <c r="NA128" s="899"/>
      <c r="NB128" s="899"/>
      <c r="NC128" s="899"/>
      <c r="ND128" s="899"/>
      <c r="NE128" s="899"/>
      <c r="NF128" s="899"/>
      <c r="NG128" s="899"/>
      <c r="NH128" s="899"/>
      <c r="NI128" s="899"/>
      <c r="NJ128" s="899"/>
      <c r="NK128" s="899"/>
      <c r="NL128" s="899"/>
      <c r="NM128" s="899"/>
      <c r="NN128" s="899"/>
      <c r="NO128" s="899"/>
      <c r="NP128" s="899"/>
      <c r="NQ128" s="899"/>
      <c r="NR128" s="899"/>
      <c r="NS128" s="899"/>
      <c r="NT128" s="899"/>
      <c r="NU128" s="899"/>
      <c r="NV128" s="899"/>
      <c r="NW128" s="899"/>
      <c r="NX128" s="899"/>
      <c r="NY128" s="899"/>
      <c r="NZ128" s="899"/>
      <c r="OA128" s="899"/>
      <c r="OB128" s="899"/>
      <c r="OC128" s="899"/>
      <c r="OD128" s="899"/>
      <c r="OE128" s="899"/>
      <c r="OF128" s="899"/>
      <c r="OG128" s="899"/>
      <c r="OH128" s="899"/>
      <c r="OI128" s="899"/>
      <c r="OJ128" s="899"/>
      <c r="OK128" s="899"/>
      <c r="OL128" s="899"/>
      <c r="OM128" s="899"/>
      <c r="ON128" s="899"/>
      <c r="OO128" s="899"/>
      <c r="OP128" s="899"/>
      <c r="OQ128" s="899"/>
      <c r="OR128" s="899"/>
      <c r="OS128" s="899"/>
      <c r="OT128" s="899"/>
      <c r="OU128" s="899"/>
      <c r="OV128" s="899"/>
      <c r="OW128" s="899"/>
      <c r="OX128" s="899"/>
      <c r="OY128" s="899"/>
      <c r="OZ128" s="899"/>
      <c r="PA128" s="899"/>
      <c r="PB128" s="899"/>
      <c r="PC128" s="899"/>
      <c r="PD128" s="899"/>
      <c r="PE128" s="899"/>
      <c r="PF128" s="899"/>
      <c r="PG128" s="899"/>
      <c r="PH128" s="899"/>
      <c r="PI128" s="899"/>
      <c r="PJ128" s="899"/>
      <c r="PK128" s="899"/>
      <c r="PL128" s="899"/>
      <c r="PM128" s="899"/>
      <c r="PN128" s="899"/>
      <c r="PO128" s="899"/>
      <c r="PP128" s="899"/>
      <c r="PQ128" s="899"/>
      <c r="PR128" s="899"/>
      <c r="PS128" s="899"/>
      <c r="PT128" s="899"/>
      <c r="PU128" s="899"/>
      <c r="PV128" s="899"/>
      <c r="PW128" s="899"/>
      <c r="PX128" s="899"/>
      <c r="PY128" s="899"/>
      <c r="PZ128" s="899"/>
      <c r="QA128" s="899"/>
      <c r="QB128" s="899"/>
      <c r="QC128" s="899"/>
      <c r="QD128" s="899"/>
      <c r="QE128" s="899"/>
      <c r="QF128" s="899"/>
      <c r="QG128" s="899"/>
      <c r="QH128" s="899"/>
      <c r="QI128" s="899"/>
      <c r="QJ128" s="899"/>
      <c r="QK128" s="899"/>
      <c r="QL128" s="899"/>
      <c r="QM128" s="899"/>
      <c r="QN128" s="899"/>
      <c r="QO128" s="899"/>
      <c r="QP128" s="899"/>
      <c r="QQ128" s="899"/>
      <c r="QR128" s="899"/>
      <c r="QS128" s="899"/>
      <c r="QT128" s="899"/>
      <c r="QU128" s="899"/>
      <c r="QV128" s="899"/>
      <c r="QW128" s="899"/>
      <c r="QX128" s="899"/>
      <c r="QY128" s="899"/>
      <c r="QZ128" s="899"/>
      <c r="RA128" s="899"/>
      <c r="RB128" s="899"/>
      <c r="RC128" s="899"/>
      <c r="RD128" s="899"/>
      <c r="RE128" s="899"/>
      <c r="RF128" s="899"/>
      <c r="RG128" s="899"/>
      <c r="RH128" s="899"/>
      <c r="RI128" s="899"/>
      <c r="RJ128" s="899"/>
      <c r="RK128" s="899"/>
      <c r="RL128" s="899"/>
      <c r="RM128" s="899"/>
      <c r="RN128" s="899"/>
      <c r="RO128" s="899"/>
      <c r="RP128" s="899"/>
      <c r="RQ128" s="899"/>
      <c r="RR128" s="899"/>
      <c r="RS128" s="899"/>
      <c r="RT128" s="899"/>
      <c r="RU128" s="899"/>
      <c r="RV128" s="899"/>
      <c r="RW128" s="899"/>
      <c r="RX128" s="899"/>
      <c r="RY128" s="899"/>
      <c r="RZ128" s="899"/>
      <c r="SA128" s="899"/>
      <c r="SB128" s="899"/>
      <c r="SC128" s="899"/>
      <c r="SD128" s="899"/>
      <c r="SE128" s="899"/>
      <c r="SF128" s="899"/>
      <c r="SG128" s="899"/>
      <c r="SH128" s="899"/>
      <c r="SI128" s="899"/>
      <c r="SJ128" s="899"/>
      <c r="SK128" s="899"/>
      <c r="SL128" s="899"/>
      <c r="SM128" s="899"/>
      <c r="SN128" s="899"/>
      <c r="SO128" s="899"/>
      <c r="SP128" s="899"/>
      <c r="SQ128" s="899"/>
      <c r="SR128" s="899"/>
      <c r="SS128" s="899"/>
      <c r="ST128" s="899"/>
      <c r="SU128" s="899"/>
      <c r="SV128" s="899"/>
      <c r="SW128" s="899"/>
      <c r="SX128" s="899"/>
      <c r="SY128" s="899"/>
      <c r="SZ128" s="899"/>
      <c r="TA128" s="899"/>
      <c r="TB128" s="899"/>
      <c r="TC128" s="899"/>
      <c r="TD128" s="899"/>
      <c r="TE128" s="899"/>
      <c r="TF128" s="899"/>
      <c r="TG128" s="899"/>
      <c r="TH128" s="899"/>
      <c r="TI128" s="899"/>
      <c r="TJ128" s="899"/>
      <c r="TK128" s="899"/>
      <c r="TL128" s="899"/>
      <c r="TM128" s="899"/>
      <c r="TN128" s="899"/>
      <c r="TO128" s="899"/>
      <c r="TP128" s="899"/>
      <c r="TQ128" s="899"/>
      <c r="TR128" s="899"/>
      <c r="TS128" s="899"/>
      <c r="TT128" s="899"/>
      <c r="TU128" s="899"/>
      <c r="TV128" s="899"/>
      <c r="TW128" s="899"/>
      <c r="TX128" s="899"/>
      <c r="TY128" s="899"/>
      <c r="TZ128" s="899"/>
      <c r="UA128" s="899"/>
      <c r="UB128" s="899"/>
      <c r="UC128" s="899"/>
      <c r="UD128" s="899"/>
      <c r="UE128" s="899"/>
      <c r="UF128" s="899"/>
      <c r="UG128" s="899"/>
      <c r="UH128" s="899"/>
      <c r="UI128" s="899"/>
      <c r="UJ128" s="899"/>
      <c r="UK128" s="899"/>
      <c r="UL128" s="899"/>
      <c r="UM128" s="899"/>
      <c r="UN128" s="899"/>
      <c r="UO128" s="899"/>
      <c r="UP128" s="899"/>
      <c r="UQ128" s="899"/>
      <c r="UR128" s="899"/>
      <c r="US128" s="899"/>
      <c r="UT128" s="899"/>
      <c r="UU128" s="899"/>
      <c r="UV128" s="899"/>
      <c r="UW128" s="899"/>
      <c r="UX128" s="899"/>
      <c r="UY128" s="899"/>
      <c r="UZ128" s="899"/>
      <c r="VA128" s="899"/>
      <c r="VB128" s="899"/>
      <c r="VC128" s="899"/>
      <c r="VD128" s="899"/>
      <c r="VE128" s="899"/>
      <c r="VF128" s="899"/>
      <c r="VG128" s="899"/>
      <c r="VH128" s="899"/>
      <c r="VI128" s="899"/>
      <c r="VJ128" s="899"/>
      <c r="VK128" s="899"/>
      <c r="VL128" s="899"/>
      <c r="VM128" s="899"/>
      <c r="VN128" s="899"/>
      <c r="VO128" s="899"/>
      <c r="VP128" s="899"/>
      <c r="VQ128" s="899"/>
      <c r="VR128" s="899"/>
      <c r="VS128" s="899"/>
      <c r="VT128" s="899"/>
      <c r="VU128" s="899"/>
      <c r="VV128" s="899"/>
      <c r="VW128" s="899"/>
      <c r="VX128" s="899"/>
      <c r="VY128" s="899"/>
      <c r="VZ128" s="899"/>
      <c r="WA128" s="899"/>
      <c r="WB128" s="899"/>
      <c r="WC128" s="899"/>
      <c r="WD128" s="899"/>
      <c r="WE128" s="899"/>
      <c r="WF128" s="899"/>
      <c r="WG128" s="899"/>
      <c r="WH128" s="899"/>
      <c r="WI128" s="899"/>
      <c r="WJ128" s="899"/>
      <c r="WK128" s="899"/>
      <c r="WL128" s="899"/>
      <c r="WM128" s="899"/>
      <c r="WN128" s="899"/>
      <c r="WO128" s="899"/>
      <c r="WP128" s="899"/>
      <c r="WQ128" s="899"/>
      <c r="WR128" s="899"/>
      <c r="WS128" s="899"/>
      <c r="WT128" s="899"/>
      <c r="WU128" s="899"/>
      <c r="WV128" s="899"/>
      <c r="WW128" s="899"/>
      <c r="WX128" s="899"/>
      <c r="WY128" s="899"/>
      <c r="WZ128" s="899"/>
      <c r="XA128" s="899"/>
      <c r="XB128" s="899"/>
      <c r="XC128" s="899"/>
      <c r="XD128" s="899"/>
      <c r="XE128" s="899"/>
      <c r="XF128" s="899"/>
      <c r="XG128" s="899"/>
      <c r="XH128" s="899"/>
      <c r="XI128" s="899"/>
      <c r="XJ128" s="899"/>
      <c r="XK128" s="899"/>
      <c r="XL128" s="899"/>
      <c r="XM128" s="899"/>
      <c r="XN128" s="899"/>
      <c r="XO128" s="899"/>
      <c r="XP128" s="899"/>
      <c r="XQ128" s="899"/>
      <c r="XR128" s="899"/>
      <c r="XS128" s="899"/>
      <c r="XT128" s="899"/>
      <c r="XU128" s="899"/>
      <c r="XV128" s="899"/>
      <c r="XW128" s="899"/>
      <c r="XX128" s="899"/>
      <c r="XY128" s="899"/>
      <c r="XZ128" s="899"/>
      <c r="YA128" s="899"/>
      <c r="YB128" s="899"/>
      <c r="YC128" s="899"/>
      <c r="YD128" s="899"/>
      <c r="YE128" s="899"/>
      <c r="YF128" s="899"/>
      <c r="YG128" s="899"/>
      <c r="YH128" s="899"/>
      <c r="YI128" s="899"/>
      <c r="YJ128" s="899"/>
      <c r="YK128" s="899"/>
      <c r="YL128" s="899"/>
      <c r="YM128" s="899"/>
      <c r="YN128" s="899"/>
      <c r="YO128" s="899"/>
      <c r="YP128" s="899"/>
      <c r="YQ128" s="899"/>
      <c r="YR128" s="899"/>
      <c r="YS128" s="899"/>
      <c r="YT128" s="899"/>
      <c r="YU128" s="899"/>
      <c r="YV128" s="899"/>
      <c r="YW128" s="899"/>
      <c r="YX128" s="899"/>
      <c r="YY128" s="899"/>
      <c r="YZ128" s="899"/>
      <c r="ZA128" s="899"/>
      <c r="ZB128" s="899"/>
      <c r="ZC128" s="899"/>
      <c r="ZD128" s="899"/>
      <c r="ZE128" s="899"/>
      <c r="ZF128" s="899"/>
      <c r="ZG128" s="899"/>
      <c r="ZH128" s="899"/>
      <c r="ZI128" s="899"/>
      <c r="ZJ128" s="899"/>
      <c r="ZK128" s="899"/>
      <c r="ZL128" s="899"/>
      <c r="ZM128" s="899"/>
      <c r="ZN128" s="899"/>
      <c r="ZO128" s="899"/>
      <c r="ZP128" s="899"/>
      <c r="ZQ128" s="899"/>
      <c r="ZR128" s="899"/>
      <c r="ZS128" s="899"/>
      <c r="ZT128" s="899"/>
      <c r="ZU128" s="899"/>
      <c r="ZV128" s="899"/>
      <c r="ZW128" s="899"/>
      <c r="ZX128" s="899"/>
      <c r="ZY128" s="899"/>
      <c r="ZZ128" s="899"/>
      <c r="AAA128" s="899"/>
      <c r="AAB128" s="899"/>
      <c r="AAC128" s="899"/>
      <c r="AAD128" s="899"/>
      <c r="AAE128" s="899"/>
      <c r="AAF128" s="899"/>
      <c r="AAG128" s="899"/>
      <c r="AAH128" s="899"/>
      <c r="AAI128" s="899"/>
      <c r="AAJ128" s="899"/>
      <c r="AAK128" s="899"/>
      <c r="AAL128" s="899"/>
      <c r="AAM128" s="899"/>
      <c r="AAN128" s="899"/>
      <c r="AAO128" s="899"/>
      <c r="AAP128" s="899"/>
      <c r="AAQ128" s="899"/>
      <c r="AAR128" s="899"/>
      <c r="AAS128" s="899"/>
      <c r="AAT128" s="899"/>
      <c r="AAU128" s="899"/>
      <c r="AAV128" s="899"/>
      <c r="AAW128" s="899"/>
      <c r="AAX128" s="899"/>
      <c r="AAY128" s="899"/>
      <c r="AAZ128" s="899"/>
      <c r="ABA128" s="899"/>
      <c r="ABB128" s="899"/>
      <c r="ABC128" s="899"/>
      <c r="ABD128" s="899"/>
      <c r="ABE128" s="899"/>
      <c r="ABF128" s="899"/>
      <c r="ABG128" s="899"/>
      <c r="ABH128" s="899"/>
      <c r="ABI128" s="899"/>
      <c r="ABJ128" s="899"/>
      <c r="ABK128" s="899"/>
      <c r="ABL128" s="899"/>
      <c r="ABM128" s="899"/>
      <c r="ABN128" s="899"/>
      <c r="ABO128" s="899"/>
      <c r="ABP128" s="899"/>
      <c r="ABQ128" s="899"/>
      <c r="ABR128" s="899"/>
      <c r="ABS128" s="899"/>
      <c r="ABT128" s="899"/>
      <c r="ABU128" s="899"/>
      <c r="ABV128" s="899"/>
      <c r="ABW128" s="899"/>
      <c r="ABX128" s="899"/>
      <c r="ABY128" s="899"/>
      <c r="ABZ128" s="899"/>
      <c r="ACA128" s="899"/>
      <c r="ACB128" s="899"/>
      <c r="ACC128" s="899"/>
      <c r="ACD128" s="899"/>
      <c r="ACE128" s="899"/>
      <c r="ACF128" s="899"/>
      <c r="ACG128" s="899"/>
      <c r="ACH128" s="899"/>
      <c r="ACI128" s="899"/>
      <c r="ACJ128" s="899"/>
      <c r="ACK128" s="899"/>
      <c r="ACL128" s="899"/>
      <c r="ACM128" s="899"/>
      <c r="ACN128" s="899"/>
      <c r="ACO128" s="899"/>
      <c r="ACP128" s="899"/>
      <c r="ACQ128" s="899"/>
      <c r="ACR128" s="899"/>
      <c r="ACS128" s="899"/>
      <c r="ACT128" s="899"/>
      <c r="ACU128" s="899"/>
      <c r="ACV128" s="899"/>
      <c r="ACW128" s="899"/>
      <c r="ACX128" s="899"/>
      <c r="ACY128" s="899"/>
      <c r="ACZ128" s="899"/>
      <c r="ADA128" s="899"/>
      <c r="ADB128" s="899"/>
      <c r="ADC128" s="899"/>
      <c r="ADD128" s="899"/>
      <c r="ADE128" s="899"/>
      <c r="ADF128" s="899"/>
      <c r="ADG128" s="899"/>
      <c r="ADH128" s="899"/>
      <c r="ADI128" s="899"/>
      <c r="ADJ128" s="899"/>
      <c r="ADK128" s="899"/>
      <c r="ADL128" s="899"/>
      <c r="ADM128" s="899"/>
      <c r="ADN128" s="899"/>
      <c r="ADO128" s="899"/>
      <c r="ADP128" s="899"/>
      <c r="ADQ128" s="899"/>
      <c r="ADR128" s="899"/>
      <c r="ADS128" s="899"/>
      <c r="ADT128" s="899"/>
      <c r="ADU128" s="899"/>
      <c r="ADV128" s="899"/>
      <c r="ADW128" s="899"/>
      <c r="ADX128" s="899"/>
      <c r="ADY128" s="899"/>
      <c r="ADZ128" s="899"/>
      <c r="AEA128" s="899"/>
      <c r="AEB128" s="899"/>
      <c r="AEC128" s="899"/>
      <c r="AED128" s="899"/>
      <c r="AEE128" s="899"/>
      <c r="AEF128" s="899"/>
      <c r="AEG128" s="899"/>
      <c r="AEH128" s="899"/>
      <c r="AEI128" s="899"/>
      <c r="AEJ128" s="899"/>
      <c r="AEK128" s="899"/>
      <c r="AEL128" s="899"/>
      <c r="AEM128" s="899"/>
      <c r="AEN128" s="899"/>
      <c r="AEO128" s="899"/>
      <c r="AEP128" s="899"/>
      <c r="AEQ128" s="899"/>
      <c r="AER128" s="899"/>
      <c r="AES128" s="899"/>
      <c r="AET128" s="899"/>
      <c r="AEU128" s="899"/>
      <c r="AEV128" s="899"/>
      <c r="AEW128" s="899"/>
      <c r="AEX128" s="899"/>
      <c r="AEY128" s="899"/>
      <c r="AEZ128" s="899"/>
      <c r="AFA128" s="899"/>
      <c r="AFB128" s="899"/>
      <c r="AFC128" s="899"/>
      <c r="AFD128" s="899"/>
      <c r="AFE128" s="899"/>
      <c r="AFF128" s="899"/>
      <c r="AFG128" s="899"/>
      <c r="AFH128" s="899"/>
      <c r="AFI128" s="899"/>
      <c r="AFJ128" s="899"/>
      <c r="AFK128" s="899"/>
      <c r="AFL128" s="899"/>
      <c r="AFM128" s="899"/>
      <c r="AFN128" s="899"/>
      <c r="AFO128" s="899"/>
      <c r="AFP128" s="899"/>
      <c r="AFQ128" s="899"/>
      <c r="AFR128" s="899"/>
      <c r="AFS128" s="899"/>
      <c r="AFT128" s="899"/>
      <c r="AFU128" s="899"/>
      <c r="AFV128" s="899"/>
      <c r="AFW128" s="899"/>
      <c r="AFX128" s="899"/>
      <c r="AFY128" s="899"/>
      <c r="AFZ128" s="899"/>
      <c r="AGA128" s="899"/>
      <c r="AGB128" s="899"/>
      <c r="AGC128" s="899"/>
      <c r="AGD128" s="899"/>
      <c r="AGE128" s="899"/>
      <c r="AGF128" s="899"/>
      <c r="AGG128" s="899"/>
      <c r="AGH128" s="899"/>
      <c r="AGI128" s="899"/>
      <c r="AGJ128" s="899"/>
      <c r="AGK128" s="899"/>
      <c r="AGL128" s="899"/>
      <c r="AGM128" s="899"/>
      <c r="AGN128" s="899"/>
      <c r="AGO128" s="899"/>
      <c r="AGP128" s="899"/>
      <c r="AGQ128" s="899"/>
      <c r="AGR128" s="899"/>
      <c r="AGS128" s="899"/>
      <c r="AGT128" s="899"/>
      <c r="AGU128" s="899"/>
      <c r="AGV128" s="899"/>
      <c r="AGW128" s="899"/>
      <c r="AGX128" s="899"/>
      <c r="AGY128" s="899"/>
      <c r="AGZ128" s="899"/>
      <c r="AHA128" s="899"/>
      <c r="AHB128" s="899"/>
      <c r="AHC128" s="899"/>
      <c r="AHD128" s="899"/>
      <c r="AHE128" s="899"/>
      <c r="AHF128" s="899"/>
      <c r="AHG128" s="899"/>
      <c r="AHH128" s="899"/>
      <c r="AHI128" s="899"/>
      <c r="AHJ128" s="899"/>
      <c r="AHK128" s="899"/>
      <c r="AHL128" s="899"/>
      <c r="AHM128" s="899"/>
      <c r="AHN128" s="899"/>
      <c r="AHO128" s="899"/>
      <c r="AHP128" s="899"/>
      <c r="AHQ128" s="899"/>
      <c r="AHR128" s="899"/>
      <c r="AHS128" s="899"/>
      <c r="AHT128" s="899"/>
      <c r="AHU128" s="899"/>
      <c r="AHV128" s="899"/>
      <c r="AHW128" s="899"/>
      <c r="AHX128" s="899"/>
      <c r="AHY128" s="899"/>
      <c r="AHZ128" s="899"/>
      <c r="AIA128" s="899"/>
      <c r="AIB128" s="899"/>
      <c r="AIC128" s="899"/>
      <c r="AID128" s="899"/>
      <c r="AIE128" s="899"/>
      <c r="AIF128" s="899"/>
      <c r="AIG128" s="899"/>
      <c r="AIH128" s="899"/>
      <c r="AII128" s="899"/>
      <c r="AIJ128" s="899"/>
      <c r="AIK128" s="899"/>
      <c r="AIL128" s="899"/>
      <c r="AIM128" s="899"/>
      <c r="AIN128" s="899"/>
      <c r="AIO128" s="899"/>
      <c r="AIP128" s="899"/>
      <c r="AIQ128" s="899"/>
      <c r="AIR128" s="899"/>
      <c r="AIS128" s="899"/>
      <c r="AIT128" s="899"/>
      <c r="AIU128" s="899"/>
      <c r="AIV128" s="899"/>
      <c r="AIW128" s="899"/>
      <c r="AIX128" s="899"/>
      <c r="AIY128" s="899"/>
      <c r="AIZ128" s="899"/>
      <c r="AJA128" s="899"/>
      <c r="AJB128" s="899"/>
      <c r="AJC128" s="899"/>
      <c r="AJD128" s="899"/>
      <c r="AJE128" s="899"/>
      <c r="AJF128" s="899"/>
      <c r="AJG128" s="899"/>
      <c r="AJH128" s="899"/>
      <c r="AJI128" s="899"/>
      <c r="AJJ128" s="899"/>
      <c r="AJK128" s="899"/>
      <c r="AJL128" s="899"/>
      <c r="AJM128" s="899"/>
      <c r="AJN128" s="899"/>
      <c r="AJO128" s="899"/>
      <c r="AJP128" s="899"/>
      <c r="AJQ128" s="899"/>
      <c r="AJR128" s="899"/>
      <c r="AJS128" s="899"/>
      <c r="AJT128" s="899"/>
      <c r="AJU128" s="899"/>
      <c r="AJV128" s="899"/>
      <c r="AJW128" s="899"/>
      <c r="AJX128" s="899"/>
      <c r="AJY128" s="899"/>
      <c r="AJZ128" s="899"/>
      <c r="AKA128" s="899"/>
      <c r="AKB128" s="899"/>
      <c r="AKC128" s="899"/>
      <c r="AKD128" s="899"/>
      <c r="AKE128" s="899"/>
      <c r="AKF128" s="899"/>
      <c r="AKG128" s="899"/>
      <c r="AKH128" s="899"/>
      <c r="AKI128" s="899"/>
      <c r="AKJ128" s="899"/>
      <c r="AKK128" s="899"/>
      <c r="AKL128" s="899"/>
      <c r="AKM128" s="899"/>
      <c r="AKN128" s="899"/>
      <c r="AKO128" s="899"/>
      <c r="AKP128" s="899"/>
      <c r="AKQ128" s="899"/>
      <c r="AKR128" s="899"/>
      <c r="AKS128" s="899"/>
      <c r="AKT128" s="899"/>
      <c r="AKU128" s="899"/>
      <c r="AKV128" s="899"/>
      <c r="AKW128" s="899"/>
      <c r="AKX128" s="899"/>
      <c r="AKY128" s="899"/>
      <c r="AKZ128" s="899"/>
      <c r="ALA128" s="899"/>
      <c r="ALB128" s="899"/>
      <c r="ALC128" s="899"/>
      <c r="ALD128" s="899"/>
      <c r="ALE128" s="899"/>
      <c r="ALF128" s="899"/>
      <c r="ALG128" s="899"/>
      <c r="ALH128" s="899"/>
      <c r="ALI128" s="899"/>
      <c r="ALJ128" s="899"/>
      <c r="ALK128" s="899"/>
      <c r="ALL128" s="899"/>
      <c r="ALM128" s="899"/>
      <c r="ALN128" s="899"/>
      <c r="ALO128" s="899"/>
      <c r="ALP128" s="899"/>
      <c r="ALQ128" s="899"/>
      <c r="ALR128" s="899"/>
      <c r="ALS128" s="899"/>
      <c r="ALT128" s="899"/>
      <c r="ALU128" s="899"/>
      <c r="ALV128" s="899"/>
      <c r="ALW128" s="899"/>
      <c r="ALX128" s="899"/>
      <c r="ALY128" s="899"/>
      <c r="ALZ128" s="899"/>
      <c r="AMA128" s="899"/>
      <c r="AMB128" s="899"/>
      <c r="AMC128" s="899"/>
      <c r="AMD128" s="899"/>
      <c r="AME128" s="899"/>
      <c r="AMF128" s="899"/>
      <c r="AMG128" s="899"/>
      <c r="AMH128" s="899"/>
      <c r="AMI128" s="899"/>
      <c r="AMJ128" s="899"/>
      <c r="AMK128" s="899"/>
      <c r="AML128" s="899"/>
      <c r="AMM128" s="899"/>
      <c r="AMN128" s="899"/>
      <c r="AMO128" s="899"/>
      <c r="AMP128" s="899"/>
      <c r="AMQ128" s="899"/>
      <c r="AMR128" s="899"/>
      <c r="AMS128" s="899"/>
      <c r="AMT128" s="899"/>
      <c r="AMU128" s="899"/>
      <c r="AMV128" s="899"/>
      <c r="AMW128" s="899"/>
      <c r="AMX128" s="899"/>
      <c r="AMY128" s="899"/>
      <c r="AMZ128" s="899"/>
      <c r="ANA128" s="899"/>
      <c r="ANB128" s="899"/>
      <c r="ANC128" s="899"/>
      <c r="AND128" s="899"/>
      <c r="ANE128" s="899"/>
      <c r="ANF128" s="899"/>
      <c r="ANG128" s="899"/>
      <c r="ANH128" s="899"/>
      <c r="ANI128" s="899"/>
      <c r="ANJ128" s="899"/>
      <c r="ANK128" s="899"/>
      <c r="ANL128" s="899"/>
      <c r="ANM128" s="899"/>
      <c r="ANN128" s="899"/>
      <c r="ANO128" s="899"/>
      <c r="ANP128" s="899"/>
      <c r="ANQ128" s="899"/>
      <c r="ANR128" s="899"/>
      <c r="ANS128" s="899"/>
      <c r="ANT128" s="899"/>
      <c r="ANU128" s="899"/>
      <c r="ANV128" s="899"/>
      <c r="ANW128" s="899"/>
      <c r="ANX128" s="899"/>
      <c r="ANY128" s="899"/>
      <c r="ANZ128" s="899"/>
      <c r="AOA128" s="899"/>
      <c r="AOB128" s="899"/>
      <c r="AOC128" s="899"/>
      <c r="AOD128" s="899"/>
      <c r="AOE128" s="899"/>
      <c r="AOF128" s="899"/>
      <c r="AOG128" s="899"/>
      <c r="AOH128" s="899"/>
      <c r="AOI128" s="899"/>
      <c r="AOJ128" s="899"/>
      <c r="AOK128" s="899"/>
      <c r="AOL128" s="899"/>
      <c r="AOM128" s="899"/>
      <c r="AON128" s="899"/>
      <c r="AOO128" s="899"/>
      <c r="AOP128" s="899"/>
      <c r="AOQ128" s="899"/>
      <c r="AOR128" s="899"/>
      <c r="AOS128" s="899"/>
      <c r="AOT128" s="899"/>
      <c r="AOU128" s="899"/>
      <c r="AOV128" s="899"/>
      <c r="AOW128" s="899"/>
      <c r="AOX128" s="899"/>
      <c r="AOY128" s="899"/>
      <c r="AOZ128" s="899"/>
      <c r="APA128" s="899"/>
      <c r="APB128" s="899"/>
      <c r="APC128" s="899"/>
      <c r="APD128" s="899"/>
      <c r="APE128" s="899"/>
      <c r="APF128" s="899"/>
      <c r="APG128" s="899"/>
      <c r="APH128" s="899"/>
      <c r="API128" s="899"/>
      <c r="APJ128" s="899"/>
      <c r="APK128" s="899"/>
      <c r="APL128" s="899"/>
      <c r="APM128" s="899"/>
      <c r="APN128" s="899"/>
      <c r="APO128" s="899"/>
      <c r="APP128" s="899"/>
      <c r="APQ128" s="899"/>
      <c r="APR128" s="899"/>
      <c r="APS128" s="899"/>
      <c r="APT128" s="899"/>
      <c r="APU128" s="899"/>
      <c r="APV128" s="899"/>
      <c r="APW128" s="899"/>
      <c r="APX128" s="899"/>
      <c r="APY128" s="899"/>
      <c r="APZ128" s="899"/>
      <c r="AQA128" s="899"/>
      <c r="AQB128" s="899"/>
      <c r="AQC128" s="899"/>
      <c r="AQD128" s="899"/>
      <c r="AQE128" s="899"/>
      <c r="AQF128" s="899"/>
      <c r="AQG128" s="899"/>
      <c r="AQH128" s="899"/>
      <c r="AQI128" s="899"/>
      <c r="AQJ128" s="899"/>
      <c r="AQK128" s="899"/>
      <c r="AQL128" s="899"/>
      <c r="AQM128" s="899"/>
      <c r="AQN128" s="899"/>
      <c r="AQO128" s="899"/>
      <c r="AQP128" s="899"/>
      <c r="AQQ128" s="899"/>
      <c r="AQR128" s="899"/>
      <c r="AQS128" s="899"/>
      <c r="AQT128" s="899"/>
      <c r="AQU128" s="899"/>
      <c r="AQV128" s="899"/>
      <c r="AQW128" s="899"/>
      <c r="AQX128" s="899"/>
      <c r="AQY128" s="899"/>
      <c r="AQZ128" s="899"/>
      <c r="ARA128" s="899"/>
      <c r="ARB128" s="899"/>
      <c r="ARC128" s="899"/>
      <c r="ARD128" s="899"/>
      <c r="ARE128" s="899"/>
      <c r="ARF128" s="899"/>
      <c r="ARG128" s="899"/>
      <c r="ARH128" s="899"/>
      <c r="ARI128" s="899"/>
      <c r="ARJ128" s="899"/>
      <c r="ARK128" s="899"/>
      <c r="ARL128" s="899"/>
      <c r="ARM128" s="899"/>
      <c r="ARN128" s="899"/>
      <c r="ARO128" s="899"/>
      <c r="ARP128" s="899"/>
      <c r="ARQ128" s="899"/>
      <c r="ARR128" s="899"/>
      <c r="ARS128" s="899"/>
      <c r="ART128" s="899"/>
      <c r="ARU128" s="899"/>
      <c r="ARV128" s="899"/>
      <c r="ARW128" s="899"/>
      <c r="ARX128" s="899"/>
      <c r="ARY128" s="899"/>
      <c r="ARZ128" s="899"/>
      <c r="ASA128" s="899"/>
      <c r="ASB128" s="899"/>
      <c r="ASC128" s="899"/>
      <c r="ASD128" s="899"/>
      <c r="ASE128" s="899"/>
      <c r="ASF128" s="899"/>
      <c r="ASG128" s="899"/>
      <c r="ASH128" s="899"/>
      <c r="ASI128" s="899"/>
      <c r="ASJ128" s="899"/>
      <c r="ASK128" s="899"/>
      <c r="ASL128" s="899"/>
      <c r="ASM128" s="899"/>
      <c r="ASN128" s="899"/>
      <c r="ASO128" s="899"/>
      <c r="ASP128" s="899"/>
      <c r="ASQ128" s="899"/>
      <c r="ASR128" s="899"/>
      <c r="ASS128" s="899"/>
      <c r="AST128" s="899"/>
      <c r="ASU128" s="899"/>
      <c r="ASV128" s="899"/>
      <c r="ASW128" s="899"/>
      <c r="ASX128" s="899"/>
      <c r="ASY128" s="899"/>
      <c r="ASZ128" s="899"/>
      <c r="ATA128" s="899"/>
      <c r="ATB128" s="899"/>
      <c r="ATC128" s="899"/>
      <c r="ATD128" s="899"/>
      <c r="ATE128" s="899"/>
      <c r="ATF128" s="899"/>
      <c r="ATG128" s="899"/>
      <c r="ATH128" s="899"/>
      <c r="ATI128" s="899"/>
      <c r="ATJ128" s="899"/>
      <c r="ATK128" s="899"/>
      <c r="ATL128" s="899"/>
      <c r="ATM128" s="899"/>
      <c r="ATN128" s="899"/>
      <c r="ATO128" s="899"/>
      <c r="ATP128" s="899"/>
      <c r="ATQ128" s="899"/>
      <c r="ATR128" s="899"/>
      <c r="ATS128" s="899"/>
      <c r="ATT128" s="899"/>
      <c r="ATU128" s="899"/>
      <c r="ATV128" s="899"/>
      <c r="ATW128" s="899"/>
      <c r="ATX128" s="899"/>
      <c r="ATY128" s="899"/>
      <c r="ATZ128" s="899"/>
      <c r="AUA128" s="899"/>
      <c r="AUB128" s="899"/>
      <c r="AUC128" s="899"/>
      <c r="AUD128" s="899"/>
      <c r="AUE128" s="899"/>
      <c r="AUF128" s="899"/>
      <c r="AUG128" s="899"/>
      <c r="AUH128" s="899"/>
      <c r="AUI128" s="899"/>
      <c r="AUJ128" s="899"/>
      <c r="AUK128" s="899"/>
      <c r="AUL128" s="899"/>
      <c r="AUM128" s="899"/>
      <c r="AUN128" s="899"/>
      <c r="AUO128" s="899"/>
      <c r="AUP128" s="899"/>
      <c r="AUQ128" s="899"/>
      <c r="AUR128" s="899"/>
      <c r="AUS128" s="899"/>
      <c r="AUT128" s="899"/>
      <c r="AUU128" s="899"/>
      <c r="AUV128" s="899"/>
      <c r="AUW128" s="899"/>
      <c r="AUX128" s="899"/>
      <c r="AUY128" s="899"/>
      <c r="AUZ128" s="899"/>
      <c r="AVA128" s="899"/>
      <c r="AVB128" s="899"/>
      <c r="AVC128" s="899"/>
      <c r="AVD128" s="899"/>
      <c r="AVE128" s="899"/>
      <c r="AVF128" s="899"/>
      <c r="AVG128" s="899"/>
      <c r="AVH128" s="899"/>
      <c r="AVI128" s="899"/>
      <c r="AVJ128" s="899"/>
      <c r="AVK128" s="899"/>
      <c r="AVL128" s="899"/>
      <c r="AVM128" s="899"/>
      <c r="AVN128" s="899"/>
      <c r="AVO128" s="899"/>
      <c r="AVP128" s="899"/>
      <c r="AVQ128" s="899"/>
      <c r="AVR128" s="899"/>
      <c r="AVS128" s="899"/>
      <c r="AVT128" s="899"/>
      <c r="AVU128" s="899"/>
      <c r="AVV128" s="899"/>
      <c r="AVW128" s="899"/>
      <c r="AVX128" s="899"/>
      <c r="AVY128" s="899"/>
      <c r="AVZ128" s="899"/>
      <c r="AWA128" s="899"/>
      <c r="AWB128" s="899"/>
      <c r="AWC128" s="899"/>
      <c r="AWD128" s="899"/>
      <c r="AWE128" s="899"/>
      <c r="AWF128" s="899"/>
      <c r="AWG128" s="899"/>
      <c r="AWH128" s="899"/>
      <c r="AWI128" s="899"/>
      <c r="AWJ128" s="899"/>
      <c r="AWK128" s="899"/>
      <c r="AWL128" s="899"/>
      <c r="AWM128" s="899"/>
      <c r="AWN128" s="899"/>
      <c r="AWO128" s="899"/>
      <c r="AWP128" s="899"/>
      <c r="AWQ128" s="899"/>
      <c r="AWR128" s="899"/>
      <c r="AWS128" s="899"/>
      <c r="AWT128" s="899"/>
      <c r="AWU128" s="899"/>
      <c r="AWV128" s="899"/>
      <c r="AWW128" s="899"/>
      <c r="AWX128" s="899"/>
      <c r="AWY128" s="899"/>
      <c r="AWZ128" s="899"/>
      <c r="AXA128" s="899"/>
      <c r="AXB128" s="899"/>
      <c r="AXC128" s="899"/>
      <c r="AXD128" s="899"/>
      <c r="AXE128" s="899"/>
      <c r="AXF128" s="899"/>
      <c r="AXG128" s="899"/>
      <c r="AXH128" s="899"/>
      <c r="AXI128" s="899"/>
      <c r="AXJ128" s="899"/>
      <c r="AXK128" s="899"/>
      <c r="AXL128" s="899"/>
      <c r="AXM128" s="899"/>
      <c r="AXN128" s="899"/>
      <c r="AXO128" s="899"/>
      <c r="AXP128" s="899"/>
      <c r="AXQ128" s="899"/>
      <c r="AXR128" s="899"/>
      <c r="AXS128" s="899"/>
      <c r="AXT128" s="899"/>
      <c r="AXU128" s="899"/>
      <c r="AXV128" s="899"/>
      <c r="AXW128" s="899"/>
      <c r="AXX128" s="899"/>
      <c r="AXY128" s="899"/>
      <c r="AXZ128" s="899"/>
      <c r="AYA128" s="899"/>
      <c r="AYB128" s="899"/>
      <c r="AYC128" s="899"/>
      <c r="AYD128" s="899"/>
      <c r="AYE128" s="899"/>
      <c r="AYF128" s="899"/>
      <c r="AYG128" s="899"/>
      <c r="AYH128" s="899"/>
      <c r="AYI128" s="899"/>
      <c r="AYJ128" s="899"/>
      <c r="AYK128" s="899"/>
      <c r="AYL128" s="899"/>
      <c r="AYM128" s="899"/>
      <c r="AYN128" s="899"/>
      <c r="AYO128" s="899"/>
      <c r="AYP128" s="899"/>
      <c r="AYQ128" s="899"/>
      <c r="AYR128" s="899"/>
      <c r="AYS128" s="899"/>
      <c r="AYT128" s="899"/>
      <c r="AYU128" s="899"/>
      <c r="AYV128" s="899"/>
      <c r="AYW128" s="899"/>
      <c r="AYX128" s="899"/>
      <c r="AYY128" s="899"/>
      <c r="AYZ128" s="899"/>
      <c r="AZA128" s="899"/>
      <c r="AZB128" s="899"/>
      <c r="AZC128" s="899"/>
      <c r="AZD128" s="899"/>
      <c r="AZE128" s="899"/>
      <c r="AZF128" s="899"/>
      <c r="AZG128" s="899"/>
      <c r="AZH128" s="899"/>
      <c r="AZI128" s="899"/>
      <c r="AZJ128" s="899"/>
      <c r="AZK128" s="899"/>
      <c r="AZL128" s="899"/>
      <c r="AZM128" s="899"/>
      <c r="AZN128" s="899"/>
      <c r="AZO128" s="899"/>
      <c r="AZP128" s="899"/>
      <c r="AZQ128" s="899"/>
      <c r="AZR128" s="899"/>
      <c r="AZS128" s="899"/>
      <c r="AZT128" s="899"/>
      <c r="AZU128" s="899"/>
      <c r="AZV128" s="899"/>
      <c r="AZW128" s="899"/>
      <c r="AZX128" s="899"/>
      <c r="AZY128" s="899"/>
      <c r="AZZ128" s="899"/>
      <c r="BAA128" s="899"/>
      <c r="BAB128" s="899"/>
      <c r="BAC128" s="899"/>
      <c r="BAD128" s="899"/>
      <c r="BAE128" s="899"/>
      <c r="BAF128" s="899"/>
      <c r="BAG128" s="899"/>
      <c r="BAH128" s="899"/>
      <c r="BAI128" s="899"/>
      <c r="BAJ128" s="899"/>
      <c r="BAK128" s="899"/>
      <c r="BAL128" s="899"/>
      <c r="BAM128" s="899"/>
      <c r="BAN128" s="899"/>
      <c r="BAO128" s="899"/>
      <c r="BAP128" s="899"/>
      <c r="BAQ128" s="899"/>
      <c r="BAR128" s="899"/>
      <c r="BAS128" s="899"/>
      <c r="BAT128" s="899"/>
      <c r="BAU128" s="899"/>
      <c r="BAV128" s="899"/>
      <c r="BAW128" s="899"/>
      <c r="BAX128" s="899"/>
      <c r="BAY128" s="899"/>
      <c r="BAZ128" s="899"/>
      <c r="BBA128" s="899"/>
      <c r="BBB128" s="899"/>
      <c r="BBC128" s="899"/>
      <c r="BBD128" s="899"/>
      <c r="BBE128" s="899"/>
      <c r="BBF128" s="899"/>
      <c r="BBG128" s="899"/>
      <c r="BBH128" s="899"/>
      <c r="BBI128" s="899"/>
      <c r="BBJ128" s="899"/>
      <c r="BBK128" s="899"/>
      <c r="BBL128" s="899"/>
      <c r="BBM128" s="899"/>
      <c r="BBN128" s="899"/>
      <c r="BBO128" s="899"/>
      <c r="BBP128" s="899"/>
      <c r="BBQ128" s="899"/>
      <c r="BBR128" s="899"/>
      <c r="BBS128" s="899"/>
      <c r="BBT128" s="899"/>
      <c r="BBU128" s="899"/>
      <c r="BBV128" s="899"/>
      <c r="BBW128" s="899"/>
      <c r="BBX128" s="899"/>
      <c r="BBY128" s="899"/>
      <c r="BBZ128" s="899"/>
      <c r="BCA128" s="899"/>
      <c r="BCB128" s="899"/>
      <c r="BCC128" s="899"/>
      <c r="BCD128" s="899"/>
      <c r="BCE128" s="899"/>
      <c r="BCF128" s="899"/>
      <c r="BCG128" s="899"/>
      <c r="BCH128" s="899"/>
      <c r="BCI128" s="899"/>
      <c r="BCJ128" s="899"/>
      <c r="BCK128" s="899"/>
      <c r="BCL128" s="899"/>
      <c r="BCM128" s="899"/>
      <c r="BCN128" s="899"/>
      <c r="BCO128" s="899"/>
      <c r="BCP128" s="899"/>
      <c r="BCQ128" s="899"/>
      <c r="BCR128" s="899"/>
      <c r="BCS128" s="899"/>
      <c r="BCT128" s="899"/>
      <c r="BCU128" s="899"/>
      <c r="BCV128" s="899"/>
      <c r="BCW128" s="899"/>
      <c r="BCX128" s="899"/>
      <c r="BCY128" s="899"/>
      <c r="BCZ128" s="899"/>
      <c r="BDA128" s="899"/>
      <c r="BDB128" s="899"/>
      <c r="BDC128" s="899"/>
      <c r="BDD128" s="899"/>
      <c r="BDE128" s="899"/>
      <c r="BDF128" s="899"/>
      <c r="BDG128" s="899"/>
      <c r="BDH128" s="899"/>
      <c r="BDI128" s="899"/>
      <c r="BDJ128" s="899"/>
      <c r="BDK128" s="899"/>
      <c r="BDL128" s="899"/>
      <c r="BDM128" s="899"/>
      <c r="BDN128" s="899"/>
      <c r="BDO128" s="899"/>
      <c r="BDP128" s="899"/>
      <c r="BDQ128" s="899"/>
      <c r="BDR128" s="899"/>
      <c r="BDS128" s="899"/>
      <c r="BDT128" s="899"/>
      <c r="BDU128" s="899"/>
      <c r="BDV128" s="899"/>
      <c r="BDW128" s="899"/>
      <c r="BDX128" s="899"/>
      <c r="BDY128" s="899"/>
      <c r="BDZ128" s="899"/>
      <c r="BEA128" s="899"/>
      <c r="BEB128" s="899"/>
      <c r="BEC128" s="899"/>
      <c r="BED128" s="899"/>
      <c r="BEE128" s="899"/>
      <c r="BEF128" s="899"/>
      <c r="BEG128" s="899"/>
      <c r="BEH128" s="899"/>
      <c r="BEI128" s="899"/>
      <c r="BEJ128" s="899"/>
      <c r="BEK128" s="899"/>
      <c r="BEL128" s="899"/>
      <c r="BEM128" s="899"/>
      <c r="BEN128" s="899"/>
      <c r="BEO128" s="899"/>
      <c r="BEP128" s="899"/>
      <c r="BEQ128" s="899"/>
      <c r="BER128" s="899"/>
      <c r="BES128" s="899"/>
      <c r="BET128" s="899"/>
      <c r="BEU128" s="899"/>
      <c r="BEV128" s="899"/>
      <c r="BEW128" s="899"/>
      <c r="BEX128" s="899"/>
      <c r="BEY128" s="899"/>
      <c r="BEZ128" s="899"/>
      <c r="BFA128" s="899"/>
      <c r="BFB128" s="899"/>
      <c r="BFC128" s="899"/>
      <c r="BFD128" s="899"/>
      <c r="BFE128" s="899"/>
      <c r="BFF128" s="899"/>
      <c r="BFG128" s="899"/>
      <c r="BFH128" s="899"/>
      <c r="BFI128" s="899"/>
      <c r="BFJ128" s="899"/>
      <c r="BFK128" s="899"/>
      <c r="BFL128" s="899"/>
      <c r="BFM128" s="899"/>
      <c r="BFN128" s="899"/>
      <c r="BFO128" s="899"/>
      <c r="BFP128" s="899"/>
      <c r="BFQ128" s="899"/>
      <c r="BFR128" s="899"/>
      <c r="BFS128" s="899"/>
      <c r="BFT128" s="899"/>
      <c r="BFU128" s="899"/>
      <c r="BFV128" s="899"/>
      <c r="BFW128" s="899"/>
      <c r="BFX128" s="899"/>
      <c r="BFY128" s="899"/>
      <c r="BFZ128" s="899"/>
      <c r="BGA128" s="899"/>
      <c r="BGB128" s="899"/>
      <c r="BGC128" s="899"/>
      <c r="BGD128" s="899"/>
      <c r="BGE128" s="899"/>
      <c r="BGF128" s="899"/>
      <c r="BGG128" s="899"/>
      <c r="BGH128" s="899"/>
      <c r="BGI128" s="899"/>
      <c r="BGJ128" s="899"/>
      <c r="BGK128" s="899"/>
      <c r="BGL128" s="899"/>
      <c r="BGM128" s="899"/>
      <c r="BGN128" s="899"/>
      <c r="BGO128" s="899"/>
      <c r="BGP128" s="899"/>
      <c r="BGQ128" s="899"/>
      <c r="BGR128" s="899"/>
      <c r="BGS128" s="899"/>
      <c r="BGT128" s="899"/>
      <c r="BGU128" s="899"/>
      <c r="BGV128" s="899"/>
      <c r="BGW128" s="899"/>
      <c r="BGX128" s="899"/>
      <c r="BGY128" s="899"/>
      <c r="BGZ128" s="899"/>
      <c r="BHA128" s="899"/>
      <c r="BHB128" s="899"/>
      <c r="BHC128" s="899"/>
      <c r="BHD128" s="899"/>
      <c r="BHE128" s="899"/>
      <c r="BHF128" s="899"/>
      <c r="BHG128" s="899"/>
      <c r="BHH128" s="899"/>
      <c r="BHI128" s="899"/>
      <c r="BHJ128" s="899"/>
      <c r="BHK128" s="899"/>
      <c r="BHL128" s="899"/>
      <c r="BHM128" s="899"/>
      <c r="BHN128" s="899"/>
      <c r="BHO128" s="899"/>
      <c r="BHP128" s="899"/>
      <c r="BHQ128" s="899"/>
      <c r="BHR128" s="899"/>
      <c r="BHS128" s="899"/>
      <c r="BHT128" s="899"/>
      <c r="BHU128" s="899"/>
      <c r="BHV128" s="899"/>
      <c r="BHW128" s="899"/>
      <c r="BHX128" s="899"/>
      <c r="BHY128" s="899"/>
      <c r="BHZ128" s="899"/>
      <c r="BIA128" s="899"/>
      <c r="BIB128" s="899"/>
      <c r="BIC128" s="899"/>
      <c r="BID128" s="899"/>
      <c r="BIE128" s="899"/>
      <c r="BIF128" s="899"/>
      <c r="BIG128" s="899"/>
      <c r="BIH128" s="899"/>
      <c r="BII128" s="899"/>
      <c r="BIJ128" s="899"/>
      <c r="BIK128" s="899"/>
      <c r="BIL128" s="899"/>
      <c r="BIM128" s="899"/>
      <c r="BIN128" s="899"/>
      <c r="BIO128" s="899"/>
      <c r="BIP128" s="899"/>
      <c r="BIQ128" s="899"/>
      <c r="BIR128" s="899"/>
      <c r="BIS128" s="899"/>
      <c r="BIT128" s="899"/>
      <c r="BIU128" s="899"/>
      <c r="BIV128" s="899"/>
      <c r="BIW128" s="899"/>
      <c r="BIX128" s="899"/>
      <c r="BIY128" s="899"/>
      <c r="BIZ128" s="899"/>
      <c r="BJA128" s="899"/>
      <c r="BJB128" s="899"/>
      <c r="BJC128" s="899"/>
      <c r="BJD128" s="899"/>
      <c r="BJE128" s="899"/>
      <c r="BJF128" s="899"/>
      <c r="BJG128" s="899"/>
      <c r="BJH128" s="899"/>
      <c r="BJI128" s="899"/>
      <c r="BJJ128" s="899"/>
      <c r="BJK128" s="899"/>
      <c r="BJL128" s="899"/>
      <c r="BJM128" s="899"/>
      <c r="BJN128" s="899"/>
      <c r="BJO128" s="899"/>
      <c r="BJP128" s="899"/>
      <c r="BJQ128" s="899"/>
      <c r="BJR128" s="899"/>
      <c r="BJS128" s="899"/>
      <c r="BJT128" s="899"/>
      <c r="BJU128" s="899"/>
      <c r="BJV128" s="899"/>
      <c r="BJW128" s="899"/>
      <c r="BJX128" s="899"/>
      <c r="BJY128" s="899"/>
      <c r="BJZ128" s="899"/>
      <c r="BKA128" s="899"/>
      <c r="BKB128" s="899"/>
      <c r="BKC128" s="899"/>
      <c r="BKD128" s="899"/>
      <c r="BKE128" s="899"/>
      <c r="BKF128" s="899"/>
      <c r="BKG128" s="899"/>
      <c r="BKH128" s="899"/>
      <c r="BKI128" s="899"/>
      <c r="BKJ128" s="899"/>
      <c r="BKK128" s="899"/>
      <c r="BKL128" s="899"/>
      <c r="BKM128" s="899"/>
      <c r="BKN128" s="899"/>
      <c r="BKO128" s="899"/>
      <c r="BKP128" s="899"/>
      <c r="BKQ128" s="899"/>
      <c r="BKR128" s="899"/>
      <c r="BKS128" s="899"/>
      <c r="BKT128" s="899"/>
      <c r="BKU128" s="899"/>
      <c r="BKV128" s="899"/>
      <c r="BKW128" s="899"/>
      <c r="BKX128" s="899"/>
      <c r="BKY128" s="899"/>
      <c r="BKZ128" s="899"/>
      <c r="BLA128" s="899"/>
      <c r="BLB128" s="899"/>
      <c r="BLC128" s="899"/>
      <c r="BLD128" s="899"/>
      <c r="BLE128" s="899"/>
      <c r="BLF128" s="899"/>
      <c r="BLG128" s="899"/>
      <c r="BLH128" s="899"/>
      <c r="BLI128" s="899"/>
      <c r="BLJ128" s="899"/>
      <c r="BLK128" s="899"/>
      <c r="BLL128" s="899"/>
      <c r="BLM128" s="899"/>
      <c r="BLN128" s="899"/>
      <c r="BLO128" s="899"/>
      <c r="BLP128" s="899"/>
      <c r="BLQ128" s="899"/>
      <c r="BLR128" s="899"/>
      <c r="BLS128" s="899"/>
      <c r="BLT128" s="899"/>
      <c r="BLU128" s="899"/>
      <c r="BLV128" s="899"/>
      <c r="BLW128" s="899"/>
      <c r="BLX128" s="899"/>
      <c r="BLY128" s="899"/>
      <c r="BLZ128" s="899"/>
      <c r="BMA128" s="899"/>
      <c r="BMB128" s="899"/>
      <c r="BMC128" s="899"/>
      <c r="BMD128" s="899"/>
      <c r="BME128" s="899"/>
      <c r="BMF128" s="899"/>
      <c r="BMG128" s="899"/>
      <c r="BMH128" s="899"/>
      <c r="BMI128" s="899"/>
      <c r="BMJ128" s="899"/>
      <c r="BMK128" s="899"/>
      <c r="BML128" s="899"/>
      <c r="BMM128" s="899"/>
      <c r="BMN128" s="899"/>
      <c r="BMO128" s="899"/>
      <c r="BMP128" s="899"/>
      <c r="BMQ128" s="899"/>
      <c r="BMR128" s="899"/>
      <c r="BMS128" s="899"/>
      <c r="BMT128" s="899"/>
      <c r="BMU128" s="899"/>
      <c r="BMV128" s="899"/>
      <c r="BMW128" s="899"/>
      <c r="BMX128" s="899"/>
      <c r="BMY128" s="899"/>
      <c r="BMZ128" s="899"/>
      <c r="BNA128" s="899"/>
      <c r="BNB128" s="899"/>
      <c r="BNC128" s="899"/>
      <c r="BND128" s="899"/>
      <c r="BNE128" s="899"/>
      <c r="BNF128" s="899"/>
      <c r="BNG128" s="899"/>
      <c r="BNH128" s="899"/>
      <c r="BNI128" s="899"/>
      <c r="BNJ128" s="899"/>
      <c r="BNK128" s="899"/>
      <c r="BNL128" s="899"/>
      <c r="BNM128" s="899"/>
      <c r="BNN128" s="899"/>
      <c r="BNO128" s="899"/>
      <c r="BNP128" s="899"/>
      <c r="BNQ128" s="899"/>
      <c r="BNR128" s="899"/>
      <c r="BNS128" s="899"/>
      <c r="BNT128" s="899"/>
      <c r="BNU128" s="899"/>
      <c r="BNV128" s="899"/>
      <c r="BNW128" s="899"/>
      <c r="BNX128" s="899"/>
      <c r="BNY128" s="899"/>
      <c r="BNZ128" s="899"/>
      <c r="BOA128" s="899"/>
      <c r="BOB128" s="899"/>
      <c r="BOC128" s="899"/>
      <c r="BOD128" s="899"/>
      <c r="BOE128" s="899"/>
      <c r="BOF128" s="899"/>
      <c r="BOG128" s="899"/>
      <c r="BOH128" s="899"/>
      <c r="BOI128" s="899"/>
      <c r="BOJ128" s="899"/>
      <c r="BOK128" s="899"/>
      <c r="BOL128" s="899"/>
      <c r="BOM128" s="899"/>
      <c r="BON128" s="899"/>
      <c r="BOO128" s="899"/>
      <c r="BOP128" s="899"/>
      <c r="BOQ128" s="899"/>
      <c r="BOR128" s="899"/>
      <c r="BOS128" s="899"/>
      <c r="BOT128" s="899"/>
      <c r="BOU128" s="899"/>
      <c r="BOV128" s="899"/>
      <c r="BOW128" s="899"/>
      <c r="BOX128" s="899"/>
      <c r="BOY128" s="899"/>
      <c r="BOZ128" s="899"/>
      <c r="BPA128" s="899"/>
      <c r="BPB128" s="899"/>
      <c r="BPC128" s="899"/>
      <c r="BPD128" s="899"/>
      <c r="BPE128" s="899"/>
      <c r="BPF128" s="899"/>
      <c r="BPG128" s="899"/>
      <c r="BPH128" s="899"/>
      <c r="BPI128" s="899"/>
      <c r="BPJ128" s="899"/>
      <c r="BPK128" s="899"/>
      <c r="BPL128" s="899"/>
      <c r="BPM128" s="899"/>
      <c r="BPN128" s="899"/>
      <c r="BPO128" s="899"/>
      <c r="BPP128" s="899"/>
      <c r="BPQ128" s="899"/>
      <c r="BPR128" s="899"/>
      <c r="BPS128" s="899"/>
      <c r="BPT128" s="899"/>
      <c r="BPU128" s="899"/>
      <c r="BPV128" s="899"/>
    </row>
    <row r="129" spans="1:58" ht="158.44999999999999" hidden="1">
      <c r="A129" s="666" t="s">
        <v>346</v>
      </c>
      <c r="B129" s="369" t="s">
        <v>889</v>
      </c>
      <c r="C129" s="667" t="s">
        <v>1271</v>
      </c>
      <c r="D129" s="668">
        <v>46132</v>
      </c>
      <c r="E129" s="668" t="s">
        <v>897</v>
      </c>
      <c r="F129" s="892" t="s">
        <v>1269</v>
      </c>
      <c r="G129" s="904" t="s">
        <v>1272</v>
      </c>
      <c r="H129" s="895" t="s">
        <v>897</v>
      </c>
      <c r="I129" s="896"/>
      <c r="J129" s="896"/>
      <c r="K129" s="896"/>
      <c r="L129" s="896"/>
      <c r="M129" s="690"/>
      <c r="N129" s="690"/>
      <c r="O129" s="691"/>
      <c r="P129" s="692"/>
      <c r="Q129" s="692"/>
      <c r="R129" s="905"/>
      <c r="S129" s="906"/>
      <c r="T129" s="900"/>
      <c r="U129" s="896"/>
      <c r="V129" s="896"/>
      <c r="W129" s="896"/>
      <c r="X129" s="896"/>
      <c r="Y129" s="896"/>
    </row>
    <row r="130" spans="1:58" ht="31.15" hidden="1">
      <c r="A130" s="666" t="s">
        <v>521</v>
      </c>
      <c r="B130" s="369" t="s">
        <v>889</v>
      </c>
      <c r="C130" s="667" t="s">
        <v>1273</v>
      </c>
      <c r="D130" s="668" t="s">
        <v>1274</v>
      </c>
      <c r="E130" s="668" t="s">
        <v>897</v>
      </c>
      <c r="F130" s="892"/>
      <c r="G130" s="892" t="s">
        <v>1275</v>
      </c>
      <c r="H130" s="894" t="s">
        <v>1276</v>
      </c>
      <c r="I130" s="895" t="s">
        <v>1174</v>
      </c>
      <c r="J130" s="896"/>
      <c r="K130" s="896"/>
      <c r="L130" s="896"/>
      <c r="M130" s="664"/>
      <c r="N130" s="664"/>
      <c r="O130" s="688"/>
      <c r="P130" s="689"/>
      <c r="Q130" s="689"/>
      <c r="R130" s="897"/>
      <c r="S130" s="898"/>
      <c r="T130" s="898"/>
      <c r="U130" s="896"/>
      <c r="V130" s="896"/>
      <c r="W130" s="896"/>
      <c r="X130" s="896"/>
      <c r="Y130" s="896"/>
    </row>
    <row r="131" spans="1:58" hidden="1">
      <c r="A131" s="666" t="s">
        <v>521</v>
      </c>
      <c r="B131" s="369" t="s">
        <v>889</v>
      </c>
      <c r="C131" s="667" t="s">
        <v>1277</v>
      </c>
      <c r="D131" s="668" t="s">
        <v>1278</v>
      </c>
      <c r="E131" s="668"/>
      <c r="F131" s="892"/>
      <c r="G131" s="895"/>
      <c r="H131" s="895"/>
      <c r="I131" s="896"/>
      <c r="J131" s="896"/>
      <c r="K131" s="896"/>
      <c r="L131" s="896"/>
      <c r="M131" s="696"/>
      <c r="N131" s="696"/>
      <c r="O131" s="697"/>
      <c r="P131" s="698"/>
      <c r="Q131" s="698"/>
      <c r="R131" s="907"/>
      <c r="S131" s="908"/>
      <c r="T131" s="909"/>
      <c r="U131" s="896"/>
      <c r="V131" s="896"/>
      <c r="W131" s="896"/>
      <c r="X131" s="896"/>
      <c r="Y131" s="896"/>
    </row>
    <row r="132" spans="1:58" hidden="1">
      <c r="A132" s="666" t="s">
        <v>126</v>
      </c>
      <c r="B132" s="369" t="s">
        <v>889</v>
      </c>
      <c r="C132" s="667" t="s">
        <v>1279</v>
      </c>
      <c r="D132" s="668">
        <v>46136</v>
      </c>
      <c r="E132" s="668" t="s">
        <v>897</v>
      </c>
      <c r="F132" s="892"/>
      <c r="G132" s="904" t="s">
        <v>1280</v>
      </c>
      <c r="H132" s="894" t="s">
        <v>1281</v>
      </c>
      <c r="I132" s="895" t="s">
        <v>897</v>
      </c>
      <c r="J132" s="896"/>
      <c r="K132" s="896"/>
      <c r="L132" s="896"/>
      <c r="M132" s="664"/>
      <c r="N132" s="664"/>
      <c r="O132" s="688"/>
      <c r="P132" s="689"/>
      <c r="Q132" s="689"/>
      <c r="R132" s="897"/>
      <c r="S132" s="898"/>
      <c r="T132" s="898"/>
      <c r="U132" s="896"/>
      <c r="V132" s="896"/>
      <c r="W132" s="896"/>
      <c r="X132" s="896"/>
      <c r="Y132" s="896"/>
    </row>
    <row r="133" spans="1:58" hidden="1">
      <c r="A133" s="666" t="s">
        <v>796</v>
      </c>
      <c r="B133" s="369" t="s">
        <v>889</v>
      </c>
      <c r="C133" s="667" t="s">
        <v>1279</v>
      </c>
      <c r="D133" s="668">
        <v>46136</v>
      </c>
      <c r="E133" s="668" t="s">
        <v>897</v>
      </c>
      <c r="F133" s="892"/>
      <c r="G133" s="904" t="s">
        <v>1280</v>
      </c>
      <c r="H133" s="894" t="s">
        <v>1282</v>
      </c>
      <c r="I133" s="895" t="s">
        <v>897</v>
      </c>
      <c r="J133" s="896"/>
      <c r="K133" s="896"/>
      <c r="L133" s="896"/>
      <c r="M133" s="664"/>
      <c r="N133" s="664"/>
      <c r="O133" s="688"/>
      <c r="P133" s="689"/>
      <c r="Q133" s="689"/>
      <c r="R133" s="897"/>
      <c r="S133" s="898"/>
      <c r="T133" s="898"/>
      <c r="U133" s="896"/>
      <c r="V133" s="896"/>
      <c r="W133" s="896"/>
      <c r="X133" s="896"/>
      <c r="Y133" s="896"/>
    </row>
    <row r="134" spans="1:58" ht="57.6" hidden="1">
      <c r="A134" s="666" t="s">
        <v>293</v>
      </c>
      <c r="B134" s="666" t="s">
        <v>1074</v>
      </c>
      <c r="C134" s="667" t="s">
        <v>1283</v>
      </c>
      <c r="D134" s="668" t="s">
        <v>268</v>
      </c>
      <c r="E134" s="668" t="s">
        <v>897</v>
      </c>
      <c r="F134" s="892"/>
      <c r="G134" s="892" t="s">
        <v>1284</v>
      </c>
      <c r="H134" s="894" t="s">
        <v>1160</v>
      </c>
      <c r="I134" s="895" t="s">
        <v>897</v>
      </c>
    </row>
    <row r="135" spans="1:58" ht="57.6" hidden="1">
      <c r="A135" s="666" t="s">
        <v>281</v>
      </c>
      <c r="B135" s="666" t="s">
        <v>1074</v>
      </c>
      <c r="C135" s="667" t="s">
        <v>1285</v>
      </c>
      <c r="D135" s="668" t="s">
        <v>268</v>
      </c>
      <c r="E135" s="668" t="s">
        <v>897</v>
      </c>
      <c r="F135" s="892"/>
      <c r="G135" s="892" t="s">
        <v>1286</v>
      </c>
      <c r="H135" s="906" t="s">
        <v>1287</v>
      </c>
      <c r="I135" s="900" t="s">
        <v>897</v>
      </c>
    </row>
    <row r="136" spans="1:58" ht="213">
      <c r="A136" s="666" t="s">
        <v>252</v>
      </c>
      <c r="B136" s="666" t="s">
        <v>1288</v>
      </c>
      <c r="C136" s="776" t="s">
        <v>1289</v>
      </c>
      <c r="D136" s="668" t="s">
        <v>1290</v>
      </c>
      <c r="E136" s="668" t="s">
        <v>268</v>
      </c>
      <c r="F136" s="892"/>
      <c r="G136" s="910" t="s">
        <v>1291</v>
      </c>
      <c r="H136" s="895" t="s">
        <v>252</v>
      </c>
      <c r="I136" s="895" t="s">
        <v>268</v>
      </c>
    </row>
    <row r="137" spans="1:58" ht="72" hidden="1">
      <c r="A137" s="700" t="s">
        <v>796</v>
      </c>
      <c r="B137" s="369" t="s">
        <v>889</v>
      </c>
      <c r="C137" s="594" t="s">
        <v>1292</v>
      </c>
      <c r="D137" s="701" t="s">
        <v>1293</v>
      </c>
      <c r="E137" s="701">
        <v>46150</v>
      </c>
      <c r="F137" s="49"/>
      <c r="G137" s="703" t="s">
        <v>1294</v>
      </c>
      <c r="H137" s="672" t="s">
        <v>796</v>
      </c>
      <c r="I137" s="672" t="s">
        <v>1174</v>
      </c>
    </row>
    <row r="138" spans="1:58" ht="43.15" hidden="1">
      <c r="A138" s="700" t="s">
        <v>339</v>
      </c>
      <c r="B138" s="369" t="s">
        <v>889</v>
      </c>
      <c r="C138" s="594" t="s">
        <v>1295</v>
      </c>
      <c r="D138" s="701" t="s">
        <v>1296</v>
      </c>
      <c r="E138" s="701" t="s">
        <v>897</v>
      </c>
      <c r="F138" s="49" t="s">
        <v>1297</v>
      </c>
      <c r="G138" s="703" t="s">
        <v>1298</v>
      </c>
      <c r="H138" s="347"/>
      <c r="I138" s="347"/>
    </row>
    <row r="139" spans="1:58" ht="158.44999999999999" hidden="1">
      <c r="A139" s="700" t="s">
        <v>563</v>
      </c>
      <c r="B139" s="700" t="s">
        <v>1074</v>
      </c>
      <c r="C139" s="770" t="s">
        <v>1299</v>
      </c>
      <c r="D139" s="701" t="s">
        <v>268</v>
      </c>
      <c r="E139" s="701" t="s">
        <v>1300</v>
      </c>
      <c r="F139" s="49"/>
      <c r="G139" s="748" t="s">
        <v>1301</v>
      </c>
      <c r="H139" s="347" t="s">
        <v>1302</v>
      </c>
      <c r="I139" s="347" t="s">
        <v>893</v>
      </c>
    </row>
    <row r="140" spans="1:58" ht="31.15" hidden="1">
      <c r="A140" s="700" t="s">
        <v>435</v>
      </c>
      <c r="B140" s="369" t="s">
        <v>889</v>
      </c>
      <c r="C140" s="594" t="s">
        <v>1303</v>
      </c>
      <c r="D140" s="701" t="s">
        <v>1304</v>
      </c>
      <c r="E140" s="701"/>
      <c r="F140" s="703" t="s">
        <v>1305</v>
      </c>
      <c r="G140" s="706" t="s">
        <v>1306</v>
      </c>
      <c r="H140" s="348"/>
      <c r="I140" s="700"/>
      <c r="J140" s="700"/>
      <c r="K140" s="594"/>
      <c r="L140" s="701"/>
      <c r="M140" s="701"/>
      <c r="N140" s="703"/>
      <c r="O140" s="348"/>
      <c r="P140" s="348"/>
    </row>
    <row r="141" spans="1:58" ht="41.45" hidden="1">
      <c r="A141" s="700" t="s">
        <v>1198</v>
      </c>
      <c r="B141" s="369" t="s">
        <v>889</v>
      </c>
      <c r="C141" s="594" t="s">
        <v>1307</v>
      </c>
      <c r="D141" s="701" t="s">
        <v>268</v>
      </c>
      <c r="E141" s="701" t="s">
        <v>1308</v>
      </c>
      <c r="F141" s="348"/>
      <c r="G141" s="706" t="s">
        <v>1309</v>
      </c>
      <c r="H141" s="700" t="s">
        <v>1201</v>
      </c>
      <c r="I141" s="700" t="s">
        <v>893</v>
      </c>
      <c r="J141" s="594"/>
      <c r="K141" s="701"/>
      <c r="L141" s="701"/>
      <c r="M141" s="703"/>
      <c r="N141" s="348"/>
      <c r="O141" s="348"/>
      <c r="P141" s="700"/>
      <c r="Q141" s="700"/>
      <c r="R141" s="594"/>
      <c r="S141" s="701"/>
      <c r="T141" s="701"/>
      <c r="U141" s="348"/>
      <c r="V141" s="348"/>
      <c r="W141" s="700"/>
      <c r="X141" s="700"/>
      <c r="Y141" s="594"/>
      <c r="Z141" s="701"/>
      <c r="AA141" s="701"/>
      <c r="AB141" s="703"/>
      <c r="AC141" s="348"/>
      <c r="AD141" s="348"/>
    </row>
    <row r="142" spans="1:58" ht="41.45" hidden="1">
      <c r="A142" s="700" t="s">
        <v>293</v>
      </c>
      <c r="B142" s="369" t="s">
        <v>889</v>
      </c>
      <c r="C142" s="594" t="s">
        <v>1310</v>
      </c>
      <c r="D142" s="701" t="s">
        <v>268</v>
      </c>
      <c r="E142" s="701" t="s">
        <v>1308</v>
      </c>
      <c r="F142" s="348"/>
      <c r="G142" s="706" t="s">
        <v>1311</v>
      </c>
      <c r="H142" s="700" t="s">
        <v>1160</v>
      </c>
      <c r="I142" s="700" t="s">
        <v>893</v>
      </c>
      <c r="J142" s="594"/>
      <c r="K142" s="701"/>
      <c r="L142" s="701"/>
      <c r="M142" s="703"/>
      <c r="N142" s="348"/>
      <c r="O142" s="348"/>
      <c r="P142" s="700"/>
      <c r="Q142" s="700"/>
      <c r="R142" s="594"/>
      <c r="S142" s="701"/>
      <c r="T142" s="701"/>
      <c r="U142" s="348"/>
      <c r="V142" s="348"/>
      <c r="W142" s="700"/>
      <c r="X142" s="700"/>
      <c r="Y142" s="594"/>
      <c r="Z142" s="701"/>
      <c r="AA142" s="701"/>
      <c r="AB142" s="703"/>
      <c r="AC142" s="348"/>
      <c r="AD142" s="348"/>
    </row>
    <row r="143" spans="1:58" s="145" customFormat="1" ht="48.75" hidden="1" customHeight="1">
      <c r="A143" s="700" t="s">
        <v>126</v>
      </c>
      <c r="B143" s="369" t="s">
        <v>889</v>
      </c>
      <c r="C143" s="594" t="s">
        <v>1289</v>
      </c>
      <c r="D143" s="701">
        <v>46211</v>
      </c>
      <c r="E143" s="701">
        <v>46205</v>
      </c>
      <c r="F143" s="706"/>
      <c r="G143" s="651" t="s">
        <v>1312</v>
      </c>
      <c r="H143" s="700"/>
      <c r="I143" s="594"/>
      <c r="J143" s="701"/>
      <c r="K143" s="701"/>
      <c r="L143" s="703"/>
      <c r="M143" s="348"/>
      <c r="N143" s="348"/>
      <c r="O143" s="700"/>
      <c r="P143" s="700"/>
      <c r="Q143" s="594"/>
      <c r="R143" s="701"/>
      <c r="S143" s="701"/>
      <c r="T143" s="348"/>
      <c r="U143" s="348"/>
      <c r="V143" s="700"/>
      <c r="W143" s="700"/>
      <c r="X143" s="594"/>
      <c r="Y143" s="701"/>
      <c r="Z143" s="701"/>
      <c r="AA143" s="703"/>
      <c r="AB143" s="348"/>
      <c r="AC143" s="348"/>
      <c r="AD143" s="700"/>
      <c r="AE143" s="700"/>
      <c r="AF143" s="594"/>
      <c r="AG143" s="701"/>
      <c r="AH143" s="701"/>
      <c r="AI143" s="706"/>
      <c r="AJ143" s="700"/>
      <c r="AK143" s="700"/>
      <c r="AL143" s="594"/>
      <c r="AM143" s="701"/>
      <c r="AN143" s="701"/>
      <c r="AO143" s="703"/>
      <c r="AP143" s="348"/>
      <c r="AQ143" s="348"/>
      <c r="AR143" s="700"/>
      <c r="AS143" s="700"/>
      <c r="AT143" s="594"/>
      <c r="AU143" s="701"/>
      <c r="AV143" s="701"/>
      <c r="AW143" s="348"/>
      <c r="AX143" s="348"/>
      <c r="AY143" s="700"/>
      <c r="AZ143" s="700"/>
      <c r="BA143" s="594"/>
      <c r="BB143" s="701"/>
      <c r="BC143" s="701"/>
      <c r="BD143" s="703"/>
      <c r="BE143" s="348"/>
      <c r="BF143" s="348"/>
    </row>
    <row r="144" spans="1:58" s="145" customFormat="1" ht="53.25" hidden="1" customHeight="1">
      <c r="A144" s="700" t="s">
        <v>379</v>
      </c>
      <c r="B144" s="700" t="s">
        <v>1074</v>
      </c>
      <c r="C144" s="770" t="s">
        <v>1289</v>
      </c>
      <c r="D144" s="701" t="s">
        <v>268</v>
      </c>
      <c r="E144" s="701" t="s">
        <v>1300</v>
      </c>
      <c r="F144" s="706"/>
      <c r="G144" s="594" t="s">
        <v>1313</v>
      </c>
      <c r="H144" s="700"/>
      <c r="I144" s="594"/>
      <c r="J144" s="701"/>
      <c r="K144" s="701"/>
      <c r="L144" s="703"/>
      <c r="M144" s="348"/>
      <c r="N144" s="348"/>
      <c r="O144" s="700"/>
      <c r="P144" s="700"/>
      <c r="Q144" s="594"/>
      <c r="R144" s="701"/>
      <c r="S144" s="701"/>
      <c r="T144" s="348"/>
      <c r="U144" s="348"/>
      <c r="V144" s="700"/>
      <c r="W144" s="700"/>
      <c r="X144" s="594"/>
      <c r="Y144" s="701"/>
      <c r="Z144" s="701"/>
      <c r="AA144" s="703"/>
      <c r="AB144" s="348"/>
      <c r="AC144" s="348"/>
      <c r="AD144" s="700"/>
      <c r="AE144" s="700"/>
      <c r="AF144" s="594"/>
      <c r="AG144" s="701"/>
      <c r="AH144" s="701"/>
      <c r="AI144" s="706"/>
      <c r="AJ144" s="700"/>
      <c r="AK144" s="700"/>
      <c r="AL144" s="594"/>
      <c r="AM144" s="701"/>
      <c r="AN144" s="701"/>
      <c r="AO144" s="703"/>
      <c r="AP144" s="348"/>
      <c r="AQ144" s="348"/>
      <c r="AR144" s="700"/>
      <c r="AS144" s="700"/>
      <c r="AT144" s="594"/>
      <c r="AU144" s="701"/>
      <c r="AV144" s="701"/>
      <c r="AW144" s="348"/>
      <c r="AX144" s="348"/>
      <c r="AY144" s="700"/>
      <c r="AZ144" s="700"/>
      <c r="BA144" s="594"/>
      <c r="BB144" s="701"/>
      <c r="BC144" s="701"/>
      <c r="BD144" s="703"/>
      <c r="BE144" s="348"/>
      <c r="BF144" s="348"/>
    </row>
    <row r="145" spans="1:1790" s="145" customFormat="1" ht="171.6" hidden="1">
      <c r="A145" s="700" t="s">
        <v>1314</v>
      </c>
      <c r="B145" s="369" t="s">
        <v>889</v>
      </c>
      <c r="C145" s="594" t="s">
        <v>1289</v>
      </c>
      <c r="D145" s="701">
        <v>46190</v>
      </c>
      <c r="E145" s="701" t="s">
        <v>1300</v>
      </c>
      <c r="F145" s="700"/>
      <c r="G145" s="594" t="s">
        <v>1315</v>
      </c>
      <c r="H145" s="594" t="s">
        <v>1314</v>
      </c>
      <c r="I145" s="701" t="s">
        <v>1174</v>
      </c>
      <c r="J145" s="701"/>
      <c r="K145" s="703"/>
      <c r="L145" s="348"/>
      <c r="M145" s="348"/>
      <c r="N145" s="700"/>
      <c r="O145" s="700"/>
      <c r="P145" s="594"/>
      <c r="Q145" s="701"/>
      <c r="R145" s="701"/>
      <c r="S145" s="348"/>
      <c r="T145" s="348"/>
      <c r="U145" s="700"/>
      <c r="V145" s="700"/>
      <c r="W145" s="594"/>
      <c r="X145" s="701"/>
      <c r="Y145" s="701"/>
      <c r="Z145" s="703"/>
      <c r="AA145" s="348"/>
      <c r="AB145" s="348"/>
      <c r="AC145" s="700"/>
      <c r="AD145" s="700"/>
      <c r="AE145" s="594"/>
      <c r="AF145" s="701"/>
      <c r="AG145" s="701"/>
      <c r="AH145" s="706"/>
      <c r="AI145" s="700"/>
      <c r="AJ145" s="700"/>
      <c r="AK145" s="594"/>
      <c r="AL145" s="701"/>
      <c r="AM145" s="701"/>
      <c r="AN145" s="703"/>
      <c r="AO145" s="348"/>
      <c r="AP145" s="348"/>
      <c r="AQ145" s="700"/>
      <c r="AR145" s="700"/>
      <c r="AS145" s="594"/>
      <c r="AT145" s="701"/>
      <c r="AU145" s="701"/>
      <c r="AV145" s="348"/>
      <c r="AW145" s="348"/>
      <c r="AX145" s="700"/>
      <c r="AY145" s="700"/>
      <c r="AZ145" s="594"/>
      <c r="BA145" s="701"/>
      <c r="BB145" s="701"/>
      <c r="BC145" s="703"/>
      <c r="BD145" s="348"/>
      <c r="BE145" s="348"/>
      <c r="BF145" s="700"/>
      <c r="BG145" s="700"/>
      <c r="BH145" s="594"/>
      <c r="BI145" s="701"/>
      <c r="BJ145" s="701"/>
      <c r="BK145" s="700"/>
      <c r="BL145" s="700"/>
      <c r="BM145" s="594"/>
      <c r="BN145" s="701"/>
      <c r="BO145" s="701"/>
      <c r="BP145" s="703"/>
      <c r="BQ145" s="348"/>
      <c r="BR145" s="348"/>
      <c r="BS145" s="700"/>
      <c r="BT145" s="700"/>
      <c r="BU145" s="594"/>
      <c r="BV145" s="701"/>
      <c r="BW145" s="701"/>
      <c r="BX145" s="348"/>
      <c r="BY145" s="348"/>
      <c r="BZ145" s="700"/>
      <c r="CA145" s="700"/>
      <c r="CB145" s="594"/>
      <c r="CC145" s="701"/>
      <c r="CD145" s="701"/>
      <c r="CE145" s="703"/>
      <c r="CF145" s="348"/>
      <c r="CG145" s="348"/>
      <c r="CH145" s="700"/>
      <c r="CI145" s="700"/>
      <c r="CJ145" s="594"/>
      <c r="CK145" s="701"/>
      <c r="CL145" s="701"/>
      <c r="CM145" s="706"/>
      <c r="CN145" s="700"/>
      <c r="CO145" s="700"/>
      <c r="CP145" s="594"/>
      <c r="CQ145" s="701"/>
      <c r="CR145" s="701"/>
      <c r="CS145" s="703"/>
      <c r="CT145" s="348"/>
      <c r="CU145" s="348"/>
      <c r="CV145" s="700"/>
      <c r="CW145" s="700"/>
      <c r="CX145" s="594"/>
      <c r="CY145" s="701"/>
      <c r="CZ145" s="701"/>
      <c r="DA145" s="348"/>
      <c r="DB145" s="348"/>
      <c r="DC145" s="700"/>
      <c r="DD145" s="700"/>
      <c r="DE145" s="594"/>
      <c r="DF145" s="701"/>
      <c r="DG145" s="701"/>
      <c r="DH145" s="703"/>
      <c r="DI145" s="348"/>
      <c r="DJ145" s="348"/>
    </row>
    <row r="146" spans="1:1790" ht="46.9" hidden="1">
      <c r="A146" s="700" t="s">
        <v>521</v>
      </c>
      <c r="B146" s="369" t="s">
        <v>889</v>
      </c>
      <c r="C146" s="594" t="s">
        <v>1316</v>
      </c>
      <c r="D146" s="701" t="s">
        <v>1317</v>
      </c>
      <c r="E146" s="701">
        <v>46184</v>
      </c>
      <c r="F146" s="594"/>
      <c r="G146" s="770" t="s">
        <v>1318</v>
      </c>
      <c r="H146" s="796" t="s">
        <v>521</v>
      </c>
      <c r="I146" s="796" t="s">
        <v>1174</v>
      </c>
      <c r="J146" s="703"/>
      <c r="K146" s="348"/>
      <c r="L146" s="348"/>
      <c r="M146" s="700"/>
      <c r="N146" s="700"/>
      <c r="O146" s="594"/>
      <c r="P146" s="701"/>
      <c r="Q146" s="701"/>
      <c r="R146" s="348"/>
      <c r="S146" s="348"/>
      <c r="T146" s="700"/>
      <c r="U146" s="700"/>
      <c r="V146" s="594"/>
      <c r="W146" s="701"/>
      <c r="X146" s="701"/>
      <c r="Y146" s="703"/>
      <c r="Z146" s="348"/>
      <c r="AA146" s="348"/>
      <c r="AB146" s="700"/>
      <c r="AC146" s="700"/>
      <c r="AD146" s="594"/>
      <c r="AE146" s="701"/>
      <c r="AF146" s="701"/>
      <c r="AG146" s="706"/>
      <c r="AH146" s="700"/>
      <c r="AI146" s="700"/>
      <c r="AJ146" s="594"/>
      <c r="AK146" s="701"/>
      <c r="AL146" s="701"/>
      <c r="AM146" s="703"/>
      <c r="AN146" s="348"/>
      <c r="AO146" s="348"/>
      <c r="AP146" s="700"/>
      <c r="AQ146" s="700"/>
      <c r="AR146" s="594"/>
      <c r="AS146" s="701"/>
      <c r="AT146" s="701"/>
      <c r="AU146" s="348"/>
      <c r="AV146" s="348"/>
      <c r="AW146" s="700"/>
      <c r="AX146" s="700"/>
      <c r="AY146" s="594"/>
      <c r="AZ146" s="701"/>
      <c r="BA146" s="701"/>
      <c r="BB146" s="703"/>
      <c r="BC146" s="348"/>
      <c r="BD146" s="348"/>
      <c r="BE146" s="700"/>
      <c r="BF146" s="700"/>
      <c r="BG146" s="594"/>
      <c r="BH146" s="701"/>
      <c r="BI146" s="701"/>
      <c r="BJ146" s="700"/>
      <c r="BK146" s="700"/>
      <c r="BL146" s="594"/>
      <c r="BM146" s="701"/>
      <c r="BN146" s="701"/>
      <c r="BO146" s="703"/>
      <c r="BP146" s="348"/>
      <c r="BQ146" s="348"/>
      <c r="BR146" s="700"/>
      <c r="BS146" s="700"/>
      <c r="BT146" s="594"/>
      <c r="BU146" s="701"/>
      <c r="BV146" s="701"/>
      <c r="BW146" s="348"/>
      <c r="BX146" s="348"/>
      <c r="BY146" s="700"/>
      <c r="BZ146" s="700"/>
      <c r="CA146" s="594"/>
      <c r="CB146" s="701"/>
      <c r="CC146" s="701"/>
      <c r="CD146" s="703"/>
      <c r="CE146" s="348"/>
      <c r="CF146" s="348"/>
      <c r="CG146" s="700"/>
      <c r="CH146" s="700"/>
      <c r="CI146" s="594"/>
      <c r="CJ146" s="701"/>
      <c r="CK146" s="701"/>
      <c r="CL146" s="706"/>
      <c r="CM146" s="700"/>
      <c r="CN146" s="700"/>
      <c r="CO146" s="594"/>
      <c r="CP146" s="701"/>
      <c r="CQ146" s="701"/>
      <c r="CR146" s="703"/>
      <c r="CS146" s="348"/>
      <c r="CT146" s="348"/>
      <c r="CU146" s="700"/>
      <c r="CV146" s="700"/>
      <c r="CW146" s="594"/>
      <c r="CX146" s="701"/>
      <c r="CY146" s="701"/>
      <c r="CZ146" s="348"/>
      <c r="DA146" s="348"/>
      <c r="DB146" s="700"/>
      <c r="DC146" s="700"/>
      <c r="DD146" s="594"/>
      <c r="DE146" s="701"/>
      <c r="DF146" s="701"/>
      <c r="DG146" s="703"/>
      <c r="DH146" s="348"/>
      <c r="DI146" s="348"/>
      <c r="DJ146" s="700"/>
      <c r="DK146" s="700"/>
      <c r="DL146" s="594"/>
      <c r="DM146" s="701"/>
      <c r="DN146" s="701"/>
      <c r="DO146" s="594"/>
      <c r="DP146" s="594"/>
      <c r="DQ146" s="701"/>
      <c r="DR146" s="701"/>
      <c r="DS146" s="703"/>
      <c r="DT146" s="348"/>
      <c r="DU146" s="348"/>
      <c r="DV146" s="700"/>
      <c r="DW146" s="700"/>
      <c r="DX146" s="594"/>
      <c r="DY146" s="701"/>
      <c r="DZ146" s="701"/>
      <c r="EA146" s="348"/>
      <c r="EB146" s="348"/>
      <c r="EC146" s="700"/>
      <c r="ED146" s="700"/>
      <c r="EE146" s="594"/>
      <c r="EF146" s="701"/>
      <c r="EG146" s="701"/>
      <c r="EH146" s="703"/>
      <c r="EI146" s="348"/>
      <c r="EJ146" s="348"/>
      <c r="EK146" s="700"/>
      <c r="EL146" s="700"/>
      <c r="EM146" s="594"/>
      <c r="EN146" s="701"/>
      <c r="EO146" s="701"/>
      <c r="EP146" s="706"/>
      <c r="EQ146" s="700"/>
      <c r="ER146" s="700"/>
      <c r="ES146" s="594"/>
      <c r="ET146" s="701"/>
      <c r="EU146" s="701"/>
      <c r="EV146" s="703"/>
      <c r="EW146" s="348"/>
      <c r="EX146" s="348"/>
      <c r="EY146" s="700"/>
      <c r="EZ146" s="700"/>
      <c r="FA146" s="594"/>
      <c r="FB146" s="701"/>
      <c r="FC146" s="701"/>
      <c r="FD146" s="348"/>
      <c r="FE146" s="348"/>
      <c r="FF146" s="700"/>
      <c r="FG146" s="700"/>
      <c r="FH146" s="594"/>
      <c r="FI146" s="701"/>
      <c r="FJ146" s="701"/>
      <c r="FK146" s="703"/>
      <c r="FL146" s="348"/>
      <c r="FM146" s="348"/>
      <c r="FN146" s="700"/>
      <c r="FO146" s="700"/>
      <c r="FP146" s="594"/>
      <c r="FQ146" s="701"/>
      <c r="FR146" s="701"/>
      <c r="FS146" s="700"/>
      <c r="FT146" s="700"/>
      <c r="FU146" s="594"/>
      <c r="FV146" s="701"/>
      <c r="FW146" s="701"/>
      <c r="FX146" s="703"/>
      <c r="FY146" s="348"/>
      <c r="FZ146" s="348"/>
      <c r="GA146" s="700"/>
      <c r="GB146" s="700"/>
      <c r="GC146" s="594"/>
      <c r="GD146" s="701"/>
      <c r="GE146" s="701"/>
      <c r="GF146" s="348"/>
      <c r="GG146" s="348"/>
      <c r="GH146" s="700"/>
      <c r="GI146" s="700"/>
      <c r="GJ146" s="594"/>
      <c r="GK146" s="701"/>
      <c r="GL146" s="701"/>
      <c r="GM146" s="703"/>
      <c r="GN146" s="348"/>
      <c r="GO146" s="348"/>
      <c r="GP146" s="700"/>
      <c r="GQ146" s="700"/>
      <c r="GR146" s="594"/>
      <c r="GS146" s="701"/>
      <c r="GT146" s="701"/>
      <c r="GU146" s="706"/>
      <c r="GV146" s="700"/>
      <c r="GW146" s="700"/>
      <c r="GX146" s="594"/>
      <c r="GY146" s="701"/>
      <c r="GZ146" s="701"/>
      <c r="HA146" s="703"/>
      <c r="HB146" s="348"/>
      <c r="HC146" s="348"/>
      <c r="HD146" s="700"/>
      <c r="HE146" s="700"/>
      <c r="HF146" s="594"/>
      <c r="HG146" s="701"/>
      <c r="HH146" s="701"/>
      <c r="HI146" s="348"/>
      <c r="HJ146" s="348"/>
      <c r="HK146" s="700"/>
      <c r="HL146" s="700"/>
      <c r="HM146" s="594"/>
      <c r="HN146" s="701"/>
      <c r="HO146" s="701"/>
      <c r="HP146" s="703"/>
      <c r="HQ146" s="348"/>
      <c r="HR146" s="348"/>
    </row>
    <row r="147" spans="1:1790" ht="81">
      <c r="A147" s="700" t="s">
        <v>412</v>
      </c>
      <c r="B147" s="700" t="s">
        <v>1288</v>
      </c>
      <c r="C147" s="770" t="s">
        <v>1289</v>
      </c>
      <c r="D147" s="701">
        <v>46293</v>
      </c>
      <c r="E147" s="701" t="s">
        <v>1300</v>
      </c>
      <c r="F147" s="594"/>
      <c r="G147" s="792" t="s">
        <v>1319</v>
      </c>
      <c r="H147" s="701" t="s">
        <v>412</v>
      </c>
      <c r="I147" s="59" t="s">
        <v>1174</v>
      </c>
      <c r="J147" s="794"/>
      <c r="K147" s="348"/>
      <c r="L147" s="700"/>
      <c r="M147" s="700"/>
      <c r="N147" s="594"/>
      <c r="O147" s="701"/>
      <c r="P147" s="701"/>
      <c r="Q147" s="348"/>
      <c r="R147" s="348"/>
      <c r="S147" s="700"/>
      <c r="T147" s="700"/>
      <c r="U147" s="594"/>
      <c r="V147" s="701"/>
      <c r="W147" s="701"/>
      <c r="X147" s="703"/>
      <c r="Y147" s="348"/>
      <c r="Z147" s="348"/>
      <c r="AA147" s="700"/>
      <c r="AB147" s="700"/>
      <c r="AC147" s="594"/>
      <c r="AD147" s="701"/>
      <c r="AE147" s="701"/>
      <c r="AF147" s="706"/>
      <c r="AG147" s="700"/>
      <c r="AH147" s="700"/>
      <c r="AI147" s="594"/>
      <c r="AJ147" s="701"/>
      <c r="AK147" s="701"/>
      <c r="AL147" s="703"/>
      <c r="AM147" s="348"/>
      <c r="AN147" s="348"/>
      <c r="AO147" s="700"/>
      <c r="AP147" s="700"/>
      <c r="AQ147" s="594"/>
      <c r="AR147" s="701"/>
      <c r="AS147" s="701"/>
      <c r="AT147" s="348"/>
      <c r="AU147" s="348"/>
      <c r="AV147" s="700"/>
      <c r="AW147" s="700"/>
      <c r="AX147" s="594"/>
      <c r="AY147" s="701"/>
      <c r="AZ147" s="701"/>
      <c r="BA147" s="703"/>
      <c r="BB147" s="348"/>
      <c r="BC147" s="348"/>
      <c r="BD147" s="700"/>
      <c r="BE147" s="700"/>
      <c r="BF147" s="594"/>
      <c r="BG147" s="701"/>
      <c r="BH147" s="701"/>
      <c r="BI147" s="700"/>
      <c r="BJ147" s="700"/>
      <c r="BK147" s="594"/>
      <c r="BL147" s="701"/>
      <c r="BM147" s="701"/>
      <c r="BN147" s="703"/>
      <c r="BO147" s="348"/>
      <c r="BP147" s="348"/>
      <c r="BQ147" s="700"/>
      <c r="BR147" s="700"/>
      <c r="BS147" s="594"/>
      <c r="BT147" s="701"/>
      <c r="BU147" s="701"/>
      <c r="BV147" s="348"/>
      <c r="BW147" s="348"/>
      <c r="BX147" s="700"/>
      <c r="BY147" s="700"/>
      <c r="BZ147" s="594"/>
      <c r="CA147" s="701"/>
      <c r="CB147" s="701"/>
      <c r="CC147" s="703"/>
      <c r="CD147" s="348"/>
      <c r="CE147" s="348"/>
      <c r="CF147" s="700"/>
      <c r="CG147" s="700"/>
      <c r="CH147" s="594"/>
      <c r="CI147" s="701"/>
      <c r="CJ147" s="701"/>
      <c r="CK147" s="706"/>
      <c r="CL147" s="700"/>
      <c r="CM147" s="700"/>
      <c r="CN147" s="594"/>
      <c r="CO147" s="701"/>
      <c r="CP147" s="701"/>
      <c r="CQ147" s="703"/>
      <c r="CR147" s="348"/>
      <c r="CS147" s="348"/>
      <c r="CT147" s="700"/>
      <c r="CU147" s="700"/>
      <c r="CV147" s="594"/>
      <c r="CW147" s="701"/>
      <c r="CX147" s="701"/>
      <c r="CY147" s="348"/>
      <c r="CZ147" s="348"/>
      <c r="DA147" s="700"/>
      <c r="DB147" s="700"/>
      <c r="DC147" s="594"/>
      <c r="DD147" s="701"/>
      <c r="DE147" s="701"/>
      <c r="DF147" s="703"/>
      <c r="DG147" s="348"/>
      <c r="DH147" s="348"/>
      <c r="DI147" s="700"/>
      <c r="DJ147" s="700"/>
      <c r="DK147" s="594"/>
      <c r="DL147" s="701"/>
      <c r="DM147" s="701"/>
      <c r="DN147" s="594"/>
      <c r="DO147" s="594"/>
      <c r="DP147" s="701"/>
      <c r="DQ147" s="701"/>
      <c r="DR147" s="703"/>
      <c r="DS147" s="348"/>
      <c r="DT147" s="348"/>
      <c r="DU147" s="700"/>
      <c r="DV147" s="700"/>
      <c r="DW147" s="594"/>
      <c r="DX147" s="701"/>
      <c r="DY147" s="701"/>
      <c r="DZ147" s="348"/>
      <c r="EA147" s="348"/>
      <c r="EB147" s="700"/>
      <c r="EC147" s="700"/>
      <c r="ED147" s="594"/>
      <c r="EE147" s="701"/>
      <c r="EF147" s="701"/>
      <c r="EG147" s="703"/>
      <c r="EH147" s="348"/>
      <c r="EI147" s="348"/>
      <c r="EJ147" s="700"/>
      <c r="EK147" s="700"/>
      <c r="EL147" s="594"/>
      <c r="EM147" s="701"/>
      <c r="EN147" s="701"/>
      <c r="EO147" s="706"/>
      <c r="EP147" s="700"/>
      <c r="EQ147" s="700"/>
      <c r="ER147" s="594"/>
      <c r="ES147" s="701"/>
      <c r="ET147" s="701"/>
      <c r="EU147" s="703"/>
      <c r="EV147" s="348"/>
      <c r="EW147" s="348"/>
      <c r="EX147" s="700"/>
      <c r="EY147" s="700"/>
      <c r="EZ147" s="594"/>
      <c r="FA147" s="701"/>
      <c r="FB147" s="701"/>
      <c r="FC147" s="348"/>
      <c r="FD147" s="348"/>
      <c r="FE147" s="700"/>
      <c r="FF147" s="700"/>
      <c r="FG147" s="594"/>
      <c r="FH147" s="701"/>
      <c r="FI147" s="701"/>
      <c r="FJ147" s="703"/>
      <c r="FK147" s="348"/>
      <c r="FL147" s="348"/>
      <c r="FM147" s="700"/>
      <c r="FN147" s="700"/>
      <c r="FO147" s="594"/>
      <c r="FP147" s="701"/>
      <c r="FQ147" s="701"/>
      <c r="FR147" s="700"/>
      <c r="FS147" s="700"/>
      <c r="FT147" s="594"/>
      <c r="FU147" s="701"/>
      <c r="FV147" s="701"/>
      <c r="FW147" s="703"/>
      <c r="FX147" s="348"/>
      <c r="FY147" s="348"/>
      <c r="FZ147" s="700"/>
      <c r="GA147" s="700"/>
      <c r="GB147" s="594"/>
      <c r="GC147" s="701"/>
      <c r="GD147" s="701"/>
      <c r="GE147" s="348"/>
      <c r="GF147" s="348"/>
      <c r="GG147" s="700"/>
      <c r="GH147" s="700"/>
      <c r="GI147" s="594"/>
      <c r="GJ147" s="701"/>
      <c r="GK147" s="701"/>
      <c r="GL147" s="703"/>
      <c r="GM147" s="348"/>
      <c r="GN147" s="348"/>
      <c r="GO147" s="700"/>
      <c r="GP147" s="700"/>
      <c r="GQ147" s="594"/>
      <c r="GR147" s="701"/>
      <c r="GS147" s="701"/>
      <c r="GT147" s="706"/>
      <c r="GU147" s="700"/>
      <c r="GV147" s="700"/>
      <c r="GW147" s="594"/>
      <c r="GX147" s="701"/>
      <c r="GY147" s="701"/>
      <c r="GZ147" s="703"/>
      <c r="HA147" s="348"/>
      <c r="HB147" s="348"/>
      <c r="HC147" s="700"/>
      <c r="HD147" s="700"/>
      <c r="HE147" s="594"/>
      <c r="HF147" s="701"/>
      <c r="HG147" s="701"/>
      <c r="HH147" s="348"/>
      <c r="HI147" s="348"/>
      <c r="HJ147" s="700"/>
      <c r="HK147" s="700"/>
      <c r="HL147" s="594"/>
      <c r="HM147" s="701"/>
      <c r="HN147" s="701"/>
      <c r="HO147" s="703"/>
      <c r="HP147" s="348"/>
      <c r="HQ147" s="348"/>
      <c r="HR147" s="700"/>
      <c r="HS147" s="700"/>
      <c r="HT147" s="594"/>
      <c r="HU147" s="701"/>
      <c r="HV147" s="701"/>
      <c r="HW147" s="594"/>
      <c r="HX147" s="701"/>
      <c r="HY147" s="701"/>
      <c r="HZ147" s="703"/>
      <c r="IA147" s="348"/>
      <c r="IB147" s="348"/>
      <c r="IC147" s="700"/>
      <c r="ID147" s="700"/>
      <c r="IE147" s="594"/>
      <c r="IF147" s="701"/>
      <c r="IG147" s="701"/>
      <c r="IH147" s="348"/>
      <c r="II147" s="348"/>
      <c r="IJ147" s="700"/>
      <c r="IK147" s="700"/>
      <c r="IL147" s="594"/>
      <c r="IM147" s="701"/>
      <c r="IN147" s="701"/>
      <c r="IO147" s="703"/>
      <c r="IP147" s="348"/>
      <c r="IQ147" s="348"/>
      <c r="IR147" s="700"/>
      <c r="IS147" s="700"/>
      <c r="IT147" s="594"/>
      <c r="IU147" s="701"/>
      <c r="IV147" s="701"/>
      <c r="IW147" s="706"/>
      <c r="IX147" s="700"/>
      <c r="IY147" s="700"/>
      <c r="IZ147" s="594"/>
      <c r="JA147" s="701"/>
      <c r="JB147" s="701"/>
      <c r="JC147" s="703"/>
      <c r="JD147" s="348"/>
      <c r="JE147" s="348"/>
      <c r="JF147" s="700"/>
      <c r="JG147" s="700"/>
      <c r="JH147" s="594"/>
      <c r="JI147" s="701"/>
      <c r="JJ147" s="701"/>
      <c r="JK147" s="348"/>
      <c r="JL147" s="348"/>
      <c r="JM147" s="700"/>
      <c r="JN147" s="700"/>
      <c r="JO147" s="594"/>
      <c r="JP147" s="701"/>
      <c r="JQ147" s="701"/>
      <c r="JR147" s="703"/>
      <c r="JS147" s="348"/>
      <c r="JT147" s="348"/>
      <c r="JU147" s="700"/>
      <c r="JV147" s="700"/>
      <c r="JW147" s="594"/>
      <c r="JX147" s="701"/>
      <c r="JY147" s="701"/>
      <c r="JZ147" s="700"/>
      <c r="KA147" s="700"/>
      <c r="KB147" s="594"/>
      <c r="KC147" s="701"/>
      <c r="KD147" s="701"/>
      <c r="KE147" s="703"/>
      <c r="KF147" s="348"/>
      <c r="KG147" s="348"/>
      <c r="KH147" s="700"/>
      <c r="KI147" s="700"/>
      <c r="KJ147" s="594"/>
      <c r="KK147" s="701"/>
      <c r="KL147" s="701"/>
      <c r="KM147" s="348"/>
      <c r="KN147" s="348"/>
      <c r="KO147" s="700"/>
      <c r="KP147" s="700"/>
      <c r="KQ147" s="594"/>
      <c r="KR147" s="701"/>
      <c r="KS147" s="701"/>
      <c r="KT147" s="703"/>
      <c r="KU147" s="348"/>
      <c r="KV147" s="348"/>
      <c r="KW147" s="700"/>
      <c r="KX147" s="700"/>
      <c r="KY147" s="594"/>
      <c r="KZ147" s="701"/>
      <c r="LA147" s="701"/>
      <c r="LB147" s="706"/>
      <c r="LC147" s="700"/>
      <c r="LD147" s="700"/>
      <c r="LE147" s="594"/>
      <c r="LF147" s="701"/>
      <c r="LG147" s="701"/>
      <c r="LH147" s="703"/>
      <c r="LI147" s="348"/>
      <c r="LJ147" s="348"/>
      <c r="LK147" s="700"/>
      <c r="LL147" s="700"/>
      <c r="LM147" s="594"/>
      <c r="LN147" s="701"/>
      <c r="LO147" s="701"/>
      <c r="LP147" s="348"/>
      <c r="LQ147" s="348"/>
      <c r="LR147" s="700"/>
      <c r="LS147" s="700"/>
      <c r="LT147" s="594"/>
      <c r="LU147" s="701"/>
      <c r="LV147" s="701"/>
      <c r="LW147" s="703"/>
      <c r="LX147" s="348"/>
      <c r="LY147" s="348"/>
      <c r="LZ147" s="700"/>
      <c r="MA147" s="700"/>
      <c r="MB147" s="594"/>
      <c r="MC147" s="701"/>
      <c r="MD147" s="701"/>
      <c r="ME147" s="594"/>
      <c r="MF147" s="594"/>
      <c r="MG147" s="701"/>
      <c r="MH147" s="701"/>
      <c r="MI147" s="703"/>
      <c r="MJ147" s="348"/>
      <c r="MK147" s="348"/>
      <c r="ML147" s="700"/>
      <c r="MM147" s="700"/>
      <c r="MN147" s="594"/>
      <c r="MO147" s="701"/>
      <c r="MP147" s="701"/>
      <c r="MQ147" s="348"/>
      <c r="MR147" s="348"/>
      <c r="MS147" s="700"/>
      <c r="MT147" s="700"/>
      <c r="MU147" s="594"/>
      <c r="MV147" s="701"/>
      <c r="MW147" s="701"/>
      <c r="MX147" s="703"/>
      <c r="MY147" s="348"/>
      <c r="MZ147" s="348"/>
      <c r="NA147" s="700"/>
      <c r="NB147" s="700"/>
      <c r="NC147" s="594"/>
      <c r="ND147" s="701"/>
      <c r="NE147" s="701"/>
      <c r="NF147" s="706"/>
      <c r="NG147" s="700"/>
      <c r="NH147" s="700"/>
      <c r="NI147" s="594"/>
      <c r="NJ147" s="701"/>
      <c r="NK147" s="701"/>
      <c r="NL147" s="703"/>
      <c r="NM147" s="348"/>
      <c r="NN147" s="348"/>
      <c r="NO147" s="700"/>
      <c r="NP147" s="700"/>
      <c r="NQ147" s="594"/>
      <c r="NR147" s="701"/>
      <c r="NS147" s="701"/>
      <c r="NT147" s="348"/>
      <c r="NU147" s="348"/>
      <c r="NV147" s="700"/>
      <c r="NW147" s="700"/>
      <c r="NX147" s="594"/>
      <c r="NY147" s="701"/>
      <c r="NZ147" s="701"/>
      <c r="OA147" s="703"/>
      <c r="OB147" s="348"/>
      <c r="OC147" s="348"/>
      <c r="OD147" s="700"/>
      <c r="OE147" s="700"/>
      <c r="OF147" s="594"/>
      <c r="OG147" s="701"/>
      <c r="OH147" s="701"/>
      <c r="OI147" s="700"/>
      <c r="OJ147" s="700"/>
      <c r="OK147" s="594"/>
      <c r="OL147" s="701"/>
      <c r="OM147" s="701"/>
      <c r="ON147" s="703"/>
      <c r="OO147" s="348"/>
      <c r="OP147" s="348"/>
      <c r="OQ147" s="700"/>
      <c r="OR147" s="700"/>
      <c r="OS147" s="594"/>
      <c r="OT147" s="701"/>
      <c r="OU147" s="701"/>
      <c r="OV147" s="348"/>
      <c r="OW147" s="348"/>
      <c r="OX147" s="700"/>
      <c r="OY147" s="700"/>
      <c r="OZ147" s="594"/>
      <c r="PA147" s="701"/>
      <c r="PB147" s="701"/>
      <c r="PC147" s="703"/>
      <c r="PD147" s="348"/>
      <c r="PE147" s="348"/>
      <c r="PF147" s="700"/>
      <c r="PG147" s="700"/>
      <c r="PH147" s="594"/>
      <c r="PI147" s="701"/>
      <c r="PJ147" s="701"/>
      <c r="PK147" s="706"/>
      <c r="PL147" s="700"/>
      <c r="PM147" s="700"/>
      <c r="PN147" s="594"/>
      <c r="PO147" s="701"/>
      <c r="PP147" s="701"/>
      <c r="PQ147" s="703"/>
      <c r="PR147" s="348"/>
      <c r="PS147" s="348"/>
      <c r="PT147" s="700"/>
      <c r="PU147" s="700"/>
      <c r="PV147" s="594"/>
      <c r="PW147" s="701"/>
      <c r="PX147" s="701"/>
      <c r="PY147" s="348"/>
      <c r="PZ147" s="348"/>
      <c r="QA147" s="700"/>
      <c r="QB147" s="700"/>
      <c r="QC147" s="594"/>
      <c r="QD147" s="701"/>
      <c r="QE147" s="701"/>
      <c r="QF147" s="703"/>
      <c r="QG147" s="348"/>
      <c r="QH147" s="348"/>
    </row>
    <row r="148" spans="1:1790" ht="64.5" hidden="1">
      <c r="A148" s="700" t="s">
        <v>330</v>
      </c>
      <c r="B148" s="700" t="s">
        <v>1320</v>
      </c>
      <c r="C148" s="770" t="s">
        <v>1289</v>
      </c>
      <c r="D148" s="701" t="s">
        <v>1321</v>
      </c>
      <c r="E148" s="701">
        <v>46254</v>
      </c>
      <c r="F148" s="771"/>
      <c r="G148" s="792" t="s">
        <v>1322</v>
      </c>
      <c r="H148" s="59" t="s">
        <v>330</v>
      </c>
      <c r="I148" s="348" t="s">
        <v>1174</v>
      </c>
      <c r="J148" s="794"/>
      <c r="K148" s="700"/>
      <c r="L148" s="700"/>
      <c r="M148" s="594"/>
      <c r="N148" s="701"/>
      <c r="O148" s="701"/>
      <c r="P148" s="348"/>
      <c r="Q148" s="348"/>
      <c r="R148" s="700"/>
      <c r="S148" s="700"/>
      <c r="T148" s="594"/>
      <c r="U148" s="701"/>
      <c r="V148" s="701"/>
      <c r="W148" s="703"/>
      <c r="X148" s="348"/>
      <c r="Y148" s="348"/>
      <c r="Z148" s="700"/>
      <c r="AA148" s="700"/>
      <c r="AB148" s="594"/>
      <c r="AC148" s="701"/>
      <c r="AD148" s="701"/>
      <c r="AE148" s="706"/>
      <c r="AF148" s="700"/>
      <c r="AG148" s="700"/>
      <c r="AH148" s="594"/>
      <c r="AI148" s="701"/>
      <c r="AJ148" s="701"/>
      <c r="AK148" s="703"/>
      <c r="AL148" s="348"/>
      <c r="AM148" s="348"/>
      <c r="AN148" s="700"/>
      <c r="AO148" s="700"/>
      <c r="AP148" s="594"/>
      <c r="AQ148" s="701"/>
      <c r="AR148" s="701"/>
      <c r="AS148" s="348"/>
      <c r="AT148" s="348"/>
      <c r="AU148" s="700"/>
      <c r="AV148" s="700"/>
      <c r="AW148" s="594"/>
      <c r="AX148" s="701"/>
      <c r="AY148" s="701"/>
      <c r="AZ148" s="703"/>
      <c r="BA148" s="348"/>
      <c r="BB148" s="348"/>
      <c r="BC148" s="700"/>
      <c r="BD148" s="700"/>
      <c r="BE148" s="594"/>
      <c r="BF148" s="701"/>
      <c r="BG148" s="701"/>
      <c r="BH148" s="700"/>
      <c r="BI148" s="700"/>
      <c r="BJ148" s="594"/>
      <c r="BK148" s="701"/>
      <c r="BL148" s="701"/>
      <c r="BM148" s="703"/>
      <c r="BN148" s="348"/>
      <c r="BO148" s="348"/>
      <c r="BP148" s="700"/>
      <c r="BQ148" s="700"/>
      <c r="BR148" s="594"/>
      <c r="BS148" s="701"/>
      <c r="BT148" s="701"/>
      <c r="BU148" s="348"/>
      <c r="BV148" s="348"/>
      <c r="BW148" s="700"/>
      <c r="BX148" s="700"/>
      <c r="BY148" s="594"/>
      <c r="BZ148" s="701"/>
      <c r="CA148" s="701"/>
      <c r="CB148" s="703"/>
      <c r="CC148" s="348"/>
      <c r="CD148" s="348"/>
      <c r="CE148" s="700"/>
      <c r="CF148" s="700"/>
      <c r="CG148" s="594"/>
      <c r="CH148" s="701"/>
      <c r="CI148" s="701"/>
      <c r="CJ148" s="706"/>
      <c r="CK148" s="700"/>
      <c r="CL148" s="700"/>
      <c r="CM148" s="594"/>
      <c r="CN148" s="701"/>
      <c r="CO148" s="701"/>
      <c r="CP148" s="703"/>
      <c r="CQ148" s="348"/>
      <c r="CR148" s="348"/>
      <c r="CS148" s="700"/>
      <c r="CT148" s="700"/>
      <c r="CU148" s="594"/>
      <c r="CV148" s="701"/>
      <c r="CW148" s="701"/>
      <c r="CX148" s="348"/>
      <c r="CY148" s="348"/>
      <c r="CZ148" s="700"/>
      <c r="DA148" s="700"/>
      <c r="DB148" s="594"/>
      <c r="DC148" s="701"/>
      <c r="DD148" s="701"/>
      <c r="DE148" s="703"/>
      <c r="DF148" s="348"/>
      <c r="DG148" s="348"/>
      <c r="DH148" s="700"/>
      <c r="DI148" s="700"/>
      <c r="DJ148" s="594"/>
      <c r="DK148" s="701"/>
      <c r="DL148" s="701"/>
      <c r="DM148" s="594"/>
      <c r="DN148" s="594"/>
      <c r="DO148" s="701"/>
      <c r="DP148" s="701"/>
      <c r="DQ148" s="703"/>
      <c r="DR148" s="348"/>
      <c r="DS148" s="348"/>
      <c r="DT148" s="700"/>
      <c r="DU148" s="700"/>
      <c r="DV148" s="594"/>
      <c r="DW148" s="701"/>
      <c r="DX148" s="701"/>
      <c r="DY148" s="348"/>
      <c r="DZ148" s="348"/>
      <c r="EA148" s="700"/>
      <c r="EB148" s="700"/>
      <c r="EC148" s="594"/>
      <c r="ED148" s="701"/>
      <c r="EE148" s="701"/>
      <c r="EF148" s="703"/>
      <c r="EG148" s="348"/>
      <c r="EH148" s="348"/>
      <c r="EI148" s="700"/>
      <c r="EJ148" s="700"/>
      <c r="EK148" s="594"/>
      <c r="EL148" s="701"/>
      <c r="EM148" s="701"/>
      <c r="EN148" s="706"/>
      <c r="EO148" s="700"/>
      <c r="EP148" s="700"/>
      <c r="EQ148" s="594"/>
      <c r="ER148" s="701"/>
      <c r="ES148" s="701"/>
      <c r="ET148" s="703"/>
      <c r="EU148" s="348"/>
      <c r="EV148" s="348"/>
      <c r="EW148" s="700"/>
      <c r="EX148" s="700"/>
      <c r="EY148" s="594"/>
      <c r="EZ148" s="701"/>
      <c r="FA148" s="701"/>
      <c r="FB148" s="348"/>
      <c r="FC148" s="348"/>
      <c r="FD148" s="700"/>
      <c r="FE148" s="700"/>
      <c r="FF148" s="594"/>
      <c r="FG148" s="701"/>
      <c r="FH148" s="701"/>
      <c r="FI148" s="703"/>
      <c r="FJ148" s="348"/>
      <c r="FK148" s="348"/>
      <c r="FL148" s="700"/>
      <c r="FM148" s="700"/>
      <c r="FN148" s="594"/>
      <c r="FO148" s="701"/>
      <c r="FP148" s="701"/>
      <c r="FQ148" s="700"/>
      <c r="FR148" s="700"/>
      <c r="FS148" s="594"/>
      <c r="FT148" s="701"/>
      <c r="FU148" s="701"/>
      <c r="FV148" s="703"/>
      <c r="FW148" s="348"/>
      <c r="FX148" s="348"/>
      <c r="FY148" s="700"/>
      <c r="FZ148" s="700"/>
      <c r="GA148" s="594"/>
      <c r="GB148" s="701"/>
      <c r="GC148" s="701"/>
      <c r="GD148" s="348"/>
      <c r="GE148" s="348"/>
      <c r="GF148" s="700"/>
      <c r="GG148" s="700"/>
      <c r="GH148" s="594"/>
      <c r="GI148" s="701"/>
      <c r="GJ148" s="701"/>
      <c r="GK148" s="703"/>
      <c r="GL148" s="348"/>
      <c r="GM148" s="348"/>
      <c r="GN148" s="700"/>
      <c r="GO148" s="700"/>
      <c r="GP148" s="594"/>
      <c r="GQ148" s="701"/>
      <c r="GR148" s="701"/>
      <c r="GS148" s="706"/>
      <c r="GT148" s="700"/>
      <c r="GU148" s="700"/>
      <c r="GV148" s="594"/>
      <c r="GW148" s="701"/>
      <c r="GX148" s="701"/>
      <c r="GY148" s="703"/>
      <c r="GZ148" s="348"/>
      <c r="HA148" s="348"/>
      <c r="HB148" s="700"/>
      <c r="HC148" s="700"/>
      <c r="HD148" s="594"/>
      <c r="HE148" s="701"/>
      <c r="HF148" s="701"/>
      <c r="HG148" s="348"/>
      <c r="HH148" s="348"/>
      <c r="HI148" s="700"/>
      <c r="HJ148" s="700"/>
      <c r="HK148" s="594"/>
      <c r="HL148" s="701"/>
      <c r="HM148" s="701"/>
      <c r="HN148" s="703"/>
      <c r="HO148" s="348"/>
      <c r="HP148" s="348"/>
      <c r="HQ148" s="700"/>
      <c r="HR148" s="700"/>
      <c r="HS148" s="594"/>
      <c r="HT148" s="701"/>
      <c r="HU148" s="701"/>
      <c r="HV148" s="594"/>
      <c r="HW148" s="701"/>
      <c r="HX148" s="701"/>
      <c r="HY148" s="703"/>
      <c r="HZ148" s="348"/>
      <c r="IA148" s="348"/>
      <c r="IB148" s="700"/>
      <c r="IC148" s="700"/>
      <c r="ID148" s="594"/>
      <c r="IE148" s="701"/>
      <c r="IF148" s="701"/>
      <c r="IG148" s="348"/>
      <c r="IH148" s="348"/>
      <c r="II148" s="700"/>
      <c r="IJ148" s="700"/>
      <c r="IK148" s="594"/>
      <c r="IL148" s="701"/>
      <c r="IM148" s="701"/>
      <c r="IN148" s="703"/>
      <c r="IO148" s="348"/>
      <c r="IP148" s="348"/>
      <c r="IQ148" s="700"/>
      <c r="IR148" s="700"/>
      <c r="IS148" s="594"/>
      <c r="IT148" s="701"/>
      <c r="IU148" s="701"/>
      <c r="IV148" s="706"/>
      <c r="IW148" s="700"/>
      <c r="IX148" s="700"/>
      <c r="IY148" s="594"/>
      <c r="IZ148" s="701"/>
      <c r="JA148" s="701"/>
      <c r="JB148" s="703"/>
      <c r="JC148" s="348"/>
      <c r="JD148" s="348"/>
      <c r="JE148" s="700"/>
      <c r="JF148" s="700"/>
      <c r="JG148" s="594"/>
      <c r="JH148" s="701"/>
      <c r="JI148" s="701"/>
      <c r="JJ148" s="348"/>
      <c r="JK148" s="348"/>
      <c r="JL148" s="700"/>
      <c r="JM148" s="700"/>
      <c r="JN148" s="594"/>
      <c r="JO148" s="701"/>
      <c r="JP148" s="701"/>
      <c r="JQ148" s="703"/>
      <c r="JR148" s="348"/>
      <c r="JS148" s="348"/>
      <c r="JT148" s="700"/>
      <c r="JU148" s="700"/>
      <c r="JV148" s="594"/>
      <c r="JW148" s="701"/>
      <c r="JX148" s="701"/>
      <c r="JY148" s="700"/>
      <c r="JZ148" s="700"/>
      <c r="KA148" s="594"/>
      <c r="KB148" s="701"/>
      <c r="KC148" s="701"/>
      <c r="KD148" s="703"/>
      <c r="KE148" s="348"/>
      <c r="KF148" s="348"/>
      <c r="KG148" s="700"/>
      <c r="KH148" s="700"/>
      <c r="KI148" s="594"/>
      <c r="KJ148" s="701"/>
      <c r="KK148" s="701"/>
      <c r="KL148" s="348"/>
      <c r="KM148" s="348"/>
      <c r="KN148" s="700"/>
      <c r="KO148" s="700"/>
      <c r="KP148" s="594"/>
      <c r="KQ148" s="701"/>
      <c r="KR148" s="701"/>
      <c r="KS148" s="703"/>
      <c r="KT148" s="348"/>
      <c r="KU148" s="348"/>
      <c r="KV148" s="700"/>
      <c r="KW148" s="700"/>
      <c r="KX148" s="594"/>
      <c r="KY148" s="701"/>
      <c r="KZ148" s="701"/>
      <c r="LA148" s="706"/>
      <c r="LB148" s="700"/>
      <c r="LC148" s="700"/>
      <c r="LD148" s="594"/>
      <c r="LE148" s="701"/>
      <c r="LF148" s="701"/>
      <c r="LG148" s="703"/>
      <c r="LH148" s="348"/>
      <c r="LI148" s="348"/>
      <c r="LJ148" s="700"/>
      <c r="LK148" s="700"/>
      <c r="LL148" s="594"/>
      <c r="LM148" s="701"/>
      <c r="LN148" s="701"/>
      <c r="LO148" s="348"/>
      <c r="LP148" s="348"/>
      <c r="LQ148" s="700"/>
      <c r="LR148" s="700"/>
      <c r="LS148" s="594"/>
      <c r="LT148" s="701"/>
      <c r="LU148" s="701"/>
      <c r="LV148" s="703"/>
      <c r="LW148" s="348"/>
      <c r="LX148" s="348"/>
      <c r="LY148" s="700"/>
      <c r="LZ148" s="700"/>
      <c r="MA148" s="594"/>
      <c r="MB148" s="701"/>
      <c r="MC148" s="701"/>
      <c r="MD148" s="594"/>
      <c r="ME148" s="594"/>
      <c r="MF148" s="701"/>
      <c r="MG148" s="701"/>
      <c r="MH148" s="703"/>
      <c r="MI148" s="348"/>
      <c r="MJ148" s="348"/>
      <c r="MK148" s="700"/>
      <c r="ML148" s="700"/>
      <c r="MM148" s="594"/>
      <c r="MN148" s="701"/>
      <c r="MO148" s="701"/>
      <c r="MP148" s="348"/>
      <c r="MQ148" s="348"/>
      <c r="MR148" s="700"/>
      <c r="MS148" s="700"/>
      <c r="MT148" s="594"/>
      <c r="MU148" s="701"/>
      <c r="MV148" s="701"/>
      <c r="MW148" s="703"/>
      <c r="MX148" s="348"/>
      <c r="MY148" s="348"/>
      <c r="MZ148" s="700"/>
      <c r="NA148" s="700"/>
      <c r="NB148" s="594"/>
      <c r="NC148" s="701"/>
      <c r="ND148" s="701"/>
      <c r="NE148" s="706"/>
      <c r="NF148" s="700"/>
      <c r="NG148" s="700"/>
      <c r="NH148" s="594"/>
      <c r="NI148" s="701"/>
      <c r="NJ148" s="701"/>
      <c r="NK148" s="703"/>
      <c r="NL148" s="348"/>
      <c r="NM148" s="348"/>
      <c r="NN148" s="700"/>
      <c r="NO148" s="700"/>
      <c r="NP148" s="594"/>
      <c r="NQ148" s="701"/>
      <c r="NR148" s="701"/>
      <c r="NS148" s="348"/>
      <c r="NT148" s="348"/>
      <c r="NU148" s="700"/>
      <c r="NV148" s="700"/>
      <c r="NW148" s="594"/>
      <c r="NX148" s="701"/>
      <c r="NY148" s="701"/>
      <c r="NZ148" s="703"/>
      <c r="OA148" s="348"/>
      <c r="OB148" s="348"/>
      <c r="OC148" s="700"/>
      <c r="OD148" s="700"/>
      <c r="OE148" s="594"/>
      <c r="OF148" s="701"/>
      <c r="OG148" s="701"/>
      <c r="OH148" s="700"/>
      <c r="OI148" s="700"/>
      <c r="OJ148" s="594"/>
      <c r="OK148" s="701"/>
      <c r="OL148" s="701"/>
      <c r="OM148" s="703"/>
      <c r="ON148" s="348"/>
      <c r="OO148" s="348"/>
      <c r="OP148" s="700"/>
      <c r="OQ148" s="700"/>
      <c r="OR148" s="594"/>
      <c r="OS148" s="701"/>
      <c r="OT148" s="701"/>
      <c r="OU148" s="348"/>
      <c r="OV148" s="348"/>
      <c r="OW148" s="700"/>
      <c r="OX148" s="700"/>
      <c r="OY148" s="594"/>
      <c r="OZ148" s="701"/>
      <c r="PA148" s="701"/>
      <c r="PB148" s="703"/>
      <c r="PC148" s="348"/>
      <c r="PD148" s="348"/>
      <c r="PE148" s="700"/>
      <c r="PF148" s="700"/>
      <c r="PG148" s="594"/>
      <c r="PH148" s="701"/>
      <c r="PI148" s="701"/>
      <c r="PJ148" s="706"/>
      <c r="PK148" s="700"/>
      <c r="PL148" s="700"/>
      <c r="PM148" s="594"/>
      <c r="PN148" s="701"/>
      <c r="PO148" s="701"/>
      <c r="PP148" s="703"/>
      <c r="PQ148" s="348"/>
      <c r="PR148" s="348"/>
      <c r="PS148" s="700"/>
      <c r="PT148" s="700"/>
      <c r="PU148" s="594"/>
      <c r="PV148" s="701"/>
      <c r="PW148" s="701"/>
      <c r="PX148" s="348"/>
      <c r="PY148" s="348"/>
      <c r="PZ148" s="700"/>
      <c r="QA148" s="700"/>
      <c r="QB148" s="594"/>
      <c r="QC148" s="701"/>
      <c r="QD148" s="701"/>
      <c r="QE148" s="703"/>
      <c r="QF148" s="348"/>
      <c r="QG148" s="348"/>
    </row>
    <row r="149" spans="1:1790" hidden="1">
      <c r="A149" s="700" t="s">
        <v>346</v>
      </c>
      <c r="B149" s="369" t="s">
        <v>889</v>
      </c>
      <c r="C149" s="594" t="s">
        <v>1323</v>
      </c>
      <c r="D149" s="701">
        <v>46192</v>
      </c>
      <c r="E149" s="701" t="s">
        <v>1300</v>
      </c>
      <c r="F149" s="771"/>
      <c r="G149" s="771" t="s">
        <v>1324</v>
      </c>
      <c r="H149" s="798"/>
      <c r="I149" s="799"/>
      <c r="J149" s="348"/>
      <c r="K149" s="700"/>
      <c r="L149" s="700"/>
      <c r="M149" s="594"/>
      <c r="N149" s="701"/>
      <c r="O149" s="701"/>
      <c r="P149" s="348"/>
      <c r="Q149" s="348"/>
      <c r="R149" s="700"/>
      <c r="S149" s="700"/>
      <c r="T149" s="594"/>
      <c r="U149" s="701"/>
      <c r="V149" s="701"/>
      <c r="W149" s="703"/>
      <c r="X149" s="348"/>
      <c r="Y149" s="348"/>
      <c r="Z149" s="700"/>
      <c r="AA149" s="700"/>
      <c r="AB149" s="594"/>
      <c r="AC149" s="701"/>
      <c r="AD149" s="701"/>
      <c r="AE149" s="706"/>
      <c r="AF149" s="700"/>
      <c r="AG149" s="700"/>
      <c r="AH149" s="594"/>
      <c r="AI149" s="701"/>
      <c r="AJ149" s="701"/>
      <c r="AK149" s="703"/>
      <c r="AL149" s="348"/>
      <c r="AM149" s="348"/>
      <c r="AN149" s="700"/>
      <c r="AO149" s="700"/>
      <c r="AP149" s="594"/>
      <c r="AQ149" s="701"/>
      <c r="AR149" s="701"/>
      <c r="AS149" s="348"/>
      <c r="AT149" s="348"/>
      <c r="AU149" s="700"/>
      <c r="AV149" s="700"/>
      <c r="AW149" s="594"/>
      <c r="AX149" s="701"/>
      <c r="AY149" s="701"/>
      <c r="AZ149" s="703"/>
      <c r="BA149" s="348"/>
      <c r="BB149" s="348"/>
      <c r="BC149" s="700"/>
      <c r="BD149" s="700"/>
      <c r="BE149" s="594"/>
      <c r="BF149" s="701"/>
      <c r="BG149" s="701"/>
      <c r="BH149" s="700"/>
      <c r="BI149" s="700"/>
      <c r="BJ149" s="594"/>
      <c r="BK149" s="701"/>
      <c r="BL149" s="701"/>
      <c r="BM149" s="703"/>
      <c r="BN149" s="348"/>
      <c r="BO149" s="348"/>
      <c r="BP149" s="700"/>
      <c r="BQ149" s="700"/>
      <c r="BR149" s="594"/>
      <c r="BS149" s="701"/>
      <c r="BT149" s="701"/>
      <c r="BU149" s="348"/>
      <c r="BV149" s="348"/>
      <c r="BW149" s="700"/>
      <c r="BX149" s="700"/>
      <c r="BY149" s="594"/>
      <c r="BZ149" s="701"/>
      <c r="CA149" s="701"/>
      <c r="CB149" s="703"/>
      <c r="CC149" s="348"/>
      <c r="CD149" s="348"/>
      <c r="CE149" s="700"/>
      <c r="CF149" s="700"/>
      <c r="CG149" s="594"/>
      <c r="CH149" s="701"/>
      <c r="CI149" s="701"/>
      <c r="CJ149" s="706"/>
      <c r="CK149" s="700"/>
      <c r="CL149" s="700"/>
      <c r="CM149" s="594"/>
      <c r="CN149" s="701"/>
      <c r="CO149" s="701"/>
      <c r="CP149" s="703"/>
      <c r="CQ149" s="348"/>
      <c r="CR149" s="348"/>
      <c r="CS149" s="700"/>
      <c r="CT149" s="700"/>
      <c r="CU149" s="594"/>
      <c r="CV149" s="701"/>
      <c r="CW149" s="701"/>
      <c r="CX149" s="348"/>
      <c r="CY149" s="348"/>
      <c r="CZ149" s="700"/>
      <c r="DA149" s="700"/>
      <c r="DB149" s="594"/>
      <c r="DC149" s="701"/>
      <c r="DD149" s="701"/>
      <c r="DE149" s="703"/>
      <c r="DF149" s="348"/>
      <c r="DG149" s="348"/>
      <c r="DH149" s="700"/>
      <c r="DI149" s="700"/>
      <c r="DJ149" s="594"/>
      <c r="DK149" s="701"/>
      <c r="DL149" s="701"/>
      <c r="DM149" s="594"/>
      <c r="DN149" s="594"/>
      <c r="DO149" s="701"/>
      <c r="DP149" s="701"/>
      <c r="DQ149" s="703"/>
      <c r="DR149" s="348"/>
      <c r="DS149" s="348"/>
      <c r="DT149" s="700"/>
      <c r="DU149" s="700"/>
      <c r="DV149" s="594"/>
      <c r="DW149" s="701"/>
      <c r="DX149" s="701"/>
      <c r="DY149" s="348"/>
      <c r="DZ149" s="348"/>
      <c r="EA149" s="700"/>
      <c r="EB149" s="700"/>
      <c r="EC149" s="594"/>
      <c r="ED149" s="701"/>
      <c r="EE149" s="701"/>
      <c r="EF149" s="703"/>
      <c r="EG149" s="348"/>
      <c r="EH149" s="348"/>
      <c r="EI149" s="700"/>
      <c r="EJ149" s="700"/>
      <c r="EK149" s="594"/>
      <c r="EL149" s="701"/>
      <c r="EM149" s="701"/>
      <c r="EN149" s="706"/>
      <c r="EO149" s="700"/>
      <c r="EP149" s="700"/>
      <c r="EQ149" s="594"/>
      <c r="ER149" s="701"/>
      <c r="ES149" s="701"/>
      <c r="ET149" s="703"/>
      <c r="EU149" s="348"/>
      <c r="EV149" s="348"/>
      <c r="EW149" s="700"/>
      <c r="EX149" s="700"/>
      <c r="EY149" s="594"/>
      <c r="EZ149" s="701"/>
      <c r="FA149" s="701"/>
      <c r="FB149" s="348"/>
      <c r="FC149" s="348"/>
      <c r="FD149" s="700"/>
      <c r="FE149" s="700"/>
      <c r="FF149" s="594"/>
      <c r="FG149" s="701"/>
      <c r="FH149" s="701"/>
      <c r="FI149" s="703"/>
      <c r="FJ149" s="348"/>
      <c r="FK149" s="348"/>
      <c r="FL149" s="700"/>
      <c r="FM149" s="700"/>
      <c r="FN149" s="594"/>
      <c r="FO149" s="701"/>
      <c r="FP149" s="701"/>
      <c r="FQ149" s="700"/>
      <c r="FR149" s="700"/>
      <c r="FS149" s="594"/>
      <c r="FT149" s="701"/>
      <c r="FU149" s="701"/>
      <c r="FV149" s="703"/>
      <c r="FW149" s="348"/>
      <c r="FX149" s="348"/>
      <c r="FY149" s="700"/>
      <c r="FZ149" s="700"/>
      <c r="GA149" s="594"/>
      <c r="GB149" s="701"/>
      <c r="GC149" s="701"/>
      <c r="GD149" s="348"/>
      <c r="GE149" s="348"/>
      <c r="GF149" s="700"/>
      <c r="GG149" s="700"/>
      <c r="GH149" s="594"/>
      <c r="GI149" s="701"/>
      <c r="GJ149" s="701"/>
      <c r="GK149" s="703"/>
      <c r="GL149" s="348"/>
      <c r="GM149" s="348"/>
      <c r="GN149" s="700"/>
      <c r="GO149" s="700"/>
      <c r="GP149" s="594"/>
      <c r="GQ149" s="701"/>
      <c r="GR149" s="701"/>
      <c r="GS149" s="706"/>
      <c r="GT149" s="700"/>
      <c r="GU149" s="700"/>
      <c r="GV149" s="594"/>
      <c r="GW149" s="701"/>
      <c r="GX149" s="701"/>
      <c r="GY149" s="703"/>
      <c r="GZ149" s="348"/>
      <c r="HA149" s="348"/>
      <c r="HB149" s="700"/>
      <c r="HC149" s="700"/>
      <c r="HD149" s="594"/>
      <c r="HE149" s="701"/>
      <c r="HF149" s="701"/>
      <c r="HG149" s="348"/>
      <c r="HH149" s="348"/>
      <c r="HI149" s="700"/>
      <c r="HJ149" s="700"/>
      <c r="HK149" s="594"/>
      <c r="HL149" s="701"/>
      <c r="HM149" s="701"/>
      <c r="HN149" s="703"/>
      <c r="HO149" s="348"/>
      <c r="HP149" s="348"/>
      <c r="HQ149" s="700"/>
      <c r="HR149" s="700"/>
      <c r="HS149" s="594"/>
      <c r="HT149" s="701"/>
      <c r="HU149" s="701"/>
      <c r="HV149" s="594"/>
      <c r="HW149" s="701"/>
      <c r="HX149" s="701"/>
      <c r="HY149" s="703"/>
      <c r="HZ149" s="348"/>
      <c r="IA149" s="348"/>
      <c r="IB149" s="700"/>
      <c r="IC149" s="700"/>
      <c r="ID149" s="594"/>
      <c r="IE149" s="701"/>
      <c r="IF149" s="701"/>
      <c r="IG149" s="348"/>
      <c r="IH149" s="348"/>
      <c r="II149" s="700"/>
      <c r="IJ149" s="700"/>
      <c r="IK149" s="594"/>
      <c r="IL149" s="701"/>
      <c r="IM149" s="701"/>
      <c r="IN149" s="703"/>
      <c r="IO149" s="348"/>
      <c r="IP149" s="348"/>
      <c r="IQ149" s="700"/>
      <c r="IR149" s="700"/>
      <c r="IS149" s="594"/>
      <c r="IT149" s="701"/>
      <c r="IU149" s="701"/>
      <c r="IV149" s="706"/>
      <c r="IW149" s="700"/>
      <c r="IX149" s="700"/>
      <c r="IY149" s="594"/>
      <c r="IZ149" s="701"/>
      <c r="JA149" s="701"/>
      <c r="JB149" s="703"/>
      <c r="JC149" s="348"/>
      <c r="JD149" s="348"/>
      <c r="JE149" s="700"/>
      <c r="JF149" s="700"/>
      <c r="JG149" s="594"/>
      <c r="JH149" s="701"/>
      <c r="JI149" s="701"/>
      <c r="JJ149" s="348"/>
      <c r="JK149" s="348"/>
      <c r="JL149" s="700"/>
      <c r="JM149" s="700"/>
      <c r="JN149" s="594"/>
      <c r="JO149" s="701"/>
      <c r="JP149" s="701"/>
      <c r="JQ149" s="703"/>
      <c r="JR149" s="348"/>
      <c r="JS149" s="348"/>
      <c r="JT149" s="700"/>
      <c r="JU149" s="700"/>
      <c r="JV149" s="594"/>
      <c r="JW149" s="701"/>
      <c r="JX149" s="701"/>
      <c r="JY149" s="700"/>
      <c r="JZ149" s="700"/>
      <c r="KA149" s="594"/>
      <c r="KB149" s="701"/>
      <c r="KC149" s="701"/>
      <c r="KD149" s="703"/>
      <c r="KE149" s="348"/>
      <c r="KF149" s="348"/>
      <c r="KG149" s="700"/>
      <c r="KH149" s="700"/>
      <c r="KI149" s="594"/>
      <c r="KJ149" s="701"/>
      <c r="KK149" s="701"/>
      <c r="KL149" s="348"/>
      <c r="KM149" s="348"/>
      <c r="KN149" s="700"/>
      <c r="KO149" s="700"/>
      <c r="KP149" s="594"/>
      <c r="KQ149" s="701"/>
      <c r="KR149" s="701"/>
      <c r="KS149" s="703"/>
      <c r="KT149" s="348"/>
      <c r="KU149" s="348"/>
      <c r="KV149" s="700"/>
      <c r="KW149" s="700"/>
      <c r="KX149" s="594"/>
      <c r="KY149" s="701"/>
      <c r="KZ149" s="701"/>
      <c r="LA149" s="706"/>
      <c r="LB149" s="700"/>
      <c r="LC149" s="700"/>
      <c r="LD149" s="594"/>
      <c r="LE149" s="701"/>
      <c r="LF149" s="701"/>
      <c r="LG149" s="703"/>
      <c r="LH149" s="348"/>
      <c r="LI149" s="348"/>
      <c r="LJ149" s="700"/>
      <c r="LK149" s="700"/>
      <c r="LL149" s="594"/>
      <c r="LM149" s="701"/>
      <c r="LN149" s="701"/>
      <c r="LO149" s="348"/>
      <c r="LP149" s="348"/>
      <c r="LQ149" s="700"/>
      <c r="LR149" s="700"/>
      <c r="LS149" s="594"/>
      <c r="LT149" s="701"/>
      <c r="LU149" s="701"/>
      <c r="LV149" s="703"/>
      <c r="LW149" s="348"/>
      <c r="LX149" s="348"/>
      <c r="LY149" s="700"/>
      <c r="LZ149" s="700"/>
      <c r="MA149" s="594"/>
      <c r="MB149" s="701"/>
      <c r="MC149" s="701"/>
      <c r="MD149" s="594"/>
      <c r="ME149" s="594"/>
      <c r="MF149" s="701"/>
      <c r="MG149" s="701"/>
      <c r="MH149" s="703"/>
      <c r="MI149" s="348"/>
      <c r="MJ149" s="348"/>
      <c r="MK149" s="700"/>
      <c r="ML149" s="700"/>
      <c r="MM149" s="594"/>
      <c r="MN149" s="701"/>
      <c r="MO149" s="701"/>
      <c r="MP149" s="348"/>
      <c r="MQ149" s="348"/>
      <c r="MR149" s="700"/>
      <c r="MS149" s="700"/>
      <c r="MT149" s="594"/>
      <c r="MU149" s="701"/>
      <c r="MV149" s="701"/>
      <c r="MW149" s="703"/>
      <c r="MX149" s="348"/>
      <c r="MY149" s="348"/>
      <c r="MZ149" s="700"/>
      <c r="NA149" s="700"/>
      <c r="NB149" s="594"/>
      <c r="NC149" s="701"/>
      <c r="ND149" s="701"/>
      <c r="NE149" s="706"/>
      <c r="NF149" s="700"/>
      <c r="NG149" s="700"/>
      <c r="NH149" s="594"/>
      <c r="NI149" s="701"/>
      <c r="NJ149" s="701"/>
      <c r="NK149" s="703"/>
      <c r="NL149" s="348"/>
      <c r="NM149" s="348"/>
      <c r="NN149" s="700"/>
      <c r="NO149" s="700"/>
      <c r="NP149" s="594"/>
      <c r="NQ149" s="701"/>
      <c r="NR149" s="701"/>
      <c r="NS149" s="348"/>
      <c r="NT149" s="348"/>
      <c r="NU149" s="700"/>
      <c r="NV149" s="700"/>
      <c r="NW149" s="594"/>
      <c r="NX149" s="701"/>
      <c r="NY149" s="701"/>
      <c r="NZ149" s="703"/>
      <c r="OA149" s="348"/>
      <c r="OB149" s="348"/>
      <c r="OC149" s="700"/>
      <c r="OD149" s="700"/>
      <c r="OE149" s="594"/>
      <c r="OF149" s="701"/>
      <c r="OG149" s="701"/>
      <c r="OH149" s="700"/>
      <c r="OI149" s="700"/>
      <c r="OJ149" s="594"/>
      <c r="OK149" s="701"/>
      <c r="OL149" s="701"/>
      <c r="OM149" s="703"/>
      <c r="ON149" s="348"/>
      <c r="OO149" s="348"/>
      <c r="OP149" s="700"/>
      <c r="OQ149" s="700"/>
      <c r="OR149" s="594"/>
      <c r="OS149" s="701"/>
      <c r="OT149" s="701"/>
      <c r="OU149" s="348"/>
      <c r="OV149" s="348"/>
      <c r="OW149" s="700"/>
      <c r="OX149" s="700"/>
      <c r="OY149" s="594"/>
      <c r="OZ149" s="701"/>
      <c r="PA149" s="701"/>
      <c r="PB149" s="703"/>
      <c r="PC149" s="348"/>
      <c r="PD149" s="348"/>
      <c r="PE149" s="700"/>
      <c r="PF149" s="700"/>
      <c r="PG149" s="594"/>
      <c r="PH149" s="701"/>
      <c r="PI149" s="701"/>
      <c r="PJ149" s="706"/>
      <c r="PK149" s="700"/>
      <c r="PL149" s="700"/>
      <c r="PM149" s="594"/>
      <c r="PN149" s="701"/>
      <c r="PO149" s="701"/>
      <c r="PP149" s="703"/>
      <c r="PQ149" s="348"/>
      <c r="PR149" s="348"/>
      <c r="PS149" s="700"/>
      <c r="PT149" s="700"/>
      <c r="PU149" s="594"/>
      <c r="PV149" s="701"/>
      <c r="PW149" s="701"/>
      <c r="PX149" s="348"/>
      <c r="PY149" s="348"/>
      <c r="PZ149" s="700"/>
      <c r="QA149" s="700"/>
      <c r="QB149" s="594"/>
      <c r="QC149" s="701"/>
      <c r="QD149" s="701"/>
      <c r="QE149" s="703"/>
      <c r="QF149" s="348"/>
      <c r="QG149" s="348"/>
    </row>
    <row r="150" spans="1:1790" ht="43.15" hidden="1">
      <c r="A150" s="700" t="s">
        <v>1314</v>
      </c>
      <c r="B150" s="700" t="s">
        <v>1320</v>
      </c>
      <c r="C150" s="594" t="s">
        <v>1289</v>
      </c>
      <c r="D150" s="701">
        <v>46240</v>
      </c>
      <c r="E150" s="701" t="s">
        <v>897</v>
      </c>
      <c r="F150" s="771"/>
      <c r="G150" s="703" t="s">
        <v>1325</v>
      </c>
      <c r="H150" s="348"/>
      <c r="I150" s="348"/>
      <c r="J150" s="700"/>
      <c r="K150" s="700"/>
      <c r="L150" s="594"/>
      <c r="M150" s="701"/>
      <c r="N150" s="701"/>
      <c r="O150" s="348"/>
      <c r="P150" s="348"/>
      <c r="Q150" s="700"/>
      <c r="R150" s="700"/>
      <c r="S150" s="594"/>
      <c r="T150" s="701"/>
      <c r="U150" s="701"/>
      <c r="V150" s="703"/>
      <c r="W150" s="348"/>
      <c r="X150" s="348"/>
      <c r="Y150" s="700"/>
      <c r="Z150" s="700"/>
      <c r="AA150" s="594"/>
      <c r="AB150" s="701"/>
      <c r="AC150" s="701"/>
      <c r="AD150" s="706"/>
      <c r="AE150" s="700"/>
      <c r="AF150" s="700"/>
      <c r="AG150" s="594"/>
      <c r="AH150" s="701"/>
      <c r="AI150" s="701"/>
      <c r="AJ150" s="703"/>
      <c r="AK150" s="348"/>
      <c r="AL150" s="348"/>
      <c r="AM150" s="700"/>
      <c r="AN150" s="700"/>
      <c r="AO150" s="594"/>
      <c r="AP150" s="701"/>
      <c r="AQ150" s="701"/>
      <c r="AR150" s="348"/>
      <c r="AS150" s="348"/>
      <c r="AT150" s="700"/>
      <c r="AU150" s="700"/>
      <c r="AV150" s="594"/>
      <c r="AW150" s="701"/>
      <c r="AX150" s="701"/>
      <c r="AY150" s="703"/>
      <c r="AZ150" s="348"/>
      <c r="BA150" s="348"/>
      <c r="BB150" s="700"/>
      <c r="BC150" s="700"/>
      <c r="BD150" s="594"/>
      <c r="BE150" s="701"/>
      <c r="BF150" s="701"/>
      <c r="BG150" s="700"/>
      <c r="BH150" s="700"/>
      <c r="BI150" s="594"/>
      <c r="BJ150" s="701"/>
      <c r="BK150" s="701"/>
      <c r="BL150" s="703"/>
      <c r="BM150" s="348"/>
      <c r="BN150" s="348"/>
      <c r="BO150" s="700"/>
      <c r="BP150" s="700"/>
      <c r="BQ150" s="594"/>
      <c r="BR150" s="701"/>
      <c r="BS150" s="701"/>
      <c r="BT150" s="348"/>
      <c r="BU150" s="348"/>
      <c r="BV150" s="700"/>
      <c r="BW150" s="700"/>
      <c r="BX150" s="594"/>
      <c r="BY150" s="701"/>
      <c r="BZ150" s="701"/>
      <c r="CA150" s="703"/>
      <c r="CB150" s="348"/>
      <c r="CC150" s="348"/>
      <c r="CD150" s="700"/>
      <c r="CE150" s="700"/>
      <c r="CF150" s="594"/>
      <c r="CG150" s="701"/>
      <c r="CH150" s="701"/>
      <c r="CI150" s="706"/>
      <c r="CJ150" s="700"/>
      <c r="CK150" s="700"/>
      <c r="CL150" s="594"/>
      <c r="CM150" s="701"/>
      <c r="CN150" s="701"/>
      <c r="CO150" s="703"/>
      <c r="CP150" s="348"/>
      <c r="CQ150" s="348"/>
      <c r="CR150" s="700"/>
      <c r="CS150" s="700"/>
      <c r="CT150" s="594"/>
      <c r="CU150" s="701"/>
      <c r="CV150" s="701"/>
      <c r="CW150" s="348"/>
      <c r="CX150" s="348"/>
      <c r="CY150" s="700"/>
      <c r="CZ150" s="700"/>
      <c r="DA150" s="594"/>
      <c r="DB150" s="701"/>
      <c r="DC150" s="701"/>
      <c r="DD150" s="703"/>
      <c r="DE150" s="348"/>
      <c r="DF150" s="348"/>
      <c r="DG150" s="700"/>
      <c r="DH150" s="700"/>
      <c r="DI150" s="594"/>
      <c r="DJ150" s="701"/>
      <c r="DK150" s="701"/>
      <c r="DL150" s="594"/>
      <c r="DM150" s="594"/>
      <c r="DN150" s="701"/>
      <c r="DO150" s="701"/>
      <c r="DP150" s="703"/>
      <c r="DQ150" s="348"/>
      <c r="DR150" s="348"/>
      <c r="DS150" s="700"/>
      <c r="DT150" s="700"/>
      <c r="DU150" s="594"/>
      <c r="DV150" s="701"/>
      <c r="DW150" s="701"/>
      <c r="DX150" s="348"/>
      <c r="DY150" s="348"/>
      <c r="DZ150" s="700"/>
      <c r="EA150" s="700"/>
      <c r="EB150" s="594"/>
      <c r="EC150" s="701"/>
      <c r="ED150" s="701"/>
      <c r="EE150" s="703"/>
      <c r="EF150" s="348"/>
      <c r="EG150" s="348"/>
      <c r="EH150" s="700"/>
      <c r="EI150" s="700"/>
      <c r="EJ150" s="594"/>
      <c r="EK150" s="701"/>
      <c r="EL150" s="701"/>
      <c r="EM150" s="706"/>
      <c r="EN150" s="700"/>
      <c r="EO150" s="700"/>
      <c r="EP150" s="594"/>
      <c r="EQ150" s="701"/>
      <c r="ER150" s="701"/>
      <c r="ES150" s="703"/>
      <c r="ET150" s="348"/>
      <c r="EU150" s="348"/>
      <c r="EV150" s="700"/>
      <c r="EW150" s="700"/>
      <c r="EX150" s="594"/>
      <c r="EY150" s="701"/>
      <c r="EZ150" s="701"/>
      <c r="FA150" s="348"/>
      <c r="FB150" s="348"/>
      <c r="FC150" s="700"/>
      <c r="FD150" s="700"/>
      <c r="FE150" s="594"/>
      <c r="FF150" s="701"/>
      <c r="FG150" s="701"/>
      <c r="FH150" s="703"/>
      <c r="FI150" s="348"/>
      <c r="FJ150" s="348"/>
      <c r="FK150" s="700"/>
      <c r="FL150" s="700"/>
      <c r="FM150" s="594"/>
      <c r="FN150" s="701"/>
      <c r="FO150" s="701"/>
      <c r="FP150" s="700"/>
      <c r="FQ150" s="700"/>
      <c r="FR150" s="594"/>
      <c r="FS150" s="701"/>
      <c r="FT150" s="701"/>
      <c r="FU150" s="703"/>
      <c r="FV150" s="348"/>
      <c r="FW150" s="348"/>
      <c r="FX150" s="700"/>
      <c r="FY150" s="700"/>
      <c r="FZ150" s="594"/>
      <c r="GA150" s="701"/>
      <c r="GB150" s="701"/>
      <c r="GC150" s="348"/>
      <c r="GD150" s="348"/>
      <c r="GE150" s="700"/>
      <c r="GF150" s="700"/>
      <c r="GG150" s="594"/>
      <c r="GH150" s="701"/>
      <c r="GI150" s="701"/>
      <c r="GJ150" s="703"/>
      <c r="GK150" s="348"/>
      <c r="GL150" s="348"/>
      <c r="GM150" s="700"/>
      <c r="GN150" s="700"/>
      <c r="GO150" s="594"/>
      <c r="GP150" s="701"/>
      <c r="GQ150" s="701"/>
      <c r="GR150" s="706"/>
      <c r="GS150" s="700"/>
      <c r="GT150" s="700"/>
      <c r="GU150" s="594"/>
      <c r="GV150" s="701"/>
      <c r="GW150" s="701"/>
      <c r="GX150" s="703"/>
      <c r="GY150" s="348"/>
      <c r="GZ150" s="348"/>
      <c r="HA150" s="700"/>
      <c r="HB150" s="700"/>
      <c r="HC150" s="594"/>
      <c r="HD150" s="701"/>
      <c r="HE150" s="701"/>
      <c r="HF150" s="348"/>
      <c r="HG150" s="348"/>
      <c r="HH150" s="700"/>
      <c r="HI150" s="700"/>
      <c r="HJ150" s="594"/>
      <c r="HK150" s="701"/>
      <c r="HL150" s="701"/>
      <c r="HM150" s="703"/>
      <c r="HN150" s="348"/>
      <c r="HO150" s="348"/>
      <c r="HP150" s="700"/>
      <c r="HQ150" s="700"/>
      <c r="HR150" s="594"/>
      <c r="HS150" s="701"/>
      <c r="HT150" s="701"/>
      <c r="HU150" s="594"/>
      <c r="HV150" s="701"/>
      <c r="HW150" s="701"/>
      <c r="HX150" s="703"/>
      <c r="HY150" s="348"/>
      <c r="HZ150" s="348"/>
      <c r="IA150" s="700"/>
      <c r="IB150" s="700"/>
      <c r="IC150" s="594"/>
      <c r="ID150" s="701"/>
      <c r="IE150" s="701"/>
      <c r="IF150" s="348"/>
      <c r="IG150" s="348"/>
      <c r="IH150" s="700"/>
      <c r="II150" s="700"/>
      <c r="IJ150" s="594"/>
      <c r="IK150" s="701"/>
      <c r="IL150" s="701"/>
      <c r="IM150" s="703"/>
      <c r="IN150" s="348"/>
      <c r="IO150" s="348"/>
      <c r="IP150" s="700"/>
      <c r="IQ150" s="700"/>
      <c r="IR150" s="594"/>
      <c r="IS150" s="701"/>
      <c r="IT150" s="701"/>
      <c r="IU150" s="706"/>
      <c r="IV150" s="700"/>
      <c r="IW150" s="700"/>
      <c r="IX150" s="594"/>
      <c r="IY150" s="701"/>
      <c r="IZ150" s="701"/>
      <c r="JA150" s="703"/>
      <c r="JB150" s="348"/>
      <c r="JC150" s="348"/>
      <c r="JD150" s="700"/>
      <c r="JE150" s="700"/>
      <c r="JF150" s="594"/>
      <c r="JG150" s="701"/>
      <c r="JH150" s="701"/>
      <c r="JI150" s="348"/>
      <c r="JJ150" s="348"/>
      <c r="JK150" s="700"/>
      <c r="JL150" s="700"/>
      <c r="JM150" s="594"/>
      <c r="JN150" s="701"/>
      <c r="JO150" s="701"/>
      <c r="JP150" s="703"/>
      <c r="JQ150" s="348"/>
      <c r="JR150" s="348"/>
      <c r="JS150" s="700"/>
      <c r="JT150" s="700"/>
      <c r="JU150" s="594"/>
      <c r="JV150" s="701"/>
      <c r="JW150" s="701"/>
      <c r="JX150" s="700"/>
      <c r="JY150" s="700"/>
      <c r="JZ150" s="594"/>
      <c r="KA150" s="701"/>
      <c r="KB150" s="701"/>
      <c r="KC150" s="703"/>
      <c r="KD150" s="348"/>
      <c r="KE150" s="348"/>
      <c r="KF150" s="700"/>
      <c r="KG150" s="700"/>
      <c r="KH150" s="594"/>
      <c r="KI150" s="701"/>
      <c r="KJ150" s="701"/>
      <c r="KK150" s="348"/>
      <c r="KL150" s="348"/>
      <c r="KM150" s="700"/>
      <c r="KN150" s="700"/>
      <c r="KO150" s="594"/>
      <c r="KP150" s="701"/>
      <c r="KQ150" s="701"/>
      <c r="KR150" s="703"/>
      <c r="KS150" s="348"/>
      <c r="KT150" s="348"/>
      <c r="KU150" s="700"/>
      <c r="KV150" s="700"/>
      <c r="KW150" s="594"/>
      <c r="KX150" s="701"/>
      <c r="KY150" s="701"/>
      <c r="KZ150" s="706"/>
      <c r="LA150" s="700"/>
      <c r="LB150" s="700"/>
      <c r="LC150" s="594"/>
      <c r="LD150" s="701"/>
      <c r="LE150" s="701"/>
      <c r="LF150" s="703"/>
      <c r="LG150" s="348"/>
      <c r="LH150" s="348"/>
      <c r="LI150" s="700"/>
      <c r="LJ150" s="700"/>
      <c r="LK150" s="594"/>
      <c r="LL150" s="701"/>
      <c r="LM150" s="701"/>
      <c r="LN150" s="348"/>
      <c r="LO150" s="348"/>
      <c r="LP150" s="700"/>
      <c r="LQ150" s="700"/>
      <c r="LR150" s="594"/>
      <c r="LS150" s="701"/>
      <c r="LT150" s="701"/>
      <c r="LU150" s="703"/>
      <c r="LV150" s="348"/>
      <c r="LW150" s="348"/>
      <c r="LX150" s="700"/>
      <c r="LY150" s="700"/>
      <c r="LZ150" s="594"/>
      <c r="MA150" s="701"/>
      <c r="MB150" s="701"/>
      <c r="MC150" s="594"/>
      <c r="MD150" s="594"/>
      <c r="ME150" s="701"/>
      <c r="MF150" s="701"/>
      <c r="MG150" s="703"/>
      <c r="MH150" s="348"/>
      <c r="MI150" s="348"/>
      <c r="MJ150" s="700"/>
      <c r="MK150" s="700"/>
      <c r="ML150" s="594"/>
      <c r="MM150" s="701"/>
      <c r="MN150" s="701"/>
      <c r="MO150" s="348"/>
      <c r="MP150" s="348"/>
      <c r="MQ150" s="700"/>
      <c r="MR150" s="700"/>
      <c r="MS150" s="594"/>
      <c r="MT150" s="701"/>
      <c r="MU150" s="701"/>
      <c r="MV150" s="703"/>
      <c r="MW150" s="348"/>
      <c r="MX150" s="348"/>
      <c r="MY150" s="700"/>
      <c r="MZ150" s="700"/>
      <c r="NA150" s="594"/>
      <c r="NB150" s="701"/>
      <c r="NC150" s="701"/>
      <c r="ND150" s="706"/>
      <c r="NE150" s="700"/>
      <c r="NF150" s="700"/>
      <c r="NG150" s="594"/>
      <c r="NH150" s="701"/>
      <c r="NI150" s="701"/>
      <c r="NJ150" s="703"/>
      <c r="NK150" s="348"/>
      <c r="NL150" s="348"/>
      <c r="NM150" s="700"/>
      <c r="NN150" s="700"/>
      <c r="NO150" s="594"/>
      <c r="NP150" s="701"/>
      <c r="NQ150" s="701"/>
      <c r="NR150" s="348"/>
      <c r="NS150" s="348"/>
      <c r="NT150" s="700"/>
      <c r="NU150" s="700"/>
      <c r="NV150" s="594"/>
      <c r="NW150" s="701"/>
      <c r="NX150" s="701"/>
      <c r="NY150" s="703"/>
      <c r="NZ150" s="348"/>
      <c r="OA150" s="348"/>
      <c r="OB150" s="700"/>
      <c r="OC150" s="700"/>
      <c r="OD150" s="594"/>
      <c r="OE150" s="701"/>
      <c r="OF150" s="701"/>
      <c r="OG150" s="700"/>
      <c r="OH150" s="700"/>
      <c r="OI150" s="594"/>
      <c r="OJ150" s="701"/>
      <c r="OK150" s="701"/>
      <c r="OL150" s="703"/>
      <c r="OM150" s="348"/>
      <c r="ON150" s="348"/>
      <c r="OO150" s="700"/>
      <c r="OP150" s="700"/>
      <c r="OQ150" s="594"/>
      <c r="OR150" s="701"/>
      <c r="OS150" s="701"/>
      <c r="OT150" s="348"/>
      <c r="OU150" s="348"/>
      <c r="OV150" s="700"/>
      <c r="OW150" s="700"/>
      <c r="OX150" s="594"/>
      <c r="OY150" s="701"/>
      <c r="OZ150" s="701"/>
      <c r="PA150" s="703"/>
      <c r="PB150" s="348"/>
      <c r="PC150" s="348"/>
      <c r="PD150" s="700"/>
      <c r="PE150" s="700"/>
      <c r="PF150" s="594"/>
      <c r="PG150" s="701"/>
      <c r="PH150" s="701"/>
      <c r="PI150" s="706"/>
      <c r="PJ150" s="700"/>
      <c r="PK150" s="700"/>
      <c r="PL150" s="594"/>
      <c r="PM150" s="701"/>
      <c r="PN150" s="701"/>
      <c r="PO150" s="703"/>
      <c r="PP150" s="348"/>
      <c r="PQ150" s="348"/>
      <c r="PR150" s="700"/>
      <c r="PS150" s="700"/>
      <c r="PT150" s="594"/>
      <c r="PU150" s="701"/>
      <c r="PV150" s="701"/>
      <c r="PW150" s="348"/>
      <c r="PX150" s="348"/>
      <c r="PY150" s="700"/>
      <c r="PZ150" s="700"/>
      <c r="QA150" s="594"/>
      <c r="QB150" s="701"/>
      <c r="QC150" s="701"/>
      <c r="QD150" s="703"/>
      <c r="QE150" s="348"/>
      <c r="QF150" s="348"/>
      <c r="QG150" s="700"/>
      <c r="QH150" s="700"/>
      <c r="QI150" s="594"/>
      <c r="QJ150" s="701"/>
      <c r="QK150" s="701"/>
      <c r="QL150" s="771"/>
      <c r="QM150" s="703"/>
      <c r="QN150" s="348"/>
      <c r="QO150" s="348"/>
      <c r="QP150" s="700"/>
      <c r="QQ150" s="700"/>
      <c r="QR150" s="594"/>
      <c r="QS150" s="701"/>
      <c r="QT150" s="701"/>
      <c r="QU150" s="348"/>
      <c r="QV150" s="348"/>
      <c r="QW150" s="700"/>
      <c r="QX150" s="700"/>
      <c r="QY150" s="594"/>
      <c r="QZ150" s="701"/>
      <c r="RA150" s="701"/>
      <c r="RB150" s="703"/>
      <c r="RC150" s="348"/>
      <c r="RD150" s="348"/>
      <c r="RE150" s="700"/>
      <c r="RF150" s="700"/>
      <c r="RG150" s="594"/>
      <c r="RH150" s="701"/>
      <c r="RI150" s="701"/>
      <c r="RJ150" s="706"/>
      <c r="RK150" s="700"/>
      <c r="RL150" s="700"/>
      <c r="RM150" s="594"/>
      <c r="RN150" s="701"/>
      <c r="RO150" s="701"/>
      <c r="RP150" s="703"/>
      <c r="RQ150" s="348"/>
      <c r="RR150" s="348"/>
      <c r="RS150" s="700"/>
      <c r="RT150" s="700"/>
      <c r="RU150" s="594"/>
      <c r="RV150" s="701"/>
      <c r="RW150" s="701"/>
      <c r="RX150" s="348"/>
      <c r="RY150" s="348"/>
      <c r="RZ150" s="700"/>
      <c r="SA150" s="700"/>
      <c r="SB150" s="594"/>
      <c r="SC150" s="701"/>
      <c r="SD150" s="701"/>
      <c r="SE150" s="703"/>
      <c r="SF150" s="348"/>
      <c r="SG150" s="348"/>
      <c r="SH150" s="700"/>
      <c r="SI150" s="700"/>
      <c r="SJ150" s="594"/>
      <c r="SK150" s="701"/>
      <c r="SL150" s="701"/>
      <c r="SM150" s="700"/>
      <c r="SN150" s="700"/>
      <c r="SO150" s="594"/>
      <c r="SP150" s="701"/>
      <c r="SQ150" s="701"/>
      <c r="SR150" s="703"/>
      <c r="SS150" s="348"/>
      <c r="ST150" s="348"/>
      <c r="SU150" s="700"/>
      <c r="SV150" s="700"/>
      <c r="SW150" s="594"/>
      <c r="SX150" s="701"/>
      <c r="SY150" s="701"/>
      <c r="SZ150" s="348"/>
      <c r="TA150" s="348"/>
      <c r="TB150" s="700"/>
      <c r="TC150" s="700"/>
      <c r="TD150" s="594"/>
      <c r="TE150" s="701"/>
      <c r="TF150" s="701"/>
      <c r="TG150" s="703"/>
      <c r="TH150" s="348"/>
      <c r="TI150" s="348"/>
      <c r="TJ150" s="700"/>
      <c r="TK150" s="700"/>
      <c r="TL150" s="594"/>
      <c r="TM150" s="701"/>
      <c r="TN150" s="701"/>
      <c r="TO150" s="706"/>
      <c r="TP150" s="700"/>
      <c r="TQ150" s="700"/>
      <c r="TR150" s="594"/>
      <c r="TS150" s="701"/>
      <c r="TT150" s="701"/>
      <c r="TU150" s="703"/>
      <c r="TV150" s="348"/>
      <c r="TW150" s="348"/>
      <c r="TX150" s="700"/>
      <c r="TY150" s="700"/>
      <c r="TZ150" s="594"/>
      <c r="UA150" s="701"/>
      <c r="UB150" s="701"/>
      <c r="UC150" s="348"/>
      <c r="UD150" s="348"/>
      <c r="UE150" s="700"/>
      <c r="UF150" s="700"/>
      <c r="UG150" s="594"/>
      <c r="UH150" s="701"/>
      <c r="UI150" s="701"/>
      <c r="UJ150" s="703"/>
      <c r="UK150" s="348"/>
      <c r="UL150" s="348"/>
      <c r="UM150" s="700"/>
      <c r="UN150" s="700"/>
      <c r="UO150" s="594"/>
      <c r="UP150" s="701"/>
      <c r="UQ150" s="701"/>
      <c r="UR150" s="594"/>
      <c r="US150" s="594"/>
      <c r="UT150" s="701"/>
      <c r="UU150" s="701"/>
      <c r="UV150" s="703"/>
      <c r="UW150" s="348"/>
      <c r="UX150" s="348"/>
      <c r="UY150" s="700"/>
      <c r="UZ150" s="700"/>
      <c r="VA150" s="594"/>
      <c r="VB150" s="701"/>
      <c r="VC150" s="701"/>
      <c r="VD150" s="348"/>
      <c r="VE150" s="348"/>
      <c r="VF150" s="700"/>
      <c r="VG150" s="700"/>
      <c r="VH150" s="594"/>
      <c r="VI150" s="701"/>
      <c r="VJ150" s="701"/>
      <c r="VK150" s="703"/>
      <c r="VL150" s="348"/>
      <c r="VM150" s="348"/>
      <c r="VN150" s="700"/>
      <c r="VO150" s="700"/>
      <c r="VP150" s="594"/>
      <c r="VQ150" s="701"/>
      <c r="VR150" s="701"/>
      <c r="VS150" s="706"/>
      <c r="VT150" s="700"/>
      <c r="VU150" s="700"/>
      <c r="VV150" s="594"/>
      <c r="VW150" s="701"/>
      <c r="VX150" s="701"/>
      <c r="VY150" s="703"/>
      <c r="VZ150" s="348"/>
      <c r="WA150" s="348"/>
      <c r="WB150" s="700"/>
      <c r="WC150" s="700"/>
      <c r="WD150" s="594"/>
      <c r="WE150" s="701"/>
      <c r="WF150" s="701"/>
      <c r="WG150" s="348"/>
      <c r="WH150" s="348"/>
      <c r="WI150" s="700"/>
      <c r="WJ150" s="700"/>
      <c r="WK150" s="594"/>
      <c r="WL150" s="701"/>
      <c r="WM150" s="701"/>
      <c r="WN150" s="703"/>
      <c r="WO150" s="348"/>
      <c r="WP150" s="348"/>
      <c r="WQ150" s="700"/>
      <c r="WR150" s="700"/>
      <c r="WS150" s="594"/>
      <c r="WT150" s="701"/>
      <c r="WU150" s="701"/>
      <c r="WV150" s="700"/>
      <c r="WW150" s="700"/>
      <c r="WX150" s="594"/>
      <c r="WY150" s="701"/>
      <c r="WZ150" s="701"/>
      <c r="XA150" s="703"/>
      <c r="XB150" s="348"/>
      <c r="XC150" s="348"/>
      <c r="XD150" s="700"/>
      <c r="XE150" s="700"/>
      <c r="XF150" s="594"/>
      <c r="XG150" s="701"/>
      <c r="XH150" s="701"/>
      <c r="XI150" s="348"/>
      <c r="XJ150" s="348"/>
      <c r="XK150" s="700"/>
      <c r="XL150" s="700"/>
      <c r="XM150" s="594"/>
      <c r="XN150" s="701"/>
      <c r="XO150" s="701"/>
      <c r="XP150" s="703"/>
      <c r="XQ150" s="348"/>
      <c r="XR150" s="348"/>
      <c r="XS150" s="700"/>
      <c r="XT150" s="700"/>
      <c r="XU150" s="594"/>
      <c r="XV150" s="701"/>
      <c r="XW150" s="701"/>
      <c r="XX150" s="706"/>
      <c r="XY150" s="700"/>
      <c r="XZ150" s="700"/>
      <c r="YA150" s="594"/>
      <c r="YB150" s="701"/>
      <c r="YC150" s="701"/>
      <c r="YD150" s="703"/>
      <c r="YE150" s="348"/>
      <c r="YF150" s="348"/>
      <c r="YG150" s="700"/>
      <c r="YH150" s="700"/>
      <c r="YI150" s="594"/>
      <c r="YJ150" s="701"/>
      <c r="YK150" s="701"/>
      <c r="YL150" s="348"/>
      <c r="YM150" s="348"/>
      <c r="YN150" s="700"/>
      <c r="YO150" s="700"/>
      <c r="YP150" s="594"/>
      <c r="YQ150" s="701"/>
      <c r="YR150" s="701"/>
      <c r="YS150" s="703"/>
      <c r="YT150" s="348"/>
      <c r="YU150" s="348"/>
      <c r="YV150" s="700"/>
      <c r="YW150" s="700"/>
      <c r="YX150" s="594"/>
      <c r="YY150" s="701"/>
      <c r="YZ150" s="701"/>
      <c r="ZA150" s="594"/>
      <c r="ZB150" s="701"/>
      <c r="ZC150" s="701"/>
      <c r="ZD150" s="703"/>
      <c r="ZE150" s="348"/>
      <c r="ZF150" s="348"/>
      <c r="ZG150" s="700"/>
      <c r="ZH150" s="700"/>
      <c r="ZI150" s="594"/>
      <c r="ZJ150" s="701"/>
      <c r="ZK150" s="701"/>
      <c r="ZL150" s="348"/>
      <c r="ZM150" s="348"/>
      <c r="ZN150" s="700"/>
      <c r="ZO150" s="700"/>
      <c r="ZP150" s="594"/>
      <c r="ZQ150" s="701"/>
      <c r="ZR150" s="701"/>
      <c r="ZS150" s="703"/>
      <c r="ZT150" s="348"/>
      <c r="ZU150" s="348"/>
      <c r="ZV150" s="700"/>
      <c r="ZW150" s="700"/>
      <c r="ZX150" s="594"/>
      <c r="ZY150" s="701"/>
      <c r="ZZ150" s="701"/>
      <c r="AAA150" s="706"/>
      <c r="AAB150" s="700"/>
      <c r="AAC150" s="700"/>
      <c r="AAD150" s="594"/>
      <c r="AAE150" s="701"/>
      <c r="AAF150" s="701"/>
      <c r="AAG150" s="703"/>
      <c r="AAH150" s="348"/>
      <c r="AAI150" s="348"/>
      <c r="AAJ150" s="700"/>
      <c r="AAK150" s="700"/>
      <c r="AAL150" s="594"/>
      <c r="AAM150" s="701"/>
      <c r="AAN150" s="701"/>
      <c r="AAO150" s="348"/>
      <c r="AAP150" s="348"/>
      <c r="AAQ150" s="700"/>
      <c r="AAR150" s="700"/>
      <c r="AAS150" s="594"/>
      <c r="AAT150" s="701"/>
      <c r="AAU150" s="701"/>
      <c r="AAV150" s="703"/>
      <c r="AAW150" s="348"/>
      <c r="AAX150" s="348"/>
      <c r="AAY150" s="700"/>
      <c r="AAZ150" s="700"/>
      <c r="ABA150" s="594"/>
      <c r="ABB150" s="701"/>
      <c r="ABC150" s="701"/>
      <c r="ABD150" s="700"/>
      <c r="ABE150" s="700"/>
      <c r="ABF150" s="594"/>
      <c r="ABG150" s="701"/>
      <c r="ABH150" s="701"/>
      <c r="ABI150" s="703"/>
      <c r="ABJ150" s="348"/>
      <c r="ABK150" s="348"/>
      <c r="ABL150" s="700"/>
      <c r="ABM150" s="700"/>
      <c r="ABN150" s="594"/>
      <c r="ABO150" s="701"/>
      <c r="ABP150" s="701"/>
      <c r="ABQ150" s="348"/>
      <c r="ABR150" s="348"/>
      <c r="ABS150" s="700"/>
      <c r="ABT150" s="700"/>
      <c r="ABU150" s="594"/>
      <c r="ABV150" s="701"/>
      <c r="ABW150" s="701"/>
      <c r="ABX150" s="703"/>
      <c r="ABY150" s="348"/>
      <c r="ABZ150" s="348"/>
      <c r="ACA150" s="700"/>
      <c r="ACB150" s="700"/>
      <c r="ACC150" s="594"/>
      <c r="ACD150" s="701"/>
      <c r="ACE150" s="701"/>
      <c r="ACF150" s="706"/>
      <c r="ACG150" s="700"/>
      <c r="ACH150" s="700"/>
      <c r="ACI150" s="594"/>
      <c r="ACJ150" s="701"/>
      <c r="ACK150" s="701"/>
      <c r="ACL150" s="703"/>
      <c r="ACM150" s="348"/>
      <c r="ACN150" s="348"/>
      <c r="ACO150" s="700"/>
      <c r="ACP150" s="700"/>
      <c r="ACQ150" s="594"/>
      <c r="ACR150" s="701"/>
      <c r="ACS150" s="701"/>
      <c r="ACT150" s="348"/>
      <c r="ACU150" s="348"/>
      <c r="ACV150" s="700"/>
      <c r="ACW150" s="700"/>
      <c r="ACX150" s="594"/>
      <c r="ACY150" s="701"/>
      <c r="ACZ150" s="701"/>
      <c r="ADA150" s="703"/>
      <c r="ADB150" s="348"/>
      <c r="ADC150" s="348"/>
      <c r="ADD150" s="700"/>
      <c r="ADE150" s="700"/>
      <c r="ADF150" s="594"/>
      <c r="ADG150" s="701"/>
      <c r="ADH150" s="701"/>
      <c r="ADI150" s="594"/>
      <c r="ADJ150" s="594"/>
      <c r="ADK150" s="701"/>
      <c r="ADL150" s="701"/>
      <c r="ADM150" s="703"/>
      <c r="ADN150" s="348"/>
      <c r="ADO150" s="348"/>
      <c r="ADP150" s="700"/>
      <c r="ADQ150" s="700"/>
      <c r="ADR150" s="594"/>
      <c r="ADS150" s="701"/>
      <c r="ADT150" s="701"/>
      <c r="ADU150" s="348"/>
      <c r="ADV150" s="348"/>
      <c r="ADW150" s="700"/>
      <c r="ADX150" s="700"/>
      <c r="ADY150" s="594"/>
      <c r="ADZ150" s="701"/>
      <c r="AEA150" s="701"/>
      <c r="AEB150" s="703"/>
      <c r="AEC150" s="348"/>
      <c r="AED150" s="348"/>
      <c r="AEE150" s="700"/>
      <c r="AEF150" s="700"/>
      <c r="AEG150" s="594"/>
      <c r="AEH150" s="701"/>
      <c r="AEI150" s="701"/>
      <c r="AEJ150" s="706"/>
      <c r="AEK150" s="700"/>
      <c r="AEL150" s="700"/>
      <c r="AEM150" s="594"/>
      <c r="AEN150" s="701"/>
      <c r="AEO150" s="701"/>
      <c r="AEP150" s="703"/>
      <c r="AEQ150" s="348"/>
      <c r="AER150" s="348"/>
      <c r="AES150" s="700"/>
      <c r="AET150" s="700"/>
      <c r="AEU150" s="594"/>
      <c r="AEV150" s="701"/>
      <c r="AEW150" s="701"/>
      <c r="AEX150" s="348"/>
      <c r="AEY150" s="348"/>
      <c r="AEZ150" s="700"/>
      <c r="AFA150" s="700"/>
      <c r="AFB150" s="594"/>
      <c r="AFC150" s="701"/>
      <c r="AFD150" s="701"/>
      <c r="AFE150" s="703"/>
      <c r="AFF150" s="348"/>
      <c r="AFG150" s="348"/>
      <c r="AFH150" s="700"/>
      <c r="AFI150" s="700"/>
      <c r="AFJ150" s="594"/>
      <c r="AFK150" s="701"/>
      <c r="AFL150" s="701"/>
      <c r="AFM150" s="700"/>
      <c r="AFN150" s="700"/>
      <c r="AFO150" s="594"/>
      <c r="AFP150" s="701"/>
      <c r="AFQ150" s="701"/>
      <c r="AFR150" s="703"/>
      <c r="AFS150" s="348"/>
      <c r="AFT150" s="348"/>
      <c r="AFU150" s="700"/>
      <c r="AFV150" s="700"/>
      <c r="AFW150" s="594"/>
      <c r="AFX150" s="701"/>
      <c r="AFY150" s="701"/>
      <c r="AFZ150" s="348"/>
      <c r="AGA150" s="348"/>
      <c r="AGB150" s="700"/>
      <c r="AGC150" s="700"/>
      <c r="AGD150" s="594"/>
      <c r="AGE150" s="701"/>
      <c r="AGF150" s="701"/>
      <c r="AGG150" s="703"/>
      <c r="AGH150" s="348"/>
      <c r="AGI150" s="348"/>
      <c r="AGJ150" s="700"/>
      <c r="AGK150" s="700"/>
      <c r="AGL150" s="594"/>
      <c r="AGM150" s="701"/>
      <c r="AGN150" s="701"/>
      <c r="AGO150" s="706"/>
      <c r="AGP150" s="700"/>
      <c r="AGQ150" s="700"/>
      <c r="AGR150" s="594"/>
      <c r="AGS150" s="701"/>
      <c r="AGT150" s="701"/>
      <c r="AGU150" s="703"/>
      <c r="AGV150" s="348"/>
      <c r="AGW150" s="348"/>
      <c r="AGX150" s="700"/>
      <c r="AGY150" s="700"/>
      <c r="AGZ150" s="594"/>
      <c r="AHA150" s="701"/>
      <c r="AHB150" s="701"/>
      <c r="AHC150" s="348"/>
      <c r="AHD150" s="348"/>
      <c r="AHE150" s="700"/>
      <c r="AHF150" s="700"/>
      <c r="AHG150" s="594"/>
      <c r="AHH150" s="701"/>
      <c r="AHI150" s="701"/>
      <c r="AHJ150" s="703"/>
      <c r="AHK150" s="348"/>
      <c r="AHL150" s="348"/>
    </row>
    <row r="151" spans="1:1790" hidden="1">
      <c r="A151" s="700" t="s">
        <v>267</v>
      </c>
      <c r="B151" s="700" t="s">
        <v>1074</v>
      </c>
      <c r="C151" s="770" t="s">
        <v>1289</v>
      </c>
      <c r="D151" s="701" t="s">
        <v>268</v>
      </c>
      <c r="E151" s="701" t="s">
        <v>1300</v>
      </c>
      <c r="F151" s="771"/>
      <c r="G151" s="703"/>
      <c r="H151" s="348"/>
      <c r="I151" s="348"/>
      <c r="J151" s="700"/>
      <c r="K151" s="700"/>
      <c r="L151" s="594"/>
      <c r="M151" s="701"/>
      <c r="N151" s="701"/>
      <c r="O151" s="348"/>
      <c r="P151" s="348"/>
      <c r="Q151" s="700"/>
      <c r="R151" s="700"/>
      <c r="S151" s="594"/>
      <c r="T151" s="701"/>
      <c r="U151" s="701"/>
      <c r="V151" s="703"/>
      <c r="W151" s="348"/>
      <c r="X151" s="348"/>
      <c r="Y151" s="700"/>
      <c r="Z151" s="700"/>
      <c r="AA151" s="594"/>
      <c r="AB151" s="701"/>
      <c r="AC151" s="701"/>
      <c r="AD151" s="706"/>
      <c r="AE151" s="700"/>
      <c r="AF151" s="700"/>
      <c r="AG151" s="594"/>
      <c r="AH151" s="701"/>
      <c r="AI151" s="701"/>
      <c r="AJ151" s="703"/>
      <c r="AK151" s="348"/>
      <c r="AL151" s="348"/>
      <c r="AM151" s="700"/>
      <c r="AN151" s="700"/>
      <c r="AO151" s="594"/>
      <c r="AP151" s="701"/>
      <c r="AQ151" s="701"/>
      <c r="AR151" s="348"/>
      <c r="AS151" s="348"/>
      <c r="AT151" s="700"/>
      <c r="AU151" s="700"/>
      <c r="AV151" s="594"/>
      <c r="AW151" s="701"/>
      <c r="AX151" s="701"/>
      <c r="AY151" s="703"/>
      <c r="AZ151" s="348"/>
      <c r="BA151" s="348"/>
      <c r="BB151" s="700"/>
      <c r="BC151" s="700"/>
      <c r="BD151" s="594"/>
      <c r="BE151" s="701"/>
      <c r="BF151" s="701"/>
      <c r="BG151" s="700"/>
      <c r="BH151" s="700"/>
      <c r="BI151" s="594"/>
      <c r="BJ151" s="701"/>
      <c r="BK151" s="701"/>
      <c r="BL151" s="703"/>
      <c r="BM151" s="348"/>
      <c r="BN151" s="348"/>
      <c r="BO151" s="700"/>
      <c r="BP151" s="700"/>
      <c r="BQ151" s="594"/>
      <c r="BR151" s="701"/>
      <c r="BS151" s="701"/>
      <c r="BT151" s="348"/>
      <c r="BU151" s="348"/>
      <c r="BV151" s="700"/>
      <c r="BW151" s="700"/>
      <c r="BX151" s="594"/>
      <c r="BY151" s="701"/>
      <c r="BZ151" s="701"/>
      <c r="CA151" s="703"/>
      <c r="CB151" s="348"/>
      <c r="CC151" s="348"/>
      <c r="CD151" s="700"/>
      <c r="CE151" s="700"/>
      <c r="CF151" s="594"/>
      <c r="CG151" s="701"/>
      <c r="CH151" s="701"/>
      <c r="CI151" s="706"/>
      <c r="CJ151" s="700"/>
      <c r="CK151" s="700"/>
      <c r="CL151" s="594"/>
      <c r="CM151" s="701"/>
      <c r="CN151" s="701"/>
      <c r="CO151" s="703"/>
      <c r="CP151" s="348"/>
      <c r="CQ151" s="348"/>
      <c r="CR151" s="700"/>
      <c r="CS151" s="700"/>
      <c r="CT151" s="594"/>
      <c r="CU151" s="701"/>
      <c r="CV151" s="701"/>
      <c r="CW151" s="348"/>
      <c r="CX151" s="348"/>
      <c r="CY151" s="700"/>
      <c r="CZ151" s="700"/>
      <c r="DA151" s="594"/>
      <c r="DB151" s="701"/>
      <c r="DC151" s="701"/>
      <c r="DD151" s="703"/>
      <c r="DE151" s="348"/>
      <c r="DF151" s="348"/>
      <c r="DG151" s="700"/>
      <c r="DH151" s="700"/>
      <c r="DI151" s="594"/>
      <c r="DJ151" s="701"/>
      <c r="DK151" s="701"/>
      <c r="DL151" s="594"/>
      <c r="DM151" s="594"/>
      <c r="DN151" s="701"/>
      <c r="DO151" s="701"/>
      <c r="DP151" s="703"/>
      <c r="DQ151" s="348"/>
      <c r="DR151" s="348"/>
      <c r="DS151" s="700"/>
      <c r="DT151" s="700"/>
      <c r="DU151" s="594"/>
      <c r="DV151" s="701"/>
      <c r="DW151" s="701"/>
      <c r="DX151" s="348"/>
      <c r="DY151" s="348"/>
      <c r="DZ151" s="700"/>
      <c r="EA151" s="700"/>
      <c r="EB151" s="594"/>
      <c r="EC151" s="701"/>
      <c r="ED151" s="701"/>
      <c r="EE151" s="703"/>
      <c r="EF151" s="348"/>
      <c r="EG151" s="348"/>
      <c r="EH151" s="700"/>
      <c r="EI151" s="700"/>
      <c r="EJ151" s="594"/>
      <c r="EK151" s="701"/>
      <c r="EL151" s="701"/>
      <c r="EM151" s="706"/>
      <c r="EN151" s="700"/>
      <c r="EO151" s="700"/>
      <c r="EP151" s="594"/>
      <c r="EQ151" s="701"/>
      <c r="ER151" s="701"/>
      <c r="ES151" s="703"/>
      <c r="ET151" s="348"/>
      <c r="EU151" s="348"/>
      <c r="EV151" s="700"/>
      <c r="EW151" s="700"/>
      <c r="EX151" s="594"/>
      <c r="EY151" s="701"/>
      <c r="EZ151" s="701"/>
      <c r="FA151" s="348"/>
      <c r="FB151" s="348"/>
      <c r="FC151" s="700"/>
      <c r="FD151" s="700"/>
      <c r="FE151" s="594"/>
      <c r="FF151" s="701"/>
      <c r="FG151" s="701"/>
      <c r="FH151" s="703"/>
      <c r="FI151" s="348"/>
      <c r="FJ151" s="348"/>
      <c r="FK151" s="700"/>
      <c r="FL151" s="700"/>
      <c r="FM151" s="594"/>
      <c r="FN151" s="701"/>
      <c r="FO151" s="701"/>
      <c r="FP151" s="700"/>
      <c r="FQ151" s="700"/>
      <c r="FR151" s="594"/>
      <c r="FS151" s="701"/>
      <c r="FT151" s="701"/>
      <c r="FU151" s="703"/>
      <c r="FV151" s="348"/>
      <c r="FW151" s="348"/>
      <c r="FX151" s="700"/>
      <c r="FY151" s="700"/>
      <c r="FZ151" s="594"/>
      <c r="GA151" s="701"/>
      <c r="GB151" s="701"/>
      <c r="GC151" s="348"/>
      <c r="GD151" s="348"/>
      <c r="GE151" s="700"/>
      <c r="GF151" s="700"/>
      <c r="GG151" s="594"/>
      <c r="GH151" s="701"/>
      <c r="GI151" s="701"/>
      <c r="GJ151" s="703"/>
      <c r="GK151" s="348"/>
      <c r="GL151" s="348"/>
      <c r="GM151" s="700"/>
      <c r="GN151" s="700"/>
      <c r="GO151" s="594"/>
      <c r="GP151" s="701"/>
      <c r="GQ151" s="701"/>
      <c r="GR151" s="706"/>
      <c r="GS151" s="700"/>
      <c r="GT151" s="700"/>
      <c r="GU151" s="594"/>
      <c r="GV151" s="701"/>
      <c r="GW151" s="701"/>
      <c r="GX151" s="703"/>
      <c r="GY151" s="348"/>
      <c r="GZ151" s="348"/>
      <c r="HA151" s="700"/>
      <c r="HB151" s="700"/>
      <c r="HC151" s="594"/>
      <c r="HD151" s="701"/>
      <c r="HE151" s="701"/>
      <c r="HF151" s="348"/>
      <c r="HG151" s="348"/>
      <c r="HH151" s="700"/>
      <c r="HI151" s="700"/>
      <c r="HJ151" s="594"/>
      <c r="HK151" s="701"/>
      <c r="HL151" s="701"/>
      <c r="HM151" s="703"/>
      <c r="HN151" s="348"/>
      <c r="HO151" s="348"/>
      <c r="HP151" s="700"/>
      <c r="HQ151" s="700"/>
      <c r="HR151" s="594"/>
      <c r="HS151" s="701"/>
      <c r="HT151" s="701"/>
      <c r="HU151" s="594"/>
      <c r="HV151" s="701"/>
      <c r="HW151" s="701"/>
      <c r="HX151" s="703"/>
      <c r="HY151" s="348"/>
      <c r="HZ151" s="348"/>
      <c r="IA151" s="700"/>
      <c r="IB151" s="700"/>
      <c r="IC151" s="594"/>
      <c r="ID151" s="701"/>
      <c r="IE151" s="701"/>
      <c r="IF151" s="348"/>
      <c r="IG151" s="348"/>
      <c r="IH151" s="700"/>
      <c r="II151" s="700"/>
      <c r="IJ151" s="594"/>
      <c r="IK151" s="701"/>
      <c r="IL151" s="701"/>
      <c r="IM151" s="703"/>
      <c r="IN151" s="348"/>
      <c r="IO151" s="348"/>
      <c r="IP151" s="700"/>
      <c r="IQ151" s="700"/>
      <c r="IR151" s="594"/>
      <c r="IS151" s="701"/>
      <c r="IT151" s="701"/>
      <c r="IU151" s="706"/>
      <c r="IV151" s="700"/>
      <c r="IW151" s="700"/>
      <c r="IX151" s="594"/>
      <c r="IY151" s="701"/>
      <c r="IZ151" s="701"/>
      <c r="JA151" s="703"/>
      <c r="JB151" s="348"/>
      <c r="JC151" s="348"/>
      <c r="JD151" s="700"/>
      <c r="JE151" s="700"/>
      <c r="JF151" s="594"/>
      <c r="JG151" s="701"/>
      <c r="JH151" s="701"/>
      <c r="JI151" s="348"/>
      <c r="JJ151" s="348"/>
      <c r="JK151" s="700"/>
      <c r="JL151" s="700"/>
      <c r="JM151" s="594"/>
      <c r="JN151" s="701"/>
      <c r="JO151" s="701"/>
      <c r="JP151" s="703"/>
      <c r="JQ151" s="348"/>
      <c r="JR151" s="348"/>
      <c r="JS151" s="700"/>
      <c r="JT151" s="700"/>
      <c r="JU151" s="594"/>
      <c r="JV151" s="701"/>
      <c r="JW151" s="701"/>
      <c r="JX151" s="700"/>
      <c r="JY151" s="700"/>
      <c r="JZ151" s="594"/>
      <c r="KA151" s="701"/>
      <c r="KB151" s="701"/>
      <c r="KC151" s="703"/>
      <c r="KD151" s="348"/>
      <c r="KE151" s="348"/>
      <c r="KF151" s="700"/>
      <c r="KG151" s="700"/>
      <c r="KH151" s="594"/>
      <c r="KI151" s="701"/>
      <c r="KJ151" s="701"/>
      <c r="KK151" s="348"/>
      <c r="KL151" s="348"/>
      <c r="KM151" s="700"/>
      <c r="KN151" s="700"/>
      <c r="KO151" s="594"/>
      <c r="KP151" s="701"/>
      <c r="KQ151" s="701"/>
      <c r="KR151" s="703"/>
      <c r="KS151" s="348"/>
      <c r="KT151" s="348"/>
      <c r="KU151" s="700"/>
      <c r="KV151" s="700"/>
      <c r="KW151" s="594"/>
      <c r="KX151" s="701"/>
      <c r="KY151" s="701"/>
      <c r="KZ151" s="706"/>
      <c r="LA151" s="700"/>
      <c r="LB151" s="700"/>
      <c r="LC151" s="594"/>
      <c r="LD151" s="701"/>
      <c r="LE151" s="701"/>
      <c r="LF151" s="703"/>
      <c r="LG151" s="348"/>
      <c r="LH151" s="348"/>
      <c r="LI151" s="700"/>
      <c r="LJ151" s="700"/>
      <c r="LK151" s="594"/>
      <c r="LL151" s="701"/>
      <c r="LM151" s="701"/>
      <c r="LN151" s="348"/>
      <c r="LO151" s="348"/>
      <c r="LP151" s="700"/>
      <c r="LQ151" s="700"/>
      <c r="LR151" s="594"/>
      <c r="LS151" s="701"/>
      <c r="LT151" s="701"/>
      <c r="LU151" s="703"/>
      <c r="LV151" s="348"/>
      <c r="LW151" s="348"/>
      <c r="LX151" s="700"/>
      <c r="LY151" s="700"/>
      <c r="LZ151" s="594"/>
      <c r="MA151" s="701"/>
      <c r="MB151" s="701"/>
      <c r="MC151" s="594"/>
      <c r="MD151" s="594"/>
      <c r="ME151" s="701"/>
      <c r="MF151" s="701"/>
      <c r="MG151" s="703"/>
      <c r="MH151" s="348"/>
      <c r="MI151" s="348"/>
      <c r="MJ151" s="700"/>
      <c r="MK151" s="700"/>
      <c r="ML151" s="594"/>
      <c r="MM151" s="701"/>
      <c r="MN151" s="701"/>
      <c r="MO151" s="348"/>
      <c r="MP151" s="348"/>
      <c r="MQ151" s="700"/>
      <c r="MR151" s="700"/>
      <c r="MS151" s="594"/>
      <c r="MT151" s="701"/>
      <c r="MU151" s="701"/>
      <c r="MV151" s="703"/>
      <c r="MW151" s="348"/>
      <c r="MX151" s="348"/>
      <c r="MY151" s="700"/>
      <c r="MZ151" s="700"/>
      <c r="NA151" s="594"/>
      <c r="NB151" s="701"/>
      <c r="NC151" s="701"/>
      <c r="ND151" s="706"/>
      <c r="NE151" s="700"/>
      <c r="NF151" s="700"/>
      <c r="NG151" s="594"/>
      <c r="NH151" s="701"/>
      <c r="NI151" s="701"/>
      <c r="NJ151" s="703"/>
      <c r="NK151" s="348"/>
      <c r="NL151" s="348"/>
      <c r="NM151" s="700"/>
      <c r="NN151" s="700"/>
      <c r="NO151" s="594"/>
      <c r="NP151" s="701"/>
      <c r="NQ151" s="701"/>
      <c r="NR151" s="348"/>
      <c r="NS151" s="348"/>
      <c r="NT151" s="700"/>
      <c r="NU151" s="700"/>
      <c r="NV151" s="594"/>
      <c r="NW151" s="701"/>
      <c r="NX151" s="701"/>
      <c r="NY151" s="703"/>
      <c r="NZ151" s="348"/>
      <c r="OA151" s="348"/>
      <c r="OB151" s="700"/>
      <c r="OC151" s="700"/>
      <c r="OD151" s="594"/>
      <c r="OE151" s="701"/>
      <c r="OF151" s="701"/>
      <c r="OG151" s="700"/>
      <c r="OH151" s="700"/>
      <c r="OI151" s="594"/>
      <c r="OJ151" s="701"/>
      <c r="OK151" s="701"/>
      <c r="OL151" s="703"/>
      <c r="OM151" s="348"/>
      <c r="ON151" s="348"/>
      <c r="OO151" s="700"/>
      <c r="OP151" s="700"/>
      <c r="OQ151" s="594"/>
      <c r="OR151" s="701"/>
      <c r="OS151" s="701"/>
      <c r="OT151" s="348"/>
      <c r="OU151" s="348"/>
      <c r="OV151" s="700"/>
      <c r="OW151" s="700"/>
      <c r="OX151" s="594"/>
      <c r="OY151" s="701"/>
      <c r="OZ151" s="701"/>
      <c r="PA151" s="703"/>
      <c r="PB151" s="348"/>
      <c r="PC151" s="348"/>
      <c r="PD151" s="700"/>
      <c r="PE151" s="700"/>
      <c r="PF151" s="594"/>
      <c r="PG151" s="701"/>
      <c r="PH151" s="701"/>
      <c r="PI151" s="706"/>
      <c r="PJ151" s="700"/>
      <c r="PK151" s="700"/>
      <c r="PL151" s="594"/>
      <c r="PM151" s="701"/>
      <c r="PN151" s="701"/>
      <c r="PO151" s="703"/>
      <c r="PP151" s="348"/>
      <c r="PQ151" s="348"/>
      <c r="PR151" s="700"/>
      <c r="PS151" s="700"/>
      <c r="PT151" s="594"/>
      <c r="PU151" s="701"/>
      <c r="PV151" s="701"/>
      <c r="PW151" s="348"/>
      <c r="PX151" s="348"/>
      <c r="PY151" s="700"/>
      <c r="PZ151" s="700"/>
      <c r="QA151" s="594"/>
      <c r="QB151" s="701"/>
      <c r="QC151" s="701"/>
      <c r="QD151" s="703"/>
      <c r="QE151" s="348"/>
      <c r="QF151" s="348"/>
      <c r="QG151" s="700"/>
      <c r="QH151" s="700"/>
      <c r="QI151" s="594"/>
      <c r="QJ151" s="701"/>
      <c r="QK151" s="701"/>
      <c r="QL151" s="771"/>
      <c r="QM151" s="703"/>
      <c r="QN151" s="348"/>
      <c r="QO151" s="348"/>
      <c r="QP151" s="700"/>
      <c r="QQ151" s="700"/>
      <c r="QR151" s="594"/>
      <c r="QS151" s="701"/>
      <c r="QT151" s="701"/>
      <c r="QU151" s="348"/>
      <c r="QV151" s="348"/>
      <c r="QW151" s="700"/>
      <c r="QX151" s="700"/>
      <c r="QY151" s="594"/>
      <c r="QZ151" s="701"/>
      <c r="RA151" s="701"/>
      <c r="RB151" s="703"/>
      <c r="RC151" s="348"/>
      <c r="RD151" s="348"/>
      <c r="RE151" s="700"/>
      <c r="RF151" s="700"/>
      <c r="RG151" s="594"/>
      <c r="RH151" s="701"/>
      <c r="RI151" s="701"/>
      <c r="RJ151" s="706"/>
      <c r="RK151" s="700"/>
      <c r="RL151" s="700"/>
      <c r="RM151" s="594"/>
      <c r="RN151" s="701"/>
      <c r="RO151" s="701"/>
      <c r="RP151" s="703"/>
      <c r="RQ151" s="348"/>
      <c r="RR151" s="348"/>
      <c r="RS151" s="700"/>
      <c r="RT151" s="700"/>
      <c r="RU151" s="594"/>
      <c r="RV151" s="701"/>
      <c r="RW151" s="701"/>
      <c r="RX151" s="348"/>
      <c r="RY151" s="348"/>
      <c r="RZ151" s="700"/>
      <c r="SA151" s="700"/>
      <c r="SB151" s="594"/>
      <c r="SC151" s="701"/>
      <c r="SD151" s="701"/>
      <c r="SE151" s="703"/>
      <c r="SF151" s="348"/>
      <c r="SG151" s="348"/>
      <c r="SH151" s="700"/>
      <c r="SI151" s="700"/>
      <c r="SJ151" s="594"/>
      <c r="SK151" s="701"/>
      <c r="SL151" s="701"/>
      <c r="SM151" s="700"/>
      <c r="SN151" s="700"/>
      <c r="SO151" s="594"/>
      <c r="SP151" s="701"/>
      <c r="SQ151" s="701"/>
      <c r="SR151" s="703"/>
      <c r="SS151" s="348"/>
      <c r="ST151" s="348"/>
      <c r="SU151" s="700"/>
      <c r="SV151" s="700"/>
      <c r="SW151" s="594"/>
      <c r="SX151" s="701"/>
      <c r="SY151" s="701"/>
      <c r="SZ151" s="348"/>
      <c r="TA151" s="348"/>
      <c r="TB151" s="700"/>
      <c r="TC151" s="700"/>
      <c r="TD151" s="594"/>
      <c r="TE151" s="701"/>
      <c r="TF151" s="701"/>
      <c r="TG151" s="703"/>
      <c r="TH151" s="348"/>
      <c r="TI151" s="348"/>
      <c r="TJ151" s="700"/>
      <c r="TK151" s="700"/>
      <c r="TL151" s="594"/>
      <c r="TM151" s="701"/>
      <c r="TN151" s="701"/>
      <c r="TO151" s="706"/>
      <c r="TP151" s="700"/>
      <c r="TQ151" s="700"/>
      <c r="TR151" s="594"/>
      <c r="TS151" s="701"/>
      <c r="TT151" s="701"/>
      <c r="TU151" s="703"/>
      <c r="TV151" s="348"/>
      <c r="TW151" s="348"/>
      <c r="TX151" s="700"/>
      <c r="TY151" s="700"/>
      <c r="TZ151" s="594"/>
      <c r="UA151" s="701"/>
      <c r="UB151" s="701"/>
      <c r="UC151" s="348"/>
      <c r="UD151" s="348"/>
      <c r="UE151" s="700"/>
      <c r="UF151" s="700"/>
      <c r="UG151" s="594"/>
      <c r="UH151" s="701"/>
      <c r="UI151" s="701"/>
      <c r="UJ151" s="703"/>
      <c r="UK151" s="348"/>
      <c r="UL151" s="348"/>
      <c r="UM151" s="700"/>
      <c r="UN151" s="700"/>
      <c r="UO151" s="594"/>
      <c r="UP151" s="701"/>
      <c r="UQ151" s="701"/>
      <c r="UR151" s="594"/>
      <c r="US151" s="594"/>
      <c r="UT151" s="701"/>
      <c r="UU151" s="701"/>
      <c r="UV151" s="703"/>
      <c r="UW151" s="348"/>
      <c r="UX151" s="348"/>
      <c r="UY151" s="700"/>
      <c r="UZ151" s="700"/>
      <c r="VA151" s="594"/>
      <c r="VB151" s="701"/>
      <c r="VC151" s="701"/>
      <c r="VD151" s="348"/>
      <c r="VE151" s="348"/>
      <c r="VF151" s="700"/>
      <c r="VG151" s="700"/>
      <c r="VH151" s="594"/>
      <c r="VI151" s="701"/>
      <c r="VJ151" s="701"/>
      <c r="VK151" s="703"/>
      <c r="VL151" s="348"/>
      <c r="VM151" s="348"/>
      <c r="VN151" s="700"/>
      <c r="VO151" s="700"/>
      <c r="VP151" s="594"/>
      <c r="VQ151" s="701"/>
      <c r="VR151" s="701"/>
      <c r="VS151" s="706"/>
      <c r="VT151" s="700"/>
      <c r="VU151" s="700"/>
      <c r="VV151" s="594"/>
      <c r="VW151" s="701"/>
      <c r="VX151" s="701"/>
      <c r="VY151" s="703"/>
      <c r="VZ151" s="348"/>
      <c r="WA151" s="348"/>
      <c r="WB151" s="700"/>
      <c r="WC151" s="700"/>
      <c r="WD151" s="594"/>
      <c r="WE151" s="701"/>
      <c r="WF151" s="701"/>
      <c r="WG151" s="348"/>
      <c r="WH151" s="348"/>
      <c r="WI151" s="700"/>
      <c r="WJ151" s="700"/>
      <c r="WK151" s="594"/>
      <c r="WL151" s="701"/>
      <c r="WM151" s="701"/>
      <c r="WN151" s="703"/>
      <c r="WO151" s="348"/>
      <c r="WP151" s="348"/>
      <c r="WQ151" s="700"/>
      <c r="WR151" s="700"/>
      <c r="WS151" s="594"/>
      <c r="WT151" s="701"/>
      <c r="WU151" s="701"/>
      <c r="WV151" s="700"/>
      <c r="WW151" s="700"/>
      <c r="WX151" s="594"/>
      <c r="WY151" s="701"/>
      <c r="WZ151" s="701"/>
      <c r="XA151" s="703"/>
      <c r="XB151" s="348"/>
      <c r="XC151" s="348"/>
      <c r="XD151" s="700"/>
      <c r="XE151" s="700"/>
      <c r="XF151" s="594"/>
      <c r="XG151" s="701"/>
      <c r="XH151" s="701"/>
      <c r="XI151" s="348"/>
      <c r="XJ151" s="348"/>
      <c r="XK151" s="700"/>
      <c r="XL151" s="700"/>
      <c r="XM151" s="594"/>
      <c r="XN151" s="701"/>
      <c r="XO151" s="701"/>
      <c r="XP151" s="703"/>
      <c r="XQ151" s="348"/>
      <c r="XR151" s="348"/>
      <c r="XS151" s="700"/>
      <c r="XT151" s="700"/>
      <c r="XU151" s="594"/>
      <c r="XV151" s="701"/>
      <c r="XW151" s="701"/>
      <c r="XX151" s="706"/>
      <c r="XY151" s="700"/>
      <c r="XZ151" s="700"/>
      <c r="YA151" s="594"/>
      <c r="YB151" s="701"/>
      <c r="YC151" s="701"/>
      <c r="YD151" s="703"/>
      <c r="YE151" s="348"/>
      <c r="YF151" s="348"/>
      <c r="YG151" s="700"/>
      <c r="YH151" s="700"/>
      <c r="YI151" s="594"/>
      <c r="YJ151" s="701"/>
      <c r="YK151" s="701"/>
      <c r="YL151" s="348"/>
      <c r="YM151" s="348"/>
      <c r="YN151" s="700"/>
      <c r="YO151" s="700"/>
      <c r="YP151" s="594"/>
      <c r="YQ151" s="701"/>
      <c r="YR151" s="701"/>
      <c r="YS151" s="703"/>
      <c r="YT151" s="348"/>
      <c r="YU151" s="348"/>
      <c r="YV151" s="700"/>
      <c r="YW151" s="700"/>
      <c r="YX151" s="594"/>
      <c r="YY151" s="701"/>
      <c r="YZ151" s="701"/>
      <c r="ZA151" s="594"/>
      <c r="ZB151" s="701"/>
      <c r="ZC151" s="701"/>
      <c r="ZD151" s="703"/>
      <c r="ZE151" s="348"/>
      <c r="ZF151" s="348"/>
      <c r="ZG151" s="700"/>
      <c r="ZH151" s="700"/>
      <c r="ZI151" s="594"/>
      <c r="ZJ151" s="701"/>
      <c r="ZK151" s="701"/>
      <c r="ZL151" s="348"/>
      <c r="ZM151" s="348"/>
      <c r="ZN151" s="700"/>
      <c r="ZO151" s="700"/>
      <c r="ZP151" s="594"/>
      <c r="ZQ151" s="701"/>
      <c r="ZR151" s="701"/>
      <c r="ZS151" s="703"/>
      <c r="ZT151" s="348"/>
      <c r="ZU151" s="348"/>
      <c r="ZV151" s="700"/>
      <c r="ZW151" s="700"/>
      <c r="ZX151" s="594"/>
      <c r="ZY151" s="701"/>
      <c r="ZZ151" s="701"/>
      <c r="AAA151" s="706"/>
      <c r="AAB151" s="700"/>
      <c r="AAC151" s="700"/>
      <c r="AAD151" s="594"/>
      <c r="AAE151" s="701"/>
      <c r="AAF151" s="701"/>
      <c r="AAG151" s="703"/>
      <c r="AAH151" s="348"/>
      <c r="AAI151" s="348"/>
      <c r="AAJ151" s="700"/>
      <c r="AAK151" s="700"/>
      <c r="AAL151" s="594"/>
      <c r="AAM151" s="701"/>
      <c r="AAN151" s="701"/>
      <c r="AAO151" s="348"/>
      <c r="AAP151" s="348"/>
      <c r="AAQ151" s="700"/>
      <c r="AAR151" s="700"/>
      <c r="AAS151" s="594"/>
      <c r="AAT151" s="701"/>
      <c r="AAU151" s="701"/>
      <c r="AAV151" s="703"/>
      <c r="AAW151" s="348"/>
      <c r="AAX151" s="348"/>
      <c r="AAY151" s="700"/>
      <c r="AAZ151" s="700"/>
      <c r="ABA151" s="594"/>
      <c r="ABB151" s="701"/>
      <c r="ABC151" s="701"/>
      <c r="ABD151" s="700"/>
      <c r="ABE151" s="700"/>
      <c r="ABF151" s="594"/>
      <c r="ABG151" s="701"/>
      <c r="ABH151" s="701"/>
      <c r="ABI151" s="703"/>
      <c r="ABJ151" s="348"/>
      <c r="ABK151" s="348"/>
      <c r="ABL151" s="700"/>
      <c r="ABM151" s="700"/>
      <c r="ABN151" s="594"/>
      <c r="ABO151" s="701"/>
      <c r="ABP151" s="701"/>
      <c r="ABQ151" s="348"/>
      <c r="ABR151" s="348"/>
      <c r="ABS151" s="700"/>
      <c r="ABT151" s="700"/>
      <c r="ABU151" s="594"/>
      <c r="ABV151" s="701"/>
      <c r="ABW151" s="701"/>
      <c r="ABX151" s="703"/>
      <c r="ABY151" s="348"/>
      <c r="ABZ151" s="348"/>
      <c r="ACA151" s="700"/>
      <c r="ACB151" s="700"/>
      <c r="ACC151" s="594"/>
      <c r="ACD151" s="701"/>
      <c r="ACE151" s="701"/>
      <c r="ACF151" s="706"/>
      <c r="ACG151" s="700"/>
      <c r="ACH151" s="700"/>
      <c r="ACI151" s="594"/>
      <c r="ACJ151" s="701"/>
      <c r="ACK151" s="701"/>
      <c r="ACL151" s="703"/>
      <c r="ACM151" s="348"/>
      <c r="ACN151" s="348"/>
      <c r="ACO151" s="700"/>
      <c r="ACP151" s="700"/>
      <c r="ACQ151" s="594"/>
      <c r="ACR151" s="701"/>
      <c r="ACS151" s="701"/>
      <c r="ACT151" s="348"/>
      <c r="ACU151" s="348"/>
      <c r="ACV151" s="700"/>
      <c r="ACW151" s="700"/>
      <c r="ACX151" s="594"/>
      <c r="ACY151" s="701"/>
      <c r="ACZ151" s="701"/>
      <c r="ADA151" s="703"/>
      <c r="ADB151" s="348"/>
      <c r="ADC151" s="348"/>
      <c r="ADD151" s="700"/>
      <c r="ADE151" s="700"/>
      <c r="ADF151" s="594"/>
      <c r="ADG151" s="701"/>
      <c r="ADH151" s="701"/>
      <c r="ADI151" s="594"/>
      <c r="ADJ151" s="594"/>
      <c r="ADK151" s="701"/>
      <c r="ADL151" s="701"/>
      <c r="ADM151" s="703"/>
      <c r="ADN151" s="348"/>
      <c r="ADO151" s="348"/>
      <c r="ADP151" s="700"/>
      <c r="ADQ151" s="700"/>
      <c r="ADR151" s="594"/>
      <c r="ADS151" s="701"/>
      <c r="ADT151" s="701"/>
      <c r="ADU151" s="348"/>
      <c r="ADV151" s="348"/>
      <c r="ADW151" s="700"/>
      <c r="ADX151" s="700"/>
      <c r="ADY151" s="594"/>
      <c r="ADZ151" s="701"/>
      <c r="AEA151" s="701"/>
      <c r="AEB151" s="703"/>
      <c r="AEC151" s="348"/>
      <c r="AED151" s="348"/>
      <c r="AEE151" s="700"/>
      <c r="AEF151" s="700"/>
      <c r="AEG151" s="594"/>
      <c r="AEH151" s="701"/>
      <c r="AEI151" s="701"/>
      <c r="AEJ151" s="706"/>
      <c r="AEK151" s="700"/>
      <c r="AEL151" s="700"/>
      <c r="AEM151" s="594"/>
      <c r="AEN151" s="701"/>
      <c r="AEO151" s="701"/>
      <c r="AEP151" s="703"/>
      <c r="AEQ151" s="348"/>
      <c r="AER151" s="348"/>
      <c r="AES151" s="700"/>
      <c r="AET151" s="700"/>
      <c r="AEU151" s="594"/>
      <c r="AEV151" s="701"/>
      <c r="AEW151" s="701"/>
      <c r="AEX151" s="348"/>
      <c r="AEY151" s="348"/>
      <c r="AEZ151" s="700"/>
      <c r="AFA151" s="700"/>
      <c r="AFB151" s="594"/>
      <c r="AFC151" s="701"/>
      <c r="AFD151" s="701"/>
      <c r="AFE151" s="703"/>
      <c r="AFF151" s="348"/>
      <c r="AFG151" s="348"/>
      <c r="AFH151" s="700"/>
      <c r="AFI151" s="700"/>
      <c r="AFJ151" s="594"/>
      <c r="AFK151" s="701"/>
      <c r="AFL151" s="701"/>
      <c r="AFM151" s="700"/>
      <c r="AFN151" s="700"/>
      <c r="AFO151" s="594"/>
      <c r="AFP151" s="701"/>
      <c r="AFQ151" s="701"/>
      <c r="AFR151" s="703"/>
      <c r="AFS151" s="348"/>
      <c r="AFT151" s="348"/>
      <c r="AFU151" s="700"/>
      <c r="AFV151" s="700"/>
      <c r="AFW151" s="594"/>
      <c r="AFX151" s="701"/>
      <c r="AFY151" s="701"/>
      <c r="AFZ151" s="348"/>
      <c r="AGA151" s="348"/>
      <c r="AGB151" s="700"/>
      <c r="AGC151" s="700"/>
      <c r="AGD151" s="594"/>
      <c r="AGE151" s="701"/>
      <c r="AGF151" s="701"/>
      <c r="AGG151" s="703"/>
      <c r="AGH151" s="348"/>
      <c r="AGI151" s="348"/>
      <c r="AGJ151" s="700"/>
      <c r="AGK151" s="700"/>
      <c r="AGL151" s="594"/>
      <c r="AGM151" s="701"/>
      <c r="AGN151" s="701"/>
      <c r="AGO151" s="706"/>
      <c r="AGP151" s="700"/>
      <c r="AGQ151" s="700"/>
      <c r="AGR151" s="594"/>
      <c r="AGS151" s="701"/>
      <c r="AGT151" s="701"/>
      <c r="AGU151" s="703"/>
      <c r="AGV151" s="348"/>
      <c r="AGW151" s="348"/>
      <c r="AGX151" s="700"/>
      <c r="AGY151" s="700"/>
      <c r="AGZ151" s="594"/>
      <c r="AHA151" s="701"/>
      <c r="AHB151" s="701"/>
      <c r="AHC151" s="348"/>
      <c r="AHD151" s="348"/>
      <c r="AHE151" s="700"/>
      <c r="AHF151" s="700"/>
      <c r="AHG151" s="594"/>
      <c r="AHH151" s="701"/>
      <c r="AHI151" s="701"/>
      <c r="AHJ151" s="703"/>
      <c r="AHK151" s="348"/>
      <c r="AHL151" s="348"/>
    </row>
    <row r="152" spans="1:1790" ht="32.25" hidden="1">
      <c r="A152" s="700" t="s">
        <v>700</v>
      </c>
      <c r="B152" s="369" t="s">
        <v>889</v>
      </c>
      <c r="C152" s="594" t="s">
        <v>1326</v>
      </c>
      <c r="D152" s="701" t="s">
        <v>1327</v>
      </c>
      <c r="E152" s="701"/>
      <c r="F152" s="771"/>
      <c r="G152" s="703" t="s">
        <v>1328</v>
      </c>
      <c r="H152" s="348"/>
      <c r="I152" s="348"/>
      <c r="J152" s="700"/>
      <c r="K152" s="700"/>
      <c r="L152" s="594"/>
      <c r="M152" s="701"/>
      <c r="N152" s="701"/>
      <c r="O152" s="348"/>
      <c r="P152" s="348"/>
      <c r="Q152" s="700"/>
      <c r="R152" s="700"/>
      <c r="S152" s="594"/>
      <c r="T152" s="701"/>
      <c r="U152" s="701"/>
      <c r="V152" s="703"/>
      <c r="W152" s="348"/>
      <c r="X152" s="348"/>
      <c r="Y152" s="700"/>
      <c r="Z152" s="700"/>
      <c r="AA152" s="594"/>
      <c r="AB152" s="701"/>
      <c r="AC152" s="701"/>
      <c r="AD152" s="706"/>
      <c r="AE152" s="700"/>
      <c r="AF152" s="700"/>
      <c r="AG152" s="594"/>
      <c r="AH152" s="701"/>
      <c r="AI152" s="701"/>
      <c r="AJ152" s="703"/>
      <c r="AK152" s="348"/>
      <c r="AL152" s="348"/>
      <c r="AM152" s="700"/>
      <c r="AN152" s="700"/>
      <c r="AO152" s="594"/>
      <c r="AP152" s="701"/>
      <c r="AQ152" s="701"/>
      <c r="AR152" s="348"/>
      <c r="AS152" s="348"/>
      <c r="AT152" s="700"/>
      <c r="AU152" s="700"/>
      <c r="AV152" s="594"/>
      <c r="AW152" s="701"/>
      <c r="AX152" s="701"/>
      <c r="AY152" s="703"/>
      <c r="AZ152" s="348"/>
      <c r="BA152" s="348"/>
      <c r="BB152" s="700"/>
      <c r="BC152" s="700"/>
      <c r="BD152" s="594"/>
      <c r="BE152" s="701"/>
      <c r="BF152" s="701"/>
      <c r="BG152" s="700"/>
      <c r="BH152" s="700"/>
      <c r="BI152" s="594"/>
      <c r="BJ152" s="701"/>
      <c r="BK152" s="701"/>
      <c r="BL152" s="703"/>
      <c r="BM152" s="348"/>
      <c r="BN152" s="348"/>
      <c r="BO152" s="700"/>
      <c r="BP152" s="700"/>
      <c r="BQ152" s="594"/>
      <c r="BR152" s="701"/>
      <c r="BS152" s="701"/>
      <c r="BT152" s="348"/>
      <c r="BU152" s="348"/>
      <c r="BV152" s="700"/>
      <c r="BW152" s="700"/>
      <c r="BX152" s="594"/>
      <c r="BY152" s="701"/>
      <c r="BZ152" s="701"/>
      <c r="CA152" s="703"/>
      <c r="CB152" s="348"/>
      <c r="CC152" s="348"/>
      <c r="CD152" s="700"/>
      <c r="CE152" s="700"/>
      <c r="CF152" s="594"/>
      <c r="CG152" s="701"/>
      <c r="CH152" s="701"/>
      <c r="CI152" s="706"/>
      <c r="CJ152" s="700"/>
      <c r="CK152" s="700"/>
      <c r="CL152" s="594"/>
      <c r="CM152" s="701"/>
      <c r="CN152" s="701"/>
      <c r="CO152" s="703"/>
      <c r="CP152" s="348"/>
      <c r="CQ152" s="348"/>
      <c r="CR152" s="700"/>
      <c r="CS152" s="700"/>
      <c r="CT152" s="594"/>
      <c r="CU152" s="701"/>
      <c r="CV152" s="701"/>
      <c r="CW152" s="348"/>
      <c r="CX152" s="348"/>
      <c r="CY152" s="700"/>
      <c r="CZ152" s="700"/>
      <c r="DA152" s="594"/>
      <c r="DB152" s="701"/>
      <c r="DC152" s="701"/>
      <c r="DD152" s="703"/>
      <c r="DE152" s="348"/>
      <c r="DF152" s="348"/>
      <c r="DG152" s="700"/>
      <c r="DH152" s="700"/>
      <c r="DI152" s="594"/>
      <c r="DJ152" s="701"/>
      <c r="DK152" s="701"/>
      <c r="DL152" s="594"/>
      <c r="DM152" s="594"/>
      <c r="DN152" s="701"/>
      <c r="DO152" s="701"/>
      <c r="DP152" s="703"/>
      <c r="DQ152" s="348"/>
      <c r="DR152" s="348"/>
      <c r="DS152" s="700"/>
      <c r="DT152" s="700"/>
      <c r="DU152" s="594"/>
      <c r="DV152" s="701"/>
      <c r="DW152" s="701"/>
      <c r="DX152" s="348"/>
      <c r="DY152" s="348"/>
      <c r="DZ152" s="700"/>
      <c r="EA152" s="700"/>
      <c r="EB152" s="594"/>
      <c r="EC152" s="701"/>
      <c r="ED152" s="701"/>
      <c r="EE152" s="703"/>
      <c r="EF152" s="348"/>
      <c r="EG152" s="348"/>
      <c r="EH152" s="700"/>
      <c r="EI152" s="700"/>
      <c r="EJ152" s="594"/>
      <c r="EK152" s="701"/>
      <c r="EL152" s="701"/>
      <c r="EM152" s="706"/>
      <c r="EN152" s="700"/>
      <c r="EO152" s="700"/>
      <c r="EP152" s="594"/>
      <c r="EQ152" s="701"/>
      <c r="ER152" s="701"/>
      <c r="ES152" s="703"/>
      <c r="ET152" s="348"/>
      <c r="EU152" s="348"/>
      <c r="EV152" s="700"/>
      <c r="EW152" s="700"/>
      <c r="EX152" s="594"/>
      <c r="EY152" s="701"/>
      <c r="EZ152" s="701"/>
      <c r="FA152" s="348"/>
      <c r="FB152" s="348"/>
      <c r="FC152" s="700"/>
      <c r="FD152" s="700"/>
      <c r="FE152" s="594"/>
      <c r="FF152" s="701"/>
      <c r="FG152" s="701"/>
      <c r="FH152" s="703"/>
      <c r="FI152" s="348"/>
      <c r="FJ152" s="348"/>
      <c r="FK152" s="700"/>
      <c r="FL152" s="700"/>
      <c r="FM152" s="594"/>
      <c r="FN152" s="701"/>
      <c r="FO152" s="701"/>
      <c r="FP152" s="700"/>
      <c r="FQ152" s="700"/>
      <c r="FR152" s="594"/>
      <c r="FS152" s="701"/>
      <c r="FT152" s="701"/>
      <c r="FU152" s="703"/>
      <c r="FV152" s="348"/>
      <c r="FW152" s="348"/>
      <c r="FX152" s="700"/>
      <c r="FY152" s="700"/>
      <c r="FZ152" s="594"/>
      <c r="GA152" s="701"/>
      <c r="GB152" s="701"/>
      <c r="GC152" s="348"/>
      <c r="GD152" s="348"/>
      <c r="GE152" s="700"/>
      <c r="GF152" s="700"/>
      <c r="GG152" s="594"/>
      <c r="GH152" s="701"/>
      <c r="GI152" s="701"/>
      <c r="GJ152" s="703"/>
      <c r="GK152" s="348"/>
      <c r="GL152" s="348"/>
      <c r="GM152" s="700"/>
      <c r="GN152" s="700"/>
      <c r="GO152" s="594"/>
      <c r="GP152" s="701"/>
      <c r="GQ152" s="701"/>
      <c r="GR152" s="706"/>
      <c r="GS152" s="700"/>
      <c r="GT152" s="700"/>
      <c r="GU152" s="594"/>
      <c r="GV152" s="701"/>
      <c r="GW152" s="701"/>
      <c r="GX152" s="703"/>
      <c r="GY152" s="348"/>
      <c r="GZ152" s="348"/>
      <c r="HA152" s="700"/>
      <c r="HB152" s="700"/>
      <c r="HC152" s="594"/>
      <c r="HD152" s="701"/>
      <c r="HE152" s="701"/>
      <c r="HF152" s="348"/>
      <c r="HG152" s="348"/>
      <c r="HH152" s="700"/>
      <c r="HI152" s="700"/>
      <c r="HJ152" s="594"/>
      <c r="HK152" s="701"/>
      <c r="HL152" s="701"/>
      <c r="HM152" s="703"/>
      <c r="HN152" s="348"/>
      <c r="HO152" s="348"/>
      <c r="HP152" s="700"/>
      <c r="HQ152" s="700"/>
      <c r="HR152" s="594"/>
      <c r="HS152" s="701"/>
      <c r="HT152" s="701"/>
      <c r="HU152" s="594"/>
      <c r="HV152" s="701"/>
      <c r="HW152" s="701"/>
      <c r="HX152" s="703"/>
      <c r="HY152" s="348"/>
      <c r="HZ152" s="348"/>
      <c r="IA152" s="700"/>
      <c r="IB152" s="700"/>
      <c r="IC152" s="594"/>
      <c r="ID152" s="701"/>
      <c r="IE152" s="701"/>
      <c r="IF152" s="348"/>
      <c r="IG152" s="348"/>
      <c r="IH152" s="700"/>
      <c r="II152" s="700"/>
      <c r="IJ152" s="594"/>
      <c r="IK152" s="701"/>
      <c r="IL152" s="701"/>
      <c r="IM152" s="703"/>
      <c r="IN152" s="348"/>
      <c r="IO152" s="348"/>
      <c r="IP152" s="700"/>
      <c r="IQ152" s="700"/>
      <c r="IR152" s="594"/>
      <c r="IS152" s="701"/>
      <c r="IT152" s="701"/>
      <c r="IU152" s="706"/>
      <c r="IV152" s="700"/>
      <c r="IW152" s="700"/>
      <c r="IX152" s="594"/>
      <c r="IY152" s="701"/>
      <c r="IZ152" s="701"/>
      <c r="JA152" s="703"/>
      <c r="JB152" s="348"/>
      <c r="JC152" s="348"/>
      <c r="JD152" s="700"/>
      <c r="JE152" s="700"/>
      <c r="JF152" s="594"/>
      <c r="JG152" s="701"/>
      <c r="JH152" s="701"/>
      <c r="JI152" s="348"/>
      <c r="JJ152" s="348"/>
      <c r="JK152" s="700"/>
      <c r="JL152" s="700"/>
      <c r="JM152" s="594"/>
      <c r="JN152" s="701"/>
      <c r="JO152" s="701"/>
      <c r="JP152" s="703"/>
      <c r="JQ152" s="348"/>
      <c r="JR152" s="348"/>
      <c r="JS152" s="700"/>
      <c r="JT152" s="700"/>
      <c r="JU152" s="594"/>
      <c r="JV152" s="701"/>
      <c r="JW152" s="701"/>
      <c r="JX152" s="700"/>
      <c r="JY152" s="700"/>
      <c r="JZ152" s="594"/>
      <c r="KA152" s="701"/>
      <c r="KB152" s="701"/>
      <c r="KC152" s="703"/>
      <c r="KD152" s="348"/>
      <c r="KE152" s="348"/>
      <c r="KF152" s="700"/>
      <c r="KG152" s="700"/>
      <c r="KH152" s="594"/>
      <c r="KI152" s="701"/>
      <c r="KJ152" s="701"/>
      <c r="KK152" s="348"/>
      <c r="KL152" s="348"/>
      <c r="KM152" s="700"/>
      <c r="KN152" s="700"/>
      <c r="KO152" s="594"/>
      <c r="KP152" s="701"/>
      <c r="KQ152" s="701"/>
      <c r="KR152" s="703"/>
      <c r="KS152" s="348"/>
      <c r="KT152" s="348"/>
      <c r="KU152" s="700"/>
      <c r="KV152" s="700"/>
      <c r="KW152" s="594"/>
      <c r="KX152" s="701"/>
      <c r="KY152" s="701"/>
      <c r="KZ152" s="706"/>
      <c r="LA152" s="700"/>
      <c r="LB152" s="700"/>
      <c r="LC152" s="594"/>
      <c r="LD152" s="701"/>
      <c r="LE152" s="701"/>
      <c r="LF152" s="703"/>
      <c r="LG152" s="348"/>
      <c r="LH152" s="348"/>
      <c r="LI152" s="700"/>
      <c r="LJ152" s="700"/>
      <c r="LK152" s="594"/>
      <c r="LL152" s="701"/>
      <c r="LM152" s="701"/>
      <c r="LN152" s="348"/>
      <c r="LO152" s="348"/>
      <c r="LP152" s="700"/>
      <c r="LQ152" s="700"/>
      <c r="LR152" s="594"/>
      <c r="LS152" s="701"/>
      <c r="LT152" s="701"/>
      <c r="LU152" s="703"/>
      <c r="LV152" s="348"/>
      <c r="LW152" s="348"/>
      <c r="LX152" s="700"/>
      <c r="LY152" s="700"/>
      <c r="LZ152" s="594"/>
      <c r="MA152" s="701"/>
      <c r="MB152" s="701"/>
      <c r="MC152" s="594"/>
      <c r="MD152" s="594"/>
      <c r="ME152" s="701"/>
      <c r="MF152" s="701"/>
      <c r="MG152" s="703"/>
      <c r="MH152" s="348"/>
      <c r="MI152" s="348"/>
      <c r="MJ152" s="700"/>
      <c r="MK152" s="700"/>
      <c r="ML152" s="594"/>
      <c r="MM152" s="701"/>
      <c r="MN152" s="701"/>
      <c r="MO152" s="348"/>
      <c r="MP152" s="348"/>
      <c r="MQ152" s="700"/>
      <c r="MR152" s="700"/>
      <c r="MS152" s="594"/>
      <c r="MT152" s="701"/>
      <c r="MU152" s="701"/>
      <c r="MV152" s="703"/>
      <c r="MW152" s="348"/>
      <c r="MX152" s="348"/>
      <c r="MY152" s="700"/>
      <c r="MZ152" s="700"/>
      <c r="NA152" s="594"/>
      <c r="NB152" s="701"/>
      <c r="NC152" s="701"/>
      <c r="ND152" s="706"/>
      <c r="NE152" s="700"/>
      <c r="NF152" s="700"/>
      <c r="NG152" s="594"/>
      <c r="NH152" s="701"/>
      <c r="NI152" s="701"/>
      <c r="NJ152" s="703"/>
      <c r="NK152" s="348"/>
      <c r="NL152" s="348"/>
      <c r="NM152" s="700"/>
      <c r="NN152" s="700"/>
      <c r="NO152" s="594"/>
      <c r="NP152" s="701"/>
      <c r="NQ152" s="701"/>
      <c r="NR152" s="348"/>
      <c r="NS152" s="348"/>
      <c r="NT152" s="700"/>
      <c r="NU152" s="700"/>
      <c r="NV152" s="594"/>
      <c r="NW152" s="701"/>
      <c r="NX152" s="701"/>
      <c r="NY152" s="703"/>
      <c r="NZ152" s="348"/>
      <c r="OA152" s="348"/>
      <c r="OB152" s="700"/>
      <c r="OC152" s="700"/>
      <c r="OD152" s="594"/>
      <c r="OE152" s="701"/>
      <c r="OF152" s="701"/>
      <c r="OG152" s="700"/>
      <c r="OH152" s="700"/>
      <c r="OI152" s="594"/>
      <c r="OJ152" s="701"/>
      <c r="OK152" s="701"/>
      <c r="OL152" s="703"/>
      <c r="OM152" s="348"/>
      <c r="ON152" s="348"/>
      <c r="OO152" s="700"/>
      <c r="OP152" s="700"/>
      <c r="OQ152" s="594"/>
      <c r="OR152" s="701"/>
      <c r="OS152" s="701"/>
      <c r="OT152" s="348"/>
      <c r="OU152" s="348"/>
      <c r="OV152" s="700"/>
      <c r="OW152" s="700"/>
      <c r="OX152" s="594"/>
      <c r="OY152" s="701"/>
      <c r="OZ152" s="701"/>
      <c r="PA152" s="703"/>
      <c r="PB152" s="348"/>
      <c r="PC152" s="348"/>
      <c r="PD152" s="700"/>
      <c r="PE152" s="700"/>
      <c r="PF152" s="594"/>
      <c r="PG152" s="701"/>
      <c r="PH152" s="701"/>
      <c r="PI152" s="706"/>
      <c r="PJ152" s="700"/>
      <c r="PK152" s="700"/>
      <c r="PL152" s="594"/>
      <c r="PM152" s="701"/>
      <c r="PN152" s="701"/>
      <c r="PO152" s="703"/>
      <c r="PP152" s="348"/>
      <c r="PQ152" s="348"/>
      <c r="PR152" s="700"/>
      <c r="PS152" s="700"/>
      <c r="PT152" s="594"/>
      <c r="PU152" s="701"/>
      <c r="PV152" s="701"/>
      <c r="PW152" s="348"/>
      <c r="PX152" s="348"/>
      <c r="PY152" s="700"/>
      <c r="PZ152" s="700"/>
      <c r="QA152" s="594"/>
      <c r="QB152" s="701"/>
      <c r="QC152" s="701"/>
      <c r="QD152" s="703"/>
      <c r="QE152" s="348"/>
      <c r="QF152" s="348"/>
      <c r="QG152" s="700"/>
      <c r="QH152" s="700"/>
      <c r="QI152" s="594"/>
      <c r="QJ152" s="701"/>
      <c r="QK152" s="701"/>
      <c r="QL152" s="771"/>
      <c r="QM152" s="703"/>
      <c r="QN152" s="348"/>
      <c r="QO152" s="348"/>
      <c r="QP152" s="700"/>
      <c r="QQ152" s="700"/>
      <c r="QR152" s="594"/>
      <c r="QS152" s="701"/>
      <c r="QT152" s="701"/>
      <c r="QU152" s="348"/>
      <c r="QV152" s="348"/>
      <c r="QW152" s="700"/>
      <c r="QX152" s="700"/>
      <c r="QY152" s="594"/>
      <c r="QZ152" s="701"/>
      <c r="RA152" s="701"/>
      <c r="RB152" s="703"/>
      <c r="RC152" s="348"/>
      <c r="RD152" s="348"/>
      <c r="RE152" s="700"/>
      <c r="RF152" s="700"/>
      <c r="RG152" s="594"/>
      <c r="RH152" s="701"/>
      <c r="RI152" s="701"/>
      <c r="RJ152" s="706"/>
      <c r="RK152" s="700"/>
      <c r="RL152" s="700"/>
      <c r="RM152" s="594"/>
      <c r="RN152" s="701"/>
      <c r="RO152" s="701"/>
      <c r="RP152" s="703"/>
      <c r="RQ152" s="348"/>
      <c r="RR152" s="348"/>
      <c r="RS152" s="700"/>
      <c r="RT152" s="700"/>
      <c r="RU152" s="594"/>
      <c r="RV152" s="701"/>
      <c r="RW152" s="701"/>
      <c r="RX152" s="348"/>
      <c r="RY152" s="348"/>
      <c r="RZ152" s="700"/>
      <c r="SA152" s="700"/>
      <c r="SB152" s="594"/>
      <c r="SC152" s="701"/>
      <c r="SD152" s="701"/>
      <c r="SE152" s="703"/>
      <c r="SF152" s="348"/>
      <c r="SG152" s="348"/>
      <c r="SH152" s="700"/>
      <c r="SI152" s="700"/>
      <c r="SJ152" s="594"/>
      <c r="SK152" s="701"/>
      <c r="SL152" s="701"/>
      <c r="SM152" s="700"/>
      <c r="SN152" s="700"/>
      <c r="SO152" s="594"/>
      <c r="SP152" s="701"/>
      <c r="SQ152" s="701"/>
      <c r="SR152" s="703"/>
      <c r="SS152" s="348"/>
      <c r="ST152" s="348"/>
      <c r="SU152" s="700"/>
      <c r="SV152" s="700"/>
      <c r="SW152" s="594"/>
      <c r="SX152" s="701"/>
      <c r="SY152" s="701"/>
      <c r="SZ152" s="348"/>
      <c r="TA152" s="348"/>
      <c r="TB152" s="700"/>
      <c r="TC152" s="700"/>
      <c r="TD152" s="594"/>
      <c r="TE152" s="701"/>
      <c r="TF152" s="701"/>
      <c r="TG152" s="703"/>
      <c r="TH152" s="348"/>
      <c r="TI152" s="348"/>
      <c r="TJ152" s="700"/>
      <c r="TK152" s="700"/>
      <c r="TL152" s="594"/>
      <c r="TM152" s="701"/>
      <c r="TN152" s="701"/>
      <c r="TO152" s="706"/>
      <c r="TP152" s="700"/>
      <c r="TQ152" s="700"/>
      <c r="TR152" s="594"/>
      <c r="TS152" s="701"/>
      <c r="TT152" s="701"/>
      <c r="TU152" s="703"/>
      <c r="TV152" s="348"/>
      <c r="TW152" s="348"/>
      <c r="TX152" s="700"/>
      <c r="TY152" s="700"/>
      <c r="TZ152" s="594"/>
      <c r="UA152" s="701"/>
      <c r="UB152" s="701"/>
      <c r="UC152" s="348"/>
      <c r="UD152" s="348"/>
      <c r="UE152" s="700"/>
      <c r="UF152" s="700"/>
      <c r="UG152" s="594"/>
      <c r="UH152" s="701"/>
      <c r="UI152" s="701"/>
      <c r="UJ152" s="703"/>
      <c r="UK152" s="348"/>
      <c r="UL152" s="348"/>
      <c r="UM152" s="700"/>
      <c r="UN152" s="700"/>
      <c r="UO152" s="594"/>
      <c r="UP152" s="701"/>
      <c r="UQ152" s="701"/>
      <c r="UR152" s="594"/>
      <c r="US152" s="594"/>
      <c r="UT152" s="701"/>
      <c r="UU152" s="701"/>
      <c r="UV152" s="703"/>
      <c r="UW152" s="348"/>
      <c r="UX152" s="348"/>
      <c r="UY152" s="700"/>
      <c r="UZ152" s="700"/>
      <c r="VA152" s="594"/>
      <c r="VB152" s="701"/>
      <c r="VC152" s="701"/>
      <c r="VD152" s="348"/>
      <c r="VE152" s="348"/>
      <c r="VF152" s="700"/>
      <c r="VG152" s="700"/>
      <c r="VH152" s="594"/>
      <c r="VI152" s="701"/>
      <c r="VJ152" s="701"/>
      <c r="VK152" s="703"/>
      <c r="VL152" s="348"/>
      <c r="VM152" s="348"/>
      <c r="VN152" s="700"/>
      <c r="VO152" s="700"/>
      <c r="VP152" s="594"/>
      <c r="VQ152" s="701"/>
      <c r="VR152" s="701"/>
      <c r="VS152" s="706"/>
      <c r="VT152" s="700"/>
      <c r="VU152" s="700"/>
      <c r="VV152" s="594"/>
      <c r="VW152" s="701"/>
      <c r="VX152" s="701"/>
      <c r="VY152" s="703"/>
      <c r="VZ152" s="348"/>
      <c r="WA152" s="348"/>
      <c r="WB152" s="700"/>
      <c r="WC152" s="700"/>
      <c r="WD152" s="594"/>
      <c r="WE152" s="701"/>
      <c r="WF152" s="701"/>
      <c r="WG152" s="348"/>
      <c r="WH152" s="348"/>
      <c r="WI152" s="700"/>
      <c r="WJ152" s="700"/>
      <c r="WK152" s="594"/>
      <c r="WL152" s="701"/>
      <c r="WM152" s="701"/>
      <c r="WN152" s="703"/>
      <c r="WO152" s="348"/>
      <c r="WP152" s="348"/>
      <c r="WQ152" s="700"/>
      <c r="WR152" s="700"/>
      <c r="WS152" s="594"/>
      <c r="WT152" s="701"/>
      <c r="WU152" s="701"/>
      <c r="WV152" s="700"/>
      <c r="WW152" s="700"/>
      <c r="WX152" s="594"/>
      <c r="WY152" s="701"/>
      <c r="WZ152" s="701"/>
      <c r="XA152" s="703"/>
      <c r="XB152" s="348"/>
      <c r="XC152" s="348"/>
      <c r="XD152" s="700"/>
      <c r="XE152" s="700"/>
      <c r="XF152" s="594"/>
      <c r="XG152" s="701"/>
      <c r="XH152" s="701"/>
      <c r="XI152" s="348"/>
      <c r="XJ152" s="348"/>
      <c r="XK152" s="700"/>
      <c r="XL152" s="700"/>
      <c r="XM152" s="594"/>
      <c r="XN152" s="701"/>
      <c r="XO152" s="701"/>
      <c r="XP152" s="703"/>
      <c r="XQ152" s="348"/>
      <c r="XR152" s="348"/>
      <c r="XS152" s="700"/>
      <c r="XT152" s="700"/>
      <c r="XU152" s="594"/>
      <c r="XV152" s="701"/>
      <c r="XW152" s="701"/>
      <c r="XX152" s="706"/>
      <c r="XY152" s="700"/>
      <c r="XZ152" s="700"/>
      <c r="YA152" s="594"/>
      <c r="YB152" s="701"/>
      <c r="YC152" s="701"/>
      <c r="YD152" s="703"/>
      <c r="YE152" s="348"/>
      <c r="YF152" s="348"/>
      <c r="YG152" s="700"/>
      <c r="YH152" s="700"/>
      <c r="YI152" s="594"/>
      <c r="YJ152" s="701"/>
      <c r="YK152" s="701"/>
      <c r="YL152" s="348"/>
      <c r="YM152" s="348"/>
      <c r="YN152" s="700"/>
      <c r="YO152" s="700"/>
      <c r="YP152" s="594"/>
      <c r="YQ152" s="701"/>
      <c r="YR152" s="701"/>
      <c r="YS152" s="703"/>
      <c r="YT152" s="348"/>
      <c r="YU152" s="348"/>
      <c r="YV152" s="700"/>
      <c r="YW152" s="700"/>
      <c r="YX152" s="594"/>
      <c r="YY152" s="701"/>
      <c r="YZ152" s="701"/>
      <c r="ZA152" s="594"/>
      <c r="ZB152" s="701"/>
      <c r="ZC152" s="701"/>
      <c r="ZD152" s="703"/>
      <c r="ZE152" s="348"/>
      <c r="ZF152" s="348"/>
      <c r="ZG152" s="700"/>
      <c r="ZH152" s="700"/>
      <c r="ZI152" s="594"/>
      <c r="ZJ152" s="701"/>
      <c r="ZK152" s="701"/>
      <c r="ZL152" s="348"/>
      <c r="ZM152" s="348"/>
      <c r="ZN152" s="700"/>
      <c r="ZO152" s="700"/>
      <c r="ZP152" s="594"/>
      <c r="ZQ152" s="701"/>
      <c r="ZR152" s="701"/>
      <c r="ZS152" s="703"/>
      <c r="ZT152" s="348"/>
      <c r="ZU152" s="348"/>
      <c r="ZV152" s="700"/>
      <c r="ZW152" s="700"/>
      <c r="ZX152" s="594"/>
      <c r="ZY152" s="701"/>
      <c r="ZZ152" s="701"/>
      <c r="AAA152" s="706"/>
      <c r="AAB152" s="700"/>
      <c r="AAC152" s="700"/>
      <c r="AAD152" s="594"/>
      <c r="AAE152" s="701"/>
      <c r="AAF152" s="701"/>
      <c r="AAG152" s="703"/>
      <c r="AAH152" s="348"/>
      <c r="AAI152" s="348"/>
      <c r="AAJ152" s="700"/>
      <c r="AAK152" s="700"/>
      <c r="AAL152" s="594"/>
      <c r="AAM152" s="701"/>
      <c r="AAN152" s="701"/>
      <c r="AAO152" s="348"/>
      <c r="AAP152" s="348"/>
      <c r="AAQ152" s="700"/>
      <c r="AAR152" s="700"/>
      <c r="AAS152" s="594"/>
      <c r="AAT152" s="701"/>
      <c r="AAU152" s="701"/>
      <c r="AAV152" s="703"/>
      <c r="AAW152" s="348"/>
      <c r="AAX152" s="348"/>
      <c r="AAY152" s="700"/>
      <c r="AAZ152" s="700"/>
      <c r="ABA152" s="594"/>
      <c r="ABB152" s="701"/>
      <c r="ABC152" s="701"/>
      <c r="ABD152" s="700"/>
      <c r="ABE152" s="700"/>
      <c r="ABF152" s="594"/>
      <c r="ABG152" s="701"/>
      <c r="ABH152" s="701"/>
      <c r="ABI152" s="703"/>
      <c r="ABJ152" s="348"/>
      <c r="ABK152" s="348"/>
      <c r="ABL152" s="700"/>
      <c r="ABM152" s="700"/>
      <c r="ABN152" s="594"/>
      <c r="ABO152" s="701"/>
      <c r="ABP152" s="701"/>
      <c r="ABQ152" s="348"/>
      <c r="ABR152" s="348"/>
      <c r="ABS152" s="700"/>
      <c r="ABT152" s="700"/>
      <c r="ABU152" s="594"/>
      <c r="ABV152" s="701"/>
      <c r="ABW152" s="701"/>
      <c r="ABX152" s="703"/>
      <c r="ABY152" s="348"/>
      <c r="ABZ152" s="348"/>
      <c r="ACA152" s="700"/>
      <c r="ACB152" s="700"/>
      <c r="ACC152" s="594"/>
      <c r="ACD152" s="701"/>
      <c r="ACE152" s="701"/>
      <c r="ACF152" s="706"/>
      <c r="ACG152" s="700"/>
      <c r="ACH152" s="700"/>
      <c r="ACI152" s="594"/>
      <c r="ACJ152" s="701"/>
      <c r="ACK152" s="701"/>
      <c r="ACL152" s="703"/>
      <c r="ACM152" s="348"/>
      <c r="ACN152" s="348"/>
      <c r="ACO152" s="700"/>
      <c r="ACP152" s="700"/>
      <c r="ACQ152" s="594"/>
      <c r="ACR152" s="701"/>
      <c r="ACS152" s="701"/>
      <c r="ACT152" s="348"/>
      <c r="ACU152" s="348"/>
      <c r="ACV152" s="700"/>
      <c r="ACW152" s="700"/>
      <c r="ACX152" s="594"/>
      <c r="ACY152" s="701"/>
      <c r="ACZ152" s="701"/>
      <c r="ADA152" s="703"/>
      <c r="ADB152" s="348"/>
      <c r="ADC152" s="348"/>
      <c r="ADD152" s="700"/>
      <c r="ADE152" s="700"/>
      <c r="ADF152" s="594"/>
      <c r="ADG152" s="701"/>
      <c r="ADH152" s="701"/>
      <c r="ADI152" s="594"/>
      <c r="ADJ152" s="594"/>
      <c r="ADK152" s="701"/>
      <c r="ADL152" s="701"/>
      <c r="ADM152" s="703"/>
      <c r="ADN152" s="348"/>
      <c r="ADO152" s="348"/>
      <c r="ADP152" s="700"/>
      <c r="ADQ152" s="700"/>
      <c r="ADR152" s="594"/>
      <c r="ADS152" s="701"/>
      <c r="ADT152" s="701"/>
      <c r="ADU152" s="348"/>
      <c r="ADV152" s="348"/>
      <c r="ADW152" s="700"/>
      <c r="ADX152" s="700"/>
      <c r="ADY152" s="594"/>
      <c r="ADZ152" s="701"/>
      <c r="AEA152" s="701"/>
      <c r="AEB152" s="703"/>
      <c r="AEC152" s="348"/>
      <c r="AED152" s="348"/>
      <c r="AEE152" s="700"/>
      <c r="AEF152" s="700"/>
      <c r="AEG152" s="594"/>
      <c r="AEH152" s="701"/>
      <c r="AEI152" s="701"/>
      <c r="AEJ152" s="706"/>
      <c r="AEK152" s="700"/>
      <c r="AEL152" s="700"/>
      <c r="AEM152" s="594"/>
      <c r="AEN152" s="701"/>
      <c r="AEO152" s="701"/>
      <c r="AEP152" s="703"/>
      <c r="AEQ152" s="348"/>
      <c r="AER152" s="348"/>
      <c r="AES152" s="700"/>
      <c r="AET152" s="700"/>
      <c r="AEU152" s="594"/>
      <c r="AEV152" s="701"/>
      <c r="AEW152" s="701"/>
      <c r="AEX152" s="348"/>
      <c r="AEY152" s="348"/>
      <c r="AEZ152" s="700"/>
      <c r="AFA152" s="700"/>
      <c r="AFB152" s="594"/>
      <c r="AFC152" s="701"/>
      <c r="AFD152" s="701"/>
      <c r="AFE152" s="703"/>
      <c r="AFF152" s="348"/>
      <c r="AFG152" s="348"/>
      <c r="AFH152" s="700"/>
      <c r="AFI152" s="700"/>
      <c r="AFJ152" s="594"/>
      <c r="AFK152" s="701"/>
      <c r="AFL152" s="701"/>
      <c r="AFM152" s="700"/>
      <c r="AFN152" s="700"/>
      <c r="AFO152" s="594"/>
      <c r="AFP152" s="701"/>
      <c r="AFQ152" s="701"/>
      <c r="AFR152" s="703"/>
      <c r="AFS152" s="348"/>
      <c r="AFT152" s="348"/>
      <c r="AFU152" s="700"/>
      <c r="AFV152" s="700"/>
      <c r="AFW152" s="594"/>
      <c r="AFX152" s="701"/>
      <c r="AFY152" s="701"/>
      <c r="AFZ152" s="348"/>
      <c r="AGA152" s="348"/>
      <c r="AGB152" s="700"/>
      <c r="AGC152" s="700"/>
      <c r="AGD152" s="594"/>
      <c r="AGE152" s="701"/>
      <c r="AGF152" s="701"/>
      <c r="AGG152" s="703"/>
      <c r="AGH152" s="348"/>
      <c r="AGI152" s="348"/>
      <c r="AGJ152" s="700"/>
      <c r="AGK152" s="700"/>
      <c r="AGL152" s="594"/>
      <c r="AGM152" s="701"/>
      <c r="AGN152" s="701"/>
      <c r="AGO152" s="706"/>
      <c r="AGP152" s="700"/>
      <c r="AGQ152" s="700"/>
      <c r="AGR152" s="594"/>
      <c r="AGS152" s="701"/>
      <c r="AGT152" s="701"/>
      <c r="AGU152" s="703"/>
      <c r="AGV152" s="348"/>
      <c r="AGW152" s="348"/>
      <c r="AGX152" s="700"/>
      <c r="AGY152" s="700"/>
      <c r="AGZ152" s="594"/>
      <c r="AHA152" s="701"/>
      <c r="AHB152" s="701"/>
      <c r="AHC152" s="348"/>
      <c r="AHD152" s="348"/>
      <c r="AHE152" s="700"/>
      <c r="AHF152" s="700"/>
      <c r="AHG152" s="594"/>
      <c r="AHH152" s="701"/>
      <c r="AHI152" s="701"/>
      <c r="AHJ152" s="703"/>
      <c r="AHK152" s="348"/>
      <c r="AHL152" s="348"/>
    </row>
    <row r="153" spans="1:1790" ht="76.5" hidden="1">
      <c r="A153" s="700" t="s">
        <v>700</v>
      </c>
      <c r="B153" s="369" t="s">
        <v>889</v>
      </c>
      <c r="C153" s="594" t="s">
        <v>1326</v>
      </c>
      <c r="D153" s="701" t="s">
        <v>1329</v>
      </c>
      <c r="E153" s="701">
        <v>46220</v>
      </c>
      <c r="F153" s="771"/>
      <c r="G153" s="703" t="s">
        <v>1330</v>
      </c>
      <c r="H153" s="348"/>
      <c r="I153" s="348"/>
      <c r="J153" s="700"/>
      <c r="K153" s="700"/>
      <c r="L153" s="594"/>
      <c r="M153" s="701"/>
      <c r="N153" s="701"/>
      <c r="O153" s="348"/>
      <c r="P153" s="348"/>
      <c r="Q153" s="700"/>
      <c r="R153" s="700"/>
      <c r="S153" s="594"/>
      <c r="T153" s="701"/>
      <c r="U153" s="701"/>
      <c r="V153" s="703"/>
      <c r="W153" s="348"/>
      <c r="X153" s="348"/>
      <c r="Y153" s="700"/>
      <c r="Z153" s="700"/>
      <c r="AA153" s="594"/>
      <c r="AB153" s="701"/>
      <c r="AC153" s="701"/>
      <c r="AD153" s="706"/>
      <c r="AE153" s="700"/>
      <c r="AF153" s="700"/>
      <c r="AG153" s="594"/>
      <c r="AH153" s="701"/>
      <c r="AI153" s="701"/>
      <c r="AJ153" s="703"/>
      <c r="AK153" s="348"/>
      <c r="AL153" s="348"/>
      <c r="AM153" s="700"/>
      <c r="AN153" s="700"/>
      <c r="AO153" s="594"/>
      <c r="AP153" s="701"/>
      <c r="AQ153" s="701"/>
      <c r="AR153" s="348"/>
      <c r="AS153" s="348"/>
      <c r="AT153" s="700"/>
      <c r="AU153" s="700"/>
      <c r="AV153" s="594"/>
      <c r="AW153" s="701"/>
      <c r="AX153" s="701"/>
      <c r="AY153" s="703"/>
      <c r="AZ153" s="348"/>
      <c r="BA153" s="348"/>
      <c r="BB153" s="700"/>
      <c r="BC153" s="700"/>
      <c r="BD153" s="594"/>
      <c r="BE153" s="701"/>
      <c r="BF153" s="701"/>
      <c r="BG153" s="700"/>
      <c r="BH153" s="700"/>
      <c r="BI153" s="594"/>
      <c r="BJ153" s="701"/>
      <c r="BK153" s="701"/>
      <c r="BL153" s="703"/>
      <c r="BM153" s="348"/>
      <c r="BN153" s="348"/>
      <c r="BO153" s="700"/>
      <c r="BP153" s="700"/>
      <c r="BQ153" s="594"/>
      <c r="BR153" s="701"/>
      <c r="BS153" s="701"/>
      <c r="BT153" s="348"/>
      <c r="BU153" s="348"/>
      <c r="BV153" s="700"/>
      <c r="BW153" s="700"/>
      <c r="BX153" s="594"/>
      <c r="BY153" s="701"/>
      <c r="BZ153" s="701"/>
      <c r="CA153" s="703"/>
      <c r="CB153" s="348"/>
      <c r="CC153" s="348"/>
      <c r="CD153" s="700"/>
      <c r="CE153" s="700"/>
      <c r="CF153" s="594"/>
      <c r="CG153" s="701"/>
      <c r="CH153" s="701"/>
      <c r="CI153" s="706"/>
      <c r="CJ153" s="700"/>
      <c r="CK153" s="700"/>
      <c r="CL153" s="594"/>
      <c r="CM153" s="701"/>
      <c r="CN153" s="701"/>
      <c r="CO153" s="703"/>
      <c r="CP153" s="348"/>
      <c r="CQ153" s="348"/>
      <c r="CR153" s="700"/>
      <c r="CS153" s="700"/>
      <c r="CT153" s="594"/>
      <c r="CU153" s="701"/>
      <c r="CV153" s="701"/>
      <c r="CW153" s="348"/>
      <c r="CX153" s="348"/>
      <c r="CY153" s="700"/>
      <c r="CZ153" s="700"/>
      <c r="DA153" s="594"/>
      <c r="DB153" s="701"/>
      <c r="DC153" s="701"/>
      <c r="DD153" s="703"/>
      <c r="DE153" s="348"/>
      <c r="DF153" s="348"/>
      <c r="DG153" s="700"/>
      <c r="DH153" s="700"/>
      <c r="DI153" s="594"/>
      <c r="DJ153" s="701"/>
      <c r="DK153" s="701"/>
      <c r="DL153" s="594"/>
      <c r="DM153" s="594"/>
      <c r="DN153" s="701"/>
      <c r="DO153" s="701"/>
      <c r="DP153" s="703"/>
      <c r="DQ153" s="348"/>
      <c r="DR153" s="348"/>
      <c r="DS153" s="700"/>
      <c r="DT153" s="700"/>
      <c r="DU153" s="594"/>
      <c r="DV153" s="701"/>
      <c r="DW153" s="701"/>
      <c r="DX153" s="348"/>
      <c r="DY153" s="348"/>
      <c r="DZ153" s="700"/>
      <c r="EA153" s="700"/>
      <c r="EB153" s="594"/>
      <c r="EC153" s="701"/>
      <c r="ED153" s="701"/>
      <c r="EE153" s="703"/>
      <c r="EF153" s="348"/>
      <c r="EG153" s="348"/>
      <c r="EH153" s="700"/>
      <c r="EI153" s="700"/>
      <c r="EJ153" s="594"/>
      <c r="EK153" s="701"/>
      <c r="EL153" s="701"/>
      <c r="EM153" s="706"/>
      <c r="EN153" s="700"/>
      <c r="EO153" s="700"/>
      <c r="EP153" s="594"/>
      <c r="EQ153" s="701"/>
      <c r="ER153" s="701"/>
      <c r="ES153" s="703"/>
      <c r="ET153" s="348"/>
      <c r="EU153" s="348"/>
      <c r="EV153" s="700"/>
      <c r="EW153" s="700"/>
      <c r="EX153" s="594"/>
      <c r="EY153" s="701"/>
      <c r="EZ153" s="701"/>
      <c r="FA153" s="348"/>
      <c r="FB153" s="348"/>
      <c r="FC153" s="700"/>
      <c r="FD153" s="700"/>
      <c r="FE153" s="594"/>
      <c r="FF153" s="701"/>
      <c r="FG153" s="701"/>
      <c r="FH153" s="703"/>
      <c r="FI153" s="348"/>
      <c r="FJ153" s="348"/>
      <c r="FK153" s="700"/>
      <c r="FL153" s="700"/>
      <c r="FM153" s="594"/>
      <c r="FN153" s="701"/>
      <c r="FO153" s="701"/>
      <c r="FP153" s="700"/>
      <c r="FQ153" s="700"/>
      <c r="FR153" s="594"/>
      <c r="FS153" s="701"/>
      <c r="FT153" s="701"/>
      <c r="FU153" s="703"/>
      <c r="FV153" s="348"/>
      <c r="FW153" s="348"/>
      <c r="FX153" s="700"/>
      <c r="FY153" s="700"/>
      <c r="FZ153" s="594"/>
      <c r="GA153" s="701"/>
      <c r="GB153" s="701"/>
      <c r="GC153" s="348"/>
      <c r="GD153" s="348"/>
      <c r="GE153" s="700"/>
      <c r="GF153" s="700"/>
      <c r="GG153" s="594"/>
      <c r="GH153" s="701"/>
      <c r="GI153" s="701"/>
      <c r="GJ153" s="703"/>
      <c r="GK153" s="348"/>
      <c r="GL153" s="348"/>
      <c r="GM153" s="700"/>
      <c r="GN153" s="700"/>
      <c r="GO153" s="594"/>
      <c r="GP153" s="701"/>
      <c r="GQ153" s="701"/>
      <c r="GR153" s="706"/>
      <c r="GS153" s="700"/>
      <c r="GT153" s="700"/>
      <c r="GU153" s="594"/>
      <c r="GV153" s="701"/>
      <c r="GW153" s="701"/>
      <c r="GX153" s="703"/>
      <c r="GY153" s="348"/>
      <c r="GZ153" s="348"/>
      <c r="HA153" s="700"/>
      <c r="HB153" s="700"/>
      <c r="HC153" s="594"/>
      <c r="HD153" s="701"/>
      <c r="HE153" s="701"/>
      <c r="HF153" s="348"/>
      <c r="HG153" s="348"/>
      <c r="HH153" s="700"/>
      <c r="HI153" s="700"/>
      <c r="HJ153" s="594"/>
      <c r="HK153" s="701"/>
      <c r="HL153" s="701"/>
      <c r="HM153" s="703"/>
      <c r="HN153" s="348"/>
      <c r="HO153" s="348"/>
      <c r="HP153" s="700"/>
      <c r="HQ153" s="700"/>
      <c r="HR153" s="594"/>
      <c r="HS153" s="701"/>
      <c r="HT153" s="701"/>
      <c r="HU153" s="594"/>
      <c r="HV153" s="701"/>
      <c r="HW153" s="701"/>
      <c r="HX153" s="703"/>
      <c r="HY153" s="348"/>
      <c r="HZ153" s="348"/>
      <c r="IA153" s="700"/>
      <c r="IB153" s="700"/>
      <c r="IC153" s="594"/>
      <c r="ID153" s="701"/>
      <c r="IE153" s="701"/>
      <c r="IF153" s="348"/>
      <c r="IG153" s="348"/>
      <c r="IH153" s="700"/>
      <c r="II153" s="700"/>
      <c r="IJ153" s="594"/>
      <c r="IK153" s="701"/>
      <c r="IL153" s="701"/>
      <c r="IM153" s="703"/>
      <c r="IN153" s="348"/>
      <c r="IO153" s="348"/>
      <c r="IP153" s="700"/>
      <c r="IQ153" s="700"/>
      <c r="IR153" s="594"/>
      <c r="IS153" s="701"/>
      <c r="IT153" s="701"/>
      <c r="IU153" s="706"/>
      <c r="IV153" s="700"/>
      <c r="IW153" s="700"/>
      <c r="IX153" s="594"/>
      <c r="IY153" s="701"/>
      <c r="IZ153" s="701"/>
      <c r="JA153" s="703"/>
      <c r="JB153" s="348"/>
      <c r="JC153" s="348"/>
      <c r="JD153" s="700"/>
      <c r="JE153" s="700"/>
      <c r="JF153" s="594"/>
      <c r="JG153" s="701"/>
      <c r="JH153" s="701"/>
      <c r="JI153" s="348"/>
      <c r="JJ153" s="348"/>
      <c r="JK153" s="700"/>
      <c r="JL153" s="700"/>
      <c r="JM153" s="594"/>
      <c r="JN153" s="701"/>
      <c r="JO153" s="701"/>
      <c r="JP153" s="703"/>
      <c r="JQ153" s="348"/>
      <c r="JR153" s="348"/>
      <c r="JS153" s="700"/>
      <c r="JT153" s="700"/>
      <c r="JU153" s="594"/>
      <c r="JV153" s="701"/>
      <c r="JW153" s="701"/>
      <c r="JX153" s="700"/>
      <c r="JY153" s="700"/>
      <c r="JZ153" s="594"/>
      <c r="KA153" s="701"/>
      <c r="KB153" s="701"/>
      <c r="KC153" s="703"/>
      <c r="KD153" s="348"/>
      <c r="KE153" s="348"/>
      <c r="KF153" s="700"/>
      <c r="KG153" s="700"/>
      <c r="KH153" s="594"/>
      <c r="KI153" s="701"/>
      <c r="KJ153" s="701"/>
      <c r="KK153" s="348"/>
      <c r="KL153" s="348"/>
      <c r="KM153" s="700"/>
      <c r="KN153" s="700"/>
      <c r="KO153" s="594"/>
      <c r="KP153" s="701"/>
      <c r="KQ153" s="701"/>
      <c r="KR153" s="703"/>
      <c r="KS153" s="348"/>
      <c r="KT153" s="348"/>
      <c r="KU153" s="700"/>
      <c r="KV153" s="700"/>
      <c r="KW153" s="594"/>
      <c r="KX153" s="701"/>
      <c r="KY153" s="701"/>
      <c r="KZ153" s="706"/>
      <c r="LA153" s="700"/>
      <c r="LB153" s="700"/>
      <c r="LC153" s="594"/>
      <c r="LD153" s="701"/>
      <c r="LE153" s="701"/>
      <c r="LF153" s="703"/>
      <c r="LG153" s="348"/>
      <c r="LH153" s="348"/>
      <c r="LI153" s="700"/>
      <c r="LJ153" s="700"/>
      <c r="LK153" s="594"/>
      <c r="LL153" s="701"/>
      <c r="LM153" s="701"/>
      <c r="LN153" s="348"/>
      <c r="LO153" s="348"/>
      <c r="LP153" s="700"/>
      <c r="LQ153" s="700"/>
      <c r="LR153" s="594"/>
      <c r="LS153" s="701"/>
      <c r="LT153" s="701"/>
      <c r="LU153" s="703"/>
      <c r="LV153" s="348"/>
      <c r="LW153" s="348"/>
      <c r="LX153" s="700"/>
      <c r="LY153" s="700"/>
      <c r="LZ153" s="594"/>
      <c r="MA153" s="701"/>
      <c r="MB153" s="701"/>
      <c r="MC153" s="594"/>
      <c r="MD153" s="594"/>
      <c r="ME153" s="701"/>
      <c r="MF153" s="701"/>
      <c r="MG153" s="703"/>
      <c r="MH153" s="348"/>
      <c r="MI153" s="348"/>
      <c r="MJ153" s="700"/>
      <c r="MK153" s="700"/>
      <c r="ML153" s="594"/>
      <c r="MM153" s="701"/>
      <c r="MN153" s="701"/>
      <c r="MO153" s="348"/>
      <c r="MP153" s="348"/>
      <c r="MQ153" s="700"/>
      <c r="MR153" s="700"/>
      <c r="MS153" s="594"/>
      <c r="MT153" s="701"/>
      <c r="MU153" s="701"/>
      <c r="MV153" s="703"/>
      <c r="MW153" s="348"/>
      <c r="MX153" s="348"/>
      <c r="MY153" s="700"/>
      <c r="MZ153" s="700"/>
      <c r="NA153" s="594"/>
      <c r="NB153" s="701"/>
      <c r="NC153" s="701"/>
      <c r="ND153" s="706"/>
      <c r="NE153" s="700"/>
      <c r="NF153" s="700"/>
      <c r="NG153" s="594"/>
      <c r="NH153" s="701"/>
      <c r="NI153" s="701"/>
      <c r="NJ153" s="703"/>
      <c r="NK153" s="348"/>
      <c r="NL153" s="348"/>
      <c r="NM153" s="700"/>
      <c r="NN153" s="700"/>
      <c r="NO153" s="594"/>
      <c r="NP153" s="701"/>
      <c r="NQ153" s="701"/>
      <c r="NR153" s="348"/>
      <c r="NS153" s="348"/>
      <c r="NT153" s="700"/>
      <c r="NU153" s="700"/>
      <c r="NV153" s="594"/>
      <c r="NW153" s="701"/>
      <c r="NX153" s="701"/>
      <c r="NY153" s="703"/>
      <c r="NZ153" s="348"/>
      <c r="OA153" s="348"/>
      <c r="OB153" s="700"/>
      <c r="OC153" s="700"/>
      <c r="OD153" s="594"/>
      <c r="OE153" s="701"/>
      <c r="OF153" s="701"/>
      <c r="OG153" s="700"/>
      <c r="OH153" s="700"/>
      <c r="OI153" s="594"/>
      <c r="OJ153" s="701"/>
      <c r="OK153" s="701"/>
      <c r="OL153" s="703"/>
      <c r="OM153" s="348"/>
      <c r="ON153" s="348"/>
      <c r="OO153" s="700"/>
      <c r="OP153" s="700"/>
      <c r="OQ153" s="594"/>
      <c r="OR153" s="701"/>
      <c r="OS153" s="701"/>
      <c r="OT153" s="348"/>
      <c r="OU153" s="348"/>
      <c r="OV153" s="700"/>
      <c r="OW153" s="700"/>
      <c r="OX153" s="594"/>
      <c r="OY153" s="701"/>
      <c r="OZ153" s="701"/>
      <c r="PA153" s="703"/>
      <c r="PB153" s="348"/>
      <c r="PC153" s="348"/>
      <c r="PD153" s="700"/>
      <c r="PE153" s="700"/>
      <c r="PF153" s="594"/>
      <c r="PG153" s="701"/>
      <c r="PH153" s="701"/>
      <c r="PI153" s="706"/>
      <c r="PJ153" s="700"/>
      <c r="PK153" s="700"/>
      <c r="PL153" s="594"/>
      <c r="PM153" s="701"/>
      <c r="PN153" s="701"/>
      <c r="PO153" s="703"/>
      <c r="PP153" s="348"/>
      <c r="PQ153" s="348"/>
      <c r="PR153" s="700"/>
      <c r="PS153" s="700"/>
      <c r="PT153" s="594"/>
      <c r="PU153" s="701"/>
      <c r="PV153" s="701"/>
      <c r="PW153" s="348"/>
      <c r="PX153" s="348"/>
      <c r="PY153" s="700"/>
      <c r="PZ153" s="700"/>
      <c r="QA153" s="594"/>
      <c r="QB153" s="701"/>
      <c r="QC153" s="701"/>
      <c r="QD153" s="703"/>
      <c r="QE153" s="348"/>
      <c r="QF153" s="348"/>
      <c r="QG153" s="700"/>
      <c r="QH153" s="700"/>
      <c r="QI153" s="594"/>
      <c r="QJ153" s="701"/>
      <c r="QK153" s="701"/>
      <c r="QL153" s="771"/>
      <c r="QM153" s="703"/>
      <c r="QN153" s="348"/>
      <c r="QO153" s="348"/>
      <c r="QP153" s="700"/>
      <c r="QQ153" s="700"/>
      <c r="QR153" s="594"/>
      <c r="QS153" s="701"/>
      <c r="QT153" s="701"/>
      <c r="QU153" s="348"/>
      <c r="QV153" s="348"/>
      <c r="QW153" s="700"/>
      <c r="QX153" s="700"/>
      <c r="QY153" s="594"/>
      <c r="QZ153" s="701"/>
      <c r="RA153" s="701"/>
      <c r="RB153" s="703"/>
      <c r="RC153" s="348"/>
      <c r="RD153" s="348"/>
      <c r="RE153" s="700"/>
      <c r="RF153" s="700"/>
      <c r="RG153" s="594"/>
      <c r="RH153" s="701"/>
      <c r="RI153" s="701"/>
      <c r="RJ153" s="706"/>
      <c r="RK153" s="700"/>
      <c r="RL153" s="700"/>
      <c r="RM153" s="594"/>
      <c r="RN153" s="701"/>
      <c r="RO153" s="701"/>
      <c r="RP153" s="703"/>
      <c r="RQ153" s="348"/>
      <c r="RR153" s="348"/>
      <c r="RS153" s="700"/>
      <c r="RT153" s="700"/>
      <c r="RU153" s="594"/>
      <c r="RV153" s="701"/>
      <c r="RW153" s="701"/>
      <c r="RX153" s="348"/>
      <c r="RY153" s="348"/>
      <c r="RZ153" s="700"/>
      <c r="SA153" s="700"/>
      <c r="SB153" s="594"/>
      <c r="SC153" s="701"/>
      <c r="SD153" s="701"/>
      <c r="SE153" s="703"/>
      <c r="SF153" s="348"/>
      <c r="SG153" s="348"/>
      <c r="SH153" s="700"/>
      <c r="SI153" s="700"/>
      <c r="SJ153" s="594"/>
      <c r="SK153" s="701"/>
      <c r="SL153" s="701"/>
      <c r="SM153" s="700"/>
      <c r="SN153" s="700"/>
      <c r="SO153" s="594"/>
      <c r="SP153" s="701"/>
      <c r="SQ153" s="701"/>
      <c r="SR153" s="703"/>
      <c r="SS153" s="348"/>
      <c r="ST153" s="348"/>
      <c r="SU153" s="700"/>
      <c r="SV153" s="700"/>
      <c r="SW153" s="594"/>
      <c r="SX153" s="701"/>
      <c r="SY153" s="701"/>
      <c r="SZ153" s="348"/>
      <c r="TA153" s="348"/>
      <c r="TB153" s="700"/>
      <c r="TC153" s="700"/>
      <c r="TD153" s="594"/>
      <c r="TE153" s="701"/>
      <c r="TF153" s="701"/>
      <c r="TG153" s="703"/>
      <c r="TH153" s="348"/>
      <c r="TI153" s="348"/>
      <c r="TJ153" s="700"/>
      <c r="TK153" s="700"/>
      <c r="TL153" s="594"/>
      <c r="TM153" s="701"/>
      <c r="TN153" s="701"/>
      <c r="TO153" s="706"/>
      <c r="TP153" s="700"/>
      <c r="TQ153" s="700"/>
      <c r="TR153" s="594"/>
      <c r="TS153" s="701"/>
      <c r="TT153" s="701"/>
      <c r="TU153" s="703"/>
      <c r="TV153" s="348"/>
      <c r="TW153" s="348"/>
      <c r="TX153" s="700"/>
      <c r="TY153" s="700"/>
      <c r="TZ153" s="594"/>
      <c r="UA153" s="701"/>
      <c r="UB153" s="701"/>
      <c r="UC153" s="348"/>
      <c r="UD153" s="348"/>
      <c r="UE153" s="700"/>
      <c r="UF153" s="700"/>
      <c r="UG153" s="594"/>
      <c r="UH153" s="701"/>
      <c r="UI153" s="701"/>
      <c r="UJ153" s="703"/>
      <c r="UK153" s="348"/>
      <c r="UL153" s="348"/>
      <c r="UM153" s="700"/>
      <c r="UN153" s="700"/>
      <c r="UO153" s="594"/>
      <c r="UP153" s="701"/>
      <c r="UQ153" s="701"/>
      <c r="UR153" s="594"/>
      <c r="US153" s="594"/>
      <c r="UT153" s="701"/>
      <c r="UU153" s="701"/>
      <c r="UV153" s="703"/>
      <c r="UW153" s="348"/>
      <c r="UX153" s="348"/>
      <c r="UY153" s="700"/>
      <c r="UZ153" s="700"/>
      <c r="VA153" s="594"/>
      <c r="VB153" s="701"/>
      <c r="VC153" s="701"/>
      <c r="VD153" s="348"/>
      <c r="VE153" s="348"/>
      <c r="VF153" s="700"/>
      <c r="VG153" s="700"/>
      <c r="VH153" s="594"/>
      <c r="VI153" s="701"/>
      <c r="VJ153" s="701"/>
      <c r="VK153" s="703"/>
      <c r="VL153" s="348"/>
      <c r="VM153" s="348"/>
      <c r="VN153" s="700"/>
      <c r="VO153" s="700"/>
      <c r="VP153" s="594"/>
      <c r="VQ153" s="701"/>
      <c r="VR153" s="701"/>
      <c r="VS153" s="706"/>
      <c r="VT153" s="700"/>
      <c r="VU153" s="700"/>
      <c r="VV153" s="594"/>
      <c r="VW153" s="701"/>
      <c r="VX153" s="701"/>
      <c r="VY153" s="703"/>
      <c r="VZ153" s="348"/>
      <c r="WA153" s="348"/>
      <c r="WB153" s="700"/>
      <c r="WC153" s="700"/>
      <c r="WD153" s="594"/>
      <c r="WE153" s="701"/>
      <c r="WF153" s="701"/>
      <c r="WG153" s="348"/>
      <c r="WH153" s="348"/>
      <c r="WI153" s="700"/>
      <c r="WJ153" s="700"/>
      <c r="WK153" s="594"/>
      <c r="WL153" s="701"/>
      <c r="WM153" s="701"/>
      <c r="WN153" s="703"/>
      <c r="WO153" s="348"/>
      <c r="WP153" s="348"/>
      <c r="WQ153" s="700"/>
      <c r="WR153" s="700"/>
      <c r="WS153" s="594"/>
      <c r="WT153" s="701"/>
      <c r="WU153" s="701"/>
      <c r="WV153" s="700"/>
      <c r="WW153" s="700"/>
      <c r="WX153" s="594"/>
      <c r="WY153" s="701"/>
      <c r="WZ153" s="701"/>
      <c r="XA153" s="703"/>
      <c r="XB153" s="348"/>
      <c r="XC153" s="348"/>
      <c r="XD153" s="700"/>
      <c r="XE153" s="700"/>
      <c r="XF153" s="594"/>
      <c r="XG153" s="701"/>
      <c r="XH153" s="701"/>
      <c r="XI153" s="348"/>
      <c r="XJ153" s="348"/>
      <c r="XK153" s="700"/>
      <c r="XL153" s="700"/>
      <c r="XM153" s="594"/>
      <c r="XN153" s="701"/>
      <c r="XO153" s="701"/>
      <c r="XP153" s="703"/>
      <c r="XQ153" s="348"/>
      <c r="XR153" s="348"/>
      <c r="XS153" s="700"/>
      <c r="XT153" s="700"/>
      <c r="XU153" s="594"/>
      <c r="XV153" s="701"/>
      <c r="XW153" s="701"/>
      <c r="XX153" s="706"/>
      <c r="XY153" s="700"/>
      <c r="XZ153" s="700"/>
      <c r="YA153" s="594"/>
      <c r="YB153" s="701"/>
      <c r="YC153" s="701"/>
      <c r="YD153" s="703"/>
      <c r="YE153" s="348"/>
      <c r="YF153" s="348"/>
      <c r="YG153" s="700"/>
      <c r="YH153" s="700"/>
      <c r="YI153" s="594"/>
      <c r="YJ153" s="701"/>
      <c r="YK153" s="701"/>
      <c r="YL153" s="348"/>
      <c r="YM153" s="348"/>
      <c r="YN153" s="700"/>
      <c r="YO153" s="700"/>
      <c r="YP153" s="594"/>
      <c r="YQ153" s="701"/>
      <c r="YR153" s="701"/>
      <c r="YS153" s="703"/>
      <c r="YT153" s="348"/>
      <c r="YU153" s="348"/>
      <c r="YV153" s="700"/>
      <c r="YW153" s="700"/>
      <c r="YX153" s="594"/>
      <c r="YY153" s="701"/>
      <c r="YZ153" s="701"/>
      <c r="ZA153" s="594"/>
      <c r="ZB153" s="701"/>
      <c r="ZC153" s="701"/>
      <c r="ZD153" s="703"/>
      <c r="ZE153" s="348"/>
      <c r="ZF153" s="348"/>
      <c r="ZG153" s="700"/>
      <c r="ZH153" s="700"/>
      <c r="ZI153" s="594"/>
      <c r="ZJ153" s="701"/>
      <c r="ZK153" s="701"/>
      <c r="ZL153" s="348"/>
      <c r="ZM153" s="348"/>
      <c r="ZN153" s="700"/>
      <c r="ZO153" s="700"/>
      <c r="ZP153" s="594"/>
      <c r="ZQ153" s="701"/>
      <c r="ZR153" s="701"/>
      <c r="ZS153" s="703"/>
      <c r="ZT153" s="348"/>
      <c r="ZU153" s="348"/>
      <c r="ZV153" s="700"/>
      <c r="ZW153" s="700"/>
      <c r="ZX153" s="594"/>
      <c r="ZY153" s="701"/>
      <c r="ZZ153" s="701"/>
      <c r="AAA153" s="706"/>
      <c r="AAB153" s="700"/>
      <c r="AAC153" s="700"/>
      <c r="AAD153" s="594"/>
      <c r="AAE153" s="701"/>
      <c r="AAF153" s="701"/>
      <c r="AAG153" s="703"/>
      <c r="AAH153" s="348"/>
      <c r="AAI153" s="348"/>
      <c r="AAJ153" s="700"/>
      <c r="AAK153" s="700"/>
      <c r="AAL153" s="594"/>
      <c r="AAM153" s="701"/>
      <c r="AAN153" s="701"/>
      <c r="AAO153" s="348"/>
      <c r="AAP153" s="348"/>
      <c r="AAQ153" s="700"/>
      <c r="AAR153" s="700"/>
      <c r="AAS153" s="594"/>
      <c r="AAT153" s="701"/>
      <c r="AAU153" s="701"/>
      <c r="AAV153" s="703"/>
      <c r="AAW153" s="348"/>
      <c r="AAX153" s="348"/>
      <c r="AAY153" s="700"/>
      <c r="AAZ153" s="700"/>
      <c r="ABA153" s="594"/>
      <c r="ABB153" s="701"/>
      <c r="ABC153" s="701"/>
      <c r="ABD153" s="700"/>
      <c r="ABE153" s="700"/>
      <c r="ABF153" s="594"/>
      <c r="ABG153" s="701"/>
      <c r="ABH153" s="701"/>
      <c r="ABI153" s="703"/>
      <c r="ABJ153" s="348"/>
      <c r="ABK153" s="348"/>
      <c r="ABL153" s="700"/>
      <c r="ABM153" s="700"/>
      <c r="ABN153" s="594"/>
      <c r="ABO153" s="701"/>
      <c r="ABP153" s="701"/>
      <c r="ABQ153" s="348"/>
      <c r="ABR153" s="348"/>
      <c r="ABS153" s="700"/>
      <c r="ABT153" s="700"/>
      <c r="ABU153" s="594"/>
      <c r="ABV153" s="701"/>
      <c r="ABW153" s="701"/>
      <c r="ABX153" s="703"/>
      <c r="ABY153" s="348"/>
      <c r="ABZ153" s="348"/>
      <c r="ACA153" s="700"/>
      <c r="ACB153" s="700"/>
      <c r="ACC153" s="594"/>
      <c r="ACD153" s="701"/>
      <c r="ACE153" s="701"/>
      <c r="ACF153" s="706"/>
      <c r="ACG153" s="700"/>
      <c r="ACH153" s="700"/>
      <c r="ACI153" s="594"/>
      <c r="ACJ153" s="701"/>
      <c r="ACK153" s="701"/>
      <c r="ACL153" s="703"/>
      <c r="ACM153" s="348"/>
      <c r="ACN153" s="348"/>
      <c r="ACO153" s="700"/>
      <c r="ACP153" s="700"/>
      <c r="ACQ153" s="594"/>
      <c r="ACR153" s="701"/>
      <c r="ACS153" s="701"/>
      <c r="ACT153" s="348"/>
      <c r="ACU153" s="348"/>
      <c r="ACV153" s="700"/>
      <c r="ACW153" s="700"/>
      <c r="ACX153" s="594"/>
      <c r="ACY153" s="701"/>
      <c r="ACZ153" s="701"/>
      <c r="ADA153" s="703"/>
      <c r="ADB153" s="348"/>
      <c r="ADC153" s="348"/>
      <c r="ADD153" s="700"/>
      <c r="ADE153" s="700"/>
      <c r="ADF153" s="594"/>
      <c r="ADG153" s="701"/>
      <c r="ADH153" s="701"/>
      <c r="ADI153" s="594"/>
      <c r="ADJ153" s="594"/>
      <c r="ADK153" s="701"/>
      <c r="ADL153" s="701"/>
      <c r="ADM153" s="703"/>
      <c r="ADN153" s="348"/>
      <c r="ADO153" s="348"/>
      <c r="ADP153" s="700"/>
      <c r="ADQ153" s="700"/>
      <c r="ADR153" s="594"/>
      <c r="ADS153" s="701"/>
      <c r="ADT153" s="701"/>
      <c r="ADU153" s="348"/>
      <c r="ADV153" s="348"/>
      <c r="ADW153" s="700"/>
      <c r="ADX153" s="700"/>
      <c r="ADY153" s="594"/>
      <c r="ADZ153" s="701"/>
      <c r="AEA153" s="701"/>
      <c r="AEB153" s="703"/>
      <c r="AEC153" s="348"/>
      <c r="AED153" s="348"/>
      <c r="AEE153" s="700"/>
      <c r="AEF153" s="700"/>
      <c r="AEG153" s="594"/>
      <c r="AEH153" s="701"/>
      <c r="AEI153" s="701"/>
      <c r="AEJ153" s="706"/>
      <c r="AEK153" s="700"/>
      <c r="AEL153" s="700"/>
      <c r="AEM153" s="594"/>
      <c r="AEN153" s="701"/>
      <c r="AEO153" s="701"/>
      <c r="AEP153" s="703"/>
      <c r="AEQ153" s="348"/>
      <c r="AER153" s="348"/>
      <c r="AES153" s="700"/>
      <c r="AET153" s="700"/>
      <c r="AEU153" s="594"/>
      <c r="AEV153" s="701"/>
      <c r="AEW153" s="701"/>
      <c r="AEX153" s="348"/>
      <c r="AEY153" s="348"/>
      <c r="AEZ153" s="700"/>
      <c r="AFA153" s="700"/>
      <c r="AFB153" s="594"/>
      <c r="AFC153" s="701"/>
      <c r="AFD153" s="701"/>
      <c r="AFE153" s="703"/>
      <c r="AFF153" s="348"/>
      <c r="AFG153" s="348"/>
      <c r="AFH153" s="700"/>
      <c r="AFI153" s="700"/>
      <c r="AFJ153" s="594"/>
      <c r="AFK153" s="701"/>
      <c r="AFL153" s="701"/>
      <c r="AFM153" s="700"/>
      <c r="AFN153" s="700"/>
      <c r="AFO153" s="594"/>
      <c r="AFP153" s="701"/>
      <c r="AFQ153" s="701"/>
      <c r="AFR153" s="703"/>
      <c r="AFS153" s="348"/>
      <c r="AFT153" s="348"/>
      <c r="AFU153" s="700"/>
      <c r="AFV153" s="700"/>
      <c r="AFW153" s="594"/>
      <c r="AFX153" s="701"/>
      <c r="AFY153" s="701"/>
      <c r="AFZ153" s="348"/>
      <c r="AGA153" s="348"/>
      <c r="AGB153" s="700"/>
      <c r="AGC153" s="700"/>
      <c r="AGD153" s="594"/>
      <c r="AGE153" s="701"/>
      <c r="AGF153" s="701"/>
      <c r="AGG153" s="703"/>
      <c r="AGH153" s="348"/>
      <c r="AGI153" s="348"/>
      <c r="AGJ153" s="700"/>
      <c r="AGK153" s="700"/>
      <c r="AGL153" s="594"/>
      <c r="AGM153" s="701"/>
      <c r="AGN153" s="701"/>
      <c r="AGO153" s="706"/>
      <c r="AGP153" s="700"/>
      <c r="AGQ153" s="700"/>
      <c r="AGR153" s="594"/>
      <c r="AGS153" s="701"/>
      <c r="AGT153" s="701"/>
      <c r="AGU153" s="703"/>
      <c r="AGV153" s="348"/>
      <c r="AGW153" s="348"/>
      <c r="AGX153" s="700"/>
      <c r="AGY153" s="700"/>
      <c r="AGZ153" s="594"/>
      <c r="AHA153" s="701"/>
      <c r="AHB153" s="701"/>
      <c r="AHC153" s="348"/>
      <c r="AHD153" s="348"/>
      <c r="AHE153" s="700"/>
      <c r="AHF153" s="700"/>
      <c r="AHG153" s="594"/>
      <c r="AHH153" s="701"/>
      <c r="AHI153" s="701"/>
      <c r="AHJ153" s="703"/>
      <c r="AHK153" s="348"/>
      <c r="AHL153" s="348"/>
    </row>
    <row r="154" spans="1:1790" ht="43.5" hidden="1">
      <c r="A154" s="700" t="s">
        <v>1314</v>
      </c>
      <c r="B154" s="700" t="s">
        <v>1320</v>
      </c>
      <c r="C154" s="770" t="s">
        <v>1289</v>
      </c>
      <c r="D154" s="701">
        <v>46251</v>
      </c>
      <c r="E154" s="701"/>
      <c r="F154" s="703"/>
      <c r="G154" s="706" t="s">
        <v>1331</v>
      </c>
      <c r="H154" s="797"/>
      <c r="I154" s="656"/>
      <c r="J154" s="700"/>
      <c r="K154" s="594"/>
      <c r="L154" s="701"/>
      <c r="M154" s="701"/>
      <c r="N154" s="348"/>
      <c r="O154" s="348"/>
      <c r="P154" s="700"/>
      <c r="Q154" s="700"/>
      <c r="R154" s="594"/>
      <c r="S154" s="701"/>
      <c r="T154" s="701"/>
      <c r="U154" s="703"/>
      <c r="V154" s="348"/>
      <c r="W154" s="348"/>
      <c r="X154" s="700"/>
      <c r="Y154" s="700"/>
      <c r="Z154" s="594"/>
      <c r="AA154" s="701"/>
      <c r="AB154" s="701"/>
      <c r="AC154" s="706"/>
      <c r="AD154" s="700"/>
      <c r="AE154" s="700"/>
      <c r="AF154" s="594"/>
      <c r="AG154" s="701"/>
      <c r="AH154" s="701"/>
      <c r="AI154" s="703"/>
      <c r="AJ154" s="348"/>
      <c r="AK154" s="348"/>
      <c r="AL154" s="700"/>
      <c r="AM154" s="700"/>
      <c r="AN154" s="594"/>
      <c r="AO154" s="701"/>
      <c r="AP154" s="701"/>
      <c r="AQ154" s="348"/>
      <c r="AR154" s="348"/>
      <c r="AS154" s="700"/>
      <c r="AT154" s="700"/>
      <c r="AU154" s="594"/>
      <c r="AV154" s="701"/>
      <c r="AW154" s="701"/>
      <c r="AX154" s="703"/>
      <c r="AY154" s="348"/>
      <c r="AZ154" s="348"/>
      <c r="BA154" s="700"/>
      <c r="BB154" s="700"/>
      <c r="BC154" s="594"/>
      <c r="BD154" s="701"/>
      <c r="BE154" s="701"/>
      <c r="BF154" s="700"/>
      <c r="BG154" s="700"/>
      <c r="BH154" s="594"/>
      <c r="BI154" s="701"/>
      <c r="BJ154" s="701"/>
      <c r="BK154" s="703"/>
      <c r="BL154" s="348"/>
      <c r="BM154" s="348"/>
      <c r="BN154" s="700"/>
      <c r="BO154" s="700"/>
      <c r="BP154" s="594"/>
      <c r="BQ154" s="701"/>
      <c r="BR154" s="701"/>
      <c r="BS154" s="348"/>
      <c r="BT154" s="348"/>
      <c r="BU154" s="700"/>
      <c r="BV154" s="700"/>
      <c r="BW154" s="594"/>
      <c r="BX154" s="701"/>
      <c r="BY154" s="701"/>
      <c r="BZ154" s="703"/>
      <c r="CA154" s="348"/>
      <c r="CB154" s="348"/>
      <c r="CC154" s="700"/>
      <c r="CD154" s="700"/>
      <c r="CE154" s="594"/>
      <c r="CF154" s="701"/>
      <c r="CG154" s="701"/>
      <c r="CH154" s="706"/>
      <c r="CI154" s="700"/>
      <c r="CJ154" s="700"/>
      <c r="CK154" s="594"/>
      <c r="CL154" s="701"/>
      <c r="CM154" s="701"/>
      <c r="CN154" s="703"/>
      <c r="CO154" s="348"/>
      <c r="CP154" s="348"/>
      <c r="CQ154" s="700"/>
      <c r="CR154" s="700"/>
      <c r="CS154" s="594"/>
      <c r="CT154" s="701"/>
      <c r="CU154" s="701"/>
      <c r="CV154" s="348"/>
      <c r="CW154" s="348"/>
      <c r="CX154" s="700"/>
      <c r="CY154" s="700"/>
      <c r="CZ154" s="594"/>
      <c r="DA154" s="701"/>
      <c r="DB154" s="701"/>
      <c r="DC154" s="703"/>
      <c r="DD154" s="348"/>
      <c r="DE154" s="348"/>
      <c r="DF154" s="700"/>
      <c r="DG154" s="700"/>
      <c r="DH154" s="594"/>
      <c r="DI154" s="701"/>
      <c r="DJ154" s="701"/>
      <c r="DK154" s="594"/>
      <c r="DL154" s="594"/>
      <c r="DM154" s="701"/>
      <c r="DN154" s="701"/>
      <c r="DO154" s="703"/>
      <c r="DP154" s="348"/>
      <c r="DQ154" s="348"/>
      <c r="DR154" s="700"/>
      <c r="DS154" s="700"/>
      <c r="DT154" s="594"/>
      <c r="DU154" s="701"/>
      <c r="DV154" s="701"/>
      <c r="DW154" s="348"/>
      <c r="DX154" s="348"/>
      <c r="DY154" s="700"/>
      <c r="DZ154" s="700"/>
      <c r="EA154" s="594"/>
      <c r="EB154" s="701"/>
      <c r="EC154" s="701"/>
      <c r="ED154" s="703"/>
      <c r="EE154" s="348"/>
      <c r="EF154" s="348"/>
      <c r="EG154" s="700"/>
      <c r="EH154" s="700"/>
      <c r="EI154" s="594"/>
      <c r="EJ154" s="701"/>
      <c r="EK154" s="701"/>
      <c r="EL154" s="706"/>
      <c r="EM154" s="700"/>
      <c r="EN154" s="700"/>
      <c r="EO154" s="594"/>
      <c r="EP154" s="701"/>
      <c r="EQ154" s="701"/>
      <c r="ER154" s="703"/>
      <c r="ES154" s="348"/>
      <c r="ET154" s="348"/>
      <c r="EU154" s="700"/>
      <c r="EV154" s="700"/>
      <c r="EW154" s="594"/>
      <c r="EX154" s="701"/>
      <c r="EY154" s="701"/>
      <c r="EZ154" s="348"/>
      <c r="FA154" s="348"/>
      <c r="FB154" s="700"/>
      <c r="FC154" s="700"/>
      <c r="FD154" s="594"/>
      <c r="FE154" s="701"/>
      <c r="FF154" s="701"/>
      <c r="FG154" s="703"/>
      <c r="FH154" s="348"/>
      <c r="FI154" s="348"/>
      <c r="FJ154" s="700"/>
      <c r="FK154" s="700"/>
      <c r="FL154" s="594"/>
      <c r="FM154" s="701"/>
      <c r="FN154" s="701"/>
      <c r="FO154" s="700"/>
      <c r="FP154" s="700"/>
      <c r="FQ154" s="594"/>
      <c r="FR154" s="701"/>
      <c r="FS154" s="701"/>
      <c r="FT154" s="703"/>
      <c r="FU154" s="348"/>
      <c r="FV154" s="348"/>
      <c r="FW154" s="700"/>
      <c r="FX154" s="700"/>
      <c r="FY154" s="594"/>
      <c r="FZ154" s="701"/>
      <c r="GA154" s="701"/>
      <c r="GB154" s="348"/>
      <c r="GC154" s="348"/>
      <c r="GD154" s="700"/>
      <c r="GE154" s="700"/>
      <c r="GF154" s="594"/>
      <c r="GG154" s="701"/>
      <c r="GH154" s="701"/>
      <c r="GI154" s="703"/>
      <c r="GJ154" s="348"/>
      <c r="GK154" s="348"/>
      <c r="GL154" s="700"/>
      <c r="GM154" s="700"/>
      <c r="GN154" s="594"/>
      <c r="GO154" s="701"/>
      <c r="GP154" s="701"/>
      <c r="GQ154" s="706"/>
      <c r="GR154" s="700"/>
      <c r="GS154" s="700"/>
      <c r="GT154" s="594"/>
      <c r="GU154" s="701"/>
      <c r="GV154" s="701"/>
      <c r="GW154" s="703"/>
      <c r="GX154" s="348"/>
      <c r="GY154" s="348"/>
      <c r="GZ154" s="700"/>
      <c r="HA154" s="700"/>
      <c r="HB154" s="594"/>
      <c r="HC154" s="701"/>
      <c r="HD154" s="701"/>
      <c r="HE154" s="348"/>
      <c r="HF154" s="348"/>
      <c r="HG154" s="700"/>
      <c r="HH154" s="700"/>
      <c r="HI154" s="594"/>
      <c r="HJ154" s="701"/>
      <c r="HK154" s="701"/>
      <c r="HL154" s="703"/>
      <c r="HM154" s="348"/>
      <c r="HN154" s="348"/>
      <c r="HO154" s="700"/>
      <c r="HP154" s="700"/>
      <c r="HQ154" s="594"/>
      <c r="HR154" s="701"/>
      <c r="HS154" s="701"/>
      <c r="HT154" s="594"/>
      <c r="HU154" s="701"/>
      <c r="HV154" s="701"/>
      <c r="HW154" s="703"/>
      <c r="HX154" s="348"/>
      <c r="HY154" s="348"/>
      <c r="HZ154" s="700"/>
      <c r="IA154" s="700"/>
      <c r="IB154" s="594"/>
      <c r="IC154" s="701"/>
      <c r="ID154" s="701"/>
      <c r="IE154" s="348"/>
      <c r="IF154" s="348"/>
      <c r="IG154" s="700"/>
      <c r="IH154" s="700"/>
      <c r="II154" s="594"/>
      <c r="IJ154" s="701"/>
      <c r="IK154" s="701"/>
      <c r="IL154" s="703"/>
      <c r="IM154" s="348"/>
      <c r="IN154" s="348"/>
      <c r="IO154" s="700"/>
      <c r="IP154" s="700"/>
      <c r="IQ154" s="594"/>
      <c r="IR154" s="701"/>
      <c r="IS154" s="701"/>
      <c r="IT154" s="706"/>
      <c r="IU154" s="700"/>
      <c r="IV154" s="700"/>
      <c r="IW154" s="594"/>
      <c r="IX154" s="701"/>
      <c r="IY154" s="701"/>
      <c r="IZ154" s="703"/>
      <c r="JA154" s="348"/>
      <c r="JB154" s="348"/>
      <c r="JC154" s="700"/>
      <c r="JD154" s="700"/>
      <c r="JE154" s="594"/>
      <c r="JF154" s="701"/>
      <c r="JG154" s="701"/>
      <c r="JH154" s="348"/>
      <c r="JI154" s="348"/>
      <c r="JJ154" s="700"/>
      <c r="JK154" s="700"/>
      <c r="JL154" s="594"/>
      <c r="JM154" s="701"/>
      <c r="JN154" s="701"/>
      <c r="JO154" s="703"/>
      <c r="JP154" s="348"/>
      <c r="JQ154" s="348"/>
      <c r="JR154" s="700"/>
      <c r="JS154" s="700"/>
      <c r="JT154" s="594"/>
      <c r="JU154" s="701"/>
      <c r="JV154" s="701"/>
      <c r="JW154" s="700"/>
      <c r="JX154" s="700"/>
      <c r="JY154" s="594"/>
      <c r="JZ154" s="701"/>
      <c r="KA154" s="701"/>
      <c r="KB154" s="703"/>
      <c r="KC154" s="348"/>
      <c r="KD154" s="348"/>
      <c r="KE154" s="700"/>
      <c r="KF154" s="700"/>
      <c r="KG154" s="594"/>
      <c r="KH154" s="701"/>
      <c r="KI154" s="701"/>
      <c r="KJ154" s="348"/>
      <c r="KK154" s="348"/>
      <c r="KL154" s="700"/>
      <c r="KM154" s="700"/>
      <c r="KN154" s="594"/>
      <c r="KO154" s="701"/>
      <c r="KP154" s="701"/>
      <c r="KQ154" s="703"/>
      <c r="KR154" s="348"/>
      <c r="KS154" s="348"/>
      <c r="KT154" s="700"/>
      <c r="KU154" s="700"/>
      <c r="KV154" s="594"/>
      <c r="KW154" s="701"/>
      <c r="KX154" s="701"/>
      <c r="KY154" s="706"/>
      <c r="KZ154" s="700"/>
      <c r="LA154" s="700"/>
      <c r="LB154" s="594"/>
      <c r="LC154" s="701"/>
      <c r="LD154" s="701"/>
      <c r="LE154" s="703"/>
      <c r="LF154" s="348"/>
      <c r="LG154" s="348"/>
      <c r="LH154" s="700"/>
      <c r="LI154" s="700"/>
      <c r="LJ154" s="594"/>
      <c r="LK154" s="701"/>
      <c r="LL154" s="701"/>
      <c r="LM154" s="348"/>
      <c r="LN154" s="348"/>
      <c r="LO154" s="700"/>
      <c r="LP154" s="700"/>
      <c r="LQ154" s="594"/>
      <c r="LR154" s="701"/>
      <c r="LS154" s="701"/>
      <c r="LT154" s="703"/>
      <c r="LU154" s="348"/>
      <c r="LV154" s="348"/>
      <c r="LW154" s="700"/>
      <c r="LX154" s="700"/>
      <c r="LY154" s="594"/>
      <c r="LZ154" s="701"/>
      <c r="MA154" s="701"/>
      <c r="MB154" s="594"/>
      <c r="MC154" s="594"/>
      <c r="MD154" s="701"/>
      <c r="ME154" s="701"/>
      <c r="MF154" s="703"/>
      <c r="MG154" s="348"/>
      <c r="MH154" s="348"/>
      <c r="MI154" s="700"/>
      <c r="MJ154" s="700"/>
      <c r="MK154" s="594"/>
      <c r="ML154" s="701"/>
      <c r="MM154" s="701"/>
      <c r="MN154" s="348"/>
      <c r="MO154" s="348"/>
      <c r="MP154" s="700"/>
      <c r="MQ154" s="700"/>
      <c r="MR154" s="594"/>
      <c r="MS154" s="701"/>
      <c r="MT154" s="701"/>
      <c r="MU154" s="703"/>
      <c r="MV154" s="348"/>
      <c r="MW154" s="348"/>
      <c r="MX154" s="700"/>
      <c r="MY154" s="700"/>
      <c r="MZ154" s="594"/>
      <c r="NA154" s="701"/>
      <c r="NB154" s="701"/>
      <c r="NC154" s="706"/>
      <c r="ND154" s="700"/>
      <c r="NE154" s="700"/>
      <c r="NF154" s="594"/>
      <c r="NG154" s="701"/>
      <c r="NH154" s="701"/>
      <c r="NI154" s="703"/>
      <c r="NJ154" s="348"/>
      <c r="NK154" s="348"/>
      <c r="NL154" s="700"/>
      <c r="NM154" s="700"/>
      <c r="NN154" s="594"/>
      <c r="NO154" s="701"/>
      <c r="NP154" s="701"/>
      <c r="NQ154" s="348"/>
      <c r="NR154" s="348"/>
      <c r="NS154" s="700"/>
      <c r="NT154" s="700"/>
      <c r="NU154" s="594"/>
      <c r="NV154" s="701"/>
      <c r="NW154" s="701"/>
      <c r="NX154" s="703"/>
      <c r="NY154" s="348"/>
      <c r="NZ154" s="348"/>
      <c r="OA154" s="700"/>
      <c r="OB154" s="700"/>
      <c r="OC154" s="594"/>
      <c r="OD154" s="701"/>
      <c r="OE154" s="701"/>
      <c r="OF154" s="700"/>
      <c r="OG154" s="700"/>
      <c r="OH154" s="594"/>
      <c r="OI154" s="701"/>
      <c r="OJ154" s="701"/>
      <c r="OK154" s="703"/>
      <c r="OL154" s="348"/>
      <c r="OM154" s="348"/>
      <c r="ON154" s="700"/>
      <c r="OO154" s="700"/>
      <c r="OP154" s="594"/>
      <c r="OQ154" s="701"/>
      <c r="OR154" s="701"/>
      <c r="OS154" s="348"/>
      <c r="OT154" s="348"/>
      <c r="OU154" s="700"/>
      <c r="OV154" s="700"/>
      <c r="OW154" s="594"/>
      <c r="OX154" s="701"/>
      <c r="OY154" s="701"/>
      <c r="OZ154" s="703"/>
      <c r="PA154" s="348"/>
      <c r="PB154" s="348"/>
      <c r="PC154" s="700"/>
      <c r="PD154" s="700"/>
      <c r="PE154" s="594"/>
      <c r="PF154" s="701"/>
      <c r="PG154" s="701"/>
      <c r="PH154" s="706"/>
      <c r="PI154" s="700"/>
      <c r="PJ154" s="700"/>
      <c r="PK154" s="594"/>
      <c r="PL154" s="701"/>
      <c r="PM154" s="701"/>
      <c r="PN154" s="703"/>
      <c r="PO154" s="348"/>
      <c r="PP154" s="348"/>
      <c r="PQ154" s="700"/>
      <c r="PR154" s="700"/>
      <c r="PS154" s="594"/>
      <c r="PT154" s="701"/>
      <c r="PU154" s="701"/>
      <c r="PV154" s="348"/>
      <c r="PW154" s="348"/>
      <c r="PX154" s="700"/>
      <c r="PY154" s="700"/>
      <c r="PZ154" s="594"/>
      <c r="QA154" s="701"/>
      <c r="QB154" s="701"/>
      <c r="QC154" s="703"/>
      <c r="QD154" s="348"/>
      <c r="QE154" s="348"/>
      <c r="QF154" s="700"/>
      <c r="QG154" s="700"/>
      <c r="QH154" s="594"/>
      <c r="QI154" s="701"/>
      <c r="QJ154" s="701"/>
      <c r="QK154" s="771"/>
      <c r="QL154" s="703"/>
      <c r="QM154" s="348"/>
      <c r="QN154" s="348"/>
      <c r="QO154" s="700"/>
      <c r="QP154" s="700"/>
      <c r="QQ154" s="594"/>
      <c r="QR154" s="701"/>
      <c r="QS154" s="701"/>
      <c r="QT154" s="348"/>
      <c r="QU154" s="348"/>
      <c r="QV154" s="700"/>
      <c r="QW154" s="700"/>
      <c r="QX154" s="594"/>
      <c r="QY154" s="701"/>
      <c r="QZ154" s="701"/>
      <c r="RA154" s="703"/>
      <c r="RB154" s="348"/>
      <c r="RC154" s="348"/>
      <c r="RD154" s="700"/>
      <c r="RE154" s="700"/>
      <c r="RF154" s="594"/>
      <c r="RG154" s="701"/>
      <c r="RH154" s="701"/>
      <c r="RI154" s="706"/>
      <c r="RJ154" s="700"/>
      <c r="RK154" s="700"/>
      <c r="RL154" s="594"/>
      <c r="RM154" s="701"/>
      <c r="RN154" s="701"/>
      <c r="RO154" s="703"/>
      <c r="RP154" s="348"/>
      <c r="RQ154" s="348"/>
      <c r="RR154" s="700"/>
      <c r="RS154" s="700"/>
      <c r="RT154" s="594"/>
      <c r="RU154" s="701"/>
      <c r="RV154" s="701"/>
      <c r="RW154" s="348"/>
      <c r="RX154" s="348"/>
      <c r="RY154" s="700"/>
      <c r="RZ154" s="700"/>
      <c r="SA154" s="594"/>
      <c r="SB154" s="701"/>
      <c r="SC154" s="701"/>
      <c r="SD154" s="703"/>
      <c r="SE154" s="348"/>
      <c r="SF154" s="348"/>
      <c r="SG154" s="700"/>
      <c r="SH154" s="700"/>
      <c r="SI154" s="594"/>
      <c r="SJ154" s="701"/>
      <c r="SK154" s="701"/>
      <c r="SL154" s="700"/>
      <c r="SM154" s="700"/>
      <c r="SN154" s="594"/>
      <c r="SO154" s="701"/>
      <c r="SP154" s="701"/>
      <c r="SQ154" s="703"/>
      <c r="SR154" s="348"/>
      <c r="SS154" s="348"/>
      <c r="ST154" s="700"/>
      <c r="SU154" s="700"/>
      <c r="SV154" s="594"/>
      <c r="SW154" s="701"/>
      <c r="SX154" s="701"/>
      <c r="SY154" s="348"/>
      <c r="SZ154" s="348"/>
      <c r="TA154" s="700"/>
      <c r="TB154" s="700"/>
      <c r="TC154" s="594"/>
      <c r="TD154" s="701"/>
      <c r="TE154" s="701"/>
      <c r="TF154" s="703"/>
      <c r="TG154" s="348"/>
      <c r="TH154" s="348"/>
      <c r="TI154" s="700"/>
      <c r="TJ154" s="700"/>
      <c r="TK154" s="594"/>
      <c r="TL154" s="701"/>
      <c r="TM154" s="701"/>
      <c r="TN154" s="706"/>
      <c r="TO154" s="700"/>
      <c r="TP154" s="700"/>
      <c r="TQ154" s="594"/>
      <c r="TR154" s="701"/>
      <c r="TS154" s="701"/>
      <c r="TT154" s="703"/>
      <c r="TU154" s="348"/>
      <c r="TV154" s="348"/>
      <c r="TW154" s="700"/>
      <c r="TX154" s="700"/>
      <c r="TY154" s="594"/>
      <c r="TZ154" s="701"/>
      <c r="UA154" s="701"/>
      <c r="UB154" s="348"/>
      <c r="UC154" s="348"/>
      <c r="UD154" s="700"/>
      <c r="UE154" s="700"/>
      <c r="UF154" s="594"/>
      <c r="UG154" s="701"/>
      <c r="UH154" s="701"/>
      <c r="UI154" s="703"/>
      <c r="UJ154" s="348"/>
      <c r="UK154" s="348"/>
      <c r="UL154" s="700"/>
      <c r="UM154" s="700"/>
      <c r="UN154" s="594"/>
      <c r="UO154" s="701"/>
      <c r="UP154" s="701"/>
      <c r="UQ154" s="594"/>
      <c r="UR154" s="594"/>
      <c r="US154" s="701"/>
      <c r="UT154" s="701"/>
      <c r="UU154" s="703"/>
      <c r="UV154" s="348"/>
      <c r="UW154" s="348"/>
      <c r="UX154" s="700"/>
      <c r="UY154" s="700"/>
      <c r="UZ154" s="594"/>
      <c r="VA154" s="701"/>
      <c r="VB154" s="701"/>
      <c r="VC154" s="348"/>
      <c r="VD154" s="348"/>
      <c r="VE154" s="700"/>
      <c r="VF154" s="700"/>
      <c r="VG154" s="594"/>
      <c r="VH154" s="701"/>
      <c r="VI154" s="701"/>
      <c r="VJ154" s="703"/>
      <c r="VK154" s="348"/>
      <c r="VL154" s="348"/>
      <c r="VM154" s="700"/>
      <c r="VN154" s="700"/>
      <c r="VO154" s="594"/>
      <c r="VP154" s="701"/>
      <c r="VQ154" s="701"/>
      <c r="VR154" s="706"/>
      <c r="VS154" s="700"/>
      <c r="VT154" s="700"/>
      <c r="VU154" s="594"/>
      <c r="VV154" s="701"/>
      <c r="VW154" s="701"/>
      <c r="VX154" s="703"/>
      <c r="VY154" s="348"/>
      <c r="VZ154" s="348"/>
      <c r="WA154" s="700"/>
      <c r="WB154" s="700"/>
      <c r="WC154" s="594"/>
      <c r="WD154" s="701"/>
      <c r="WE154" s="701"/>
      <c r="WF154" s="348"/>
      <c r="WG154" s="348"/>
      <c r="WH154" s="700"/>
      <c r="WI154" s="700"/>
      <c r="WJ154" s="594"/>
      <c r="WK154" s="701"/>
      <c r="WL154" s="701"/>
      <c r="WM154" s="703"/>
      <c r="WN154" s="348"/>
      <c r="WO154" s="348"/>
      <c r="WP154" s="700"/>
      <c r="WQ154" s="700"/>
      <c r="WR154" s="594"/>
      <c r="WS154" s="701"/>
      <c r="WT154" s="701"/>
      <c r="WU154" s="700"/>
      <c r="WV154" s="700"/>
      <c r="WW154" s="594"/>
      <c r="WX154" s="701"/>
      <c r="WY154" s="701"/>
      <c r="WZ154" s="703"/>
      <c r="XA154" s="348"/>
      <c r="XB154" s="348"/>
      <c r="XC154" s="700"/>
      <c r="XD154" s="700"/>
      <c r="XE154" s="594"/>
      <c r="XF154" s="701"/>
      <c r="XG154" s="701"/>
      <c r="XH154" s="348"/>
      <c r="XI154" s="348"/>
      <c r="XJ154" s="700"/>
      <c r="XK154" s="700"/>
      <c r="XL154" s="594"/>
      <c r="XM154" s="701"/>
      <c r="XN154" s="701"/>
      <c r="XO154" s="703"/>
      <c r="XP154" s="348"/>
      <c r="XQ154" s="348"/>
      <c r="XR154" s="700"/>
      <c r="XS154" s="700"/>
      <c r="XT154" s="594"/>
      <c r="XU154" s="701"/>
      <c r="XV154" s="701"/>
      <c r="XW154" s="706"/>
      <c r="XX154" s="700"/>
      <c r="XY154" s="700"/>
      <c r="XZ154" s="594"/>
      <c r="YA154" s="701"/>
      <c r="YB154" s="701"/>
      <c r="YC154" s="703"/>
      <c r="YD154" s="348"/>
      <c r="YE154" s="348"/>
      <c r="YF154" s="700"/>
      <c r="YG154" s="700"/>
      <c r="YH154" s="594"/>
      <c r="YI154" s="701"/>
      <c r="YJ154" s="701"/>
      <c r="YK154" s="348"/>
      <c r="YL154" s="348"/>
      <c r="YM154" s="700"/>
      <c r="YN154" s="700"/>
      <c r="YO154" s="594"/>
      <c r="YP154" s="701"/>
      <c r="YQ154" s="701"/>
      <c r="YR154" s="703"/>
      <c r="YS154" s="348"/>
      <c r="YT154" s="348"/>
      <c r="YU154" s="700"/>
      <c r="YV154" s="700"/>
      <c r="YW154" s="594"/>
      <c r="YX154" s="701"/>
      <c r="YY154" s="701"/>
      <c r="YZ154" s="594"/>
      <c r="ZA154" s="701"/>
      <c r="ZB154" s="701"/>
      <c r="ZC154" s="703"/>
      <c r="ZD154" s="348"/>
      <c r="ZE154" s="348"/>
      <c r="ZF154" s="700"/>
      <c r="ZG154" s="700"/>
      <c r="ZH154" s="594"/>
      <c r="ZI154" s="701"/>
      <c r="ZJ154" s="701"/>
      <c r="ZK154" s="348"/>
      <c r="ZL154" s="348"/>
      <c r="ZM154" s="700"/>
      <c r="ZN154" s="700"/>
      <c r="ZO154" s="594"/>
      <c r="ZP154" s="701"/>
      <c r="ZQ154" s="701"/>
      <c r="ZR154" s="703"/>
      <c r="ZS154" s="348"/>
      <c r="ZT154" s="348"/>
      <c r="ZU154" s="700"/>
      <c r="ZV154" s="700"/>
      <c r="ZW154" s="594"/>
      <c r="ZX154" s="701"/>
      <c r="ZY154" s="701"/>
      <c r="ZZ154" s="706"/>
      <c r="AAA154" s="700"/>
      <c r="AAB154" s="700"/>
      <c r="AAC154" s="594"/>
      <c r="AAD154" s="701"/>
      <c r="AAE154" s="701"/>
      <c r="AAF154" s="703"/>
      <c r="AAG154" s="348"/>
      <c r="AAH154" s="348"/>
      <c r="AAI154" s="700"/>
      <c r="AAJ154" s="700"/>
      <c r="AAK154" s="594"/>
      <c r="AAL154" s="701"/>
      <c r="AAM154" s="701"/>
      <c r="AAN154" s="348"/>
      <c r="AAO154" s="348"/>
      <c r="AAP154" s="700"/>
      <c r="AAQ154" s="700"/>
      <c r="AAR154" s="594"/>
      <c r="AAS154" s="701"/>
      <c r="AAT154" s="701"/>
      <c r="AAU154" s="703"/>
      <c r="AAV154" s="348"/>
      <c r="AAW154" s="348"/>
      <c r="AAX154" s="700"/>
      <c r="AAY154" s="700"/>
      <c r="AAZ154" s="594"/>
      <c r="ABA154" s="701"/>
      <c r="ABB154" s="701"/>
      <c r="ABC154" s="700"/>
      <c r="ABD154" s="700"/>
      <c r="ABE154" s="594"/>
      <c r="ABF154" s="701"/>
      <c r="ABG154" s="701"/>
      <c r="ABH154" s="703"/>
      <c r="ABI154" s="348"/>
      <c r="ABJ154" s="348"/>
      <c r="ABK154" s="700"/>
      <c r="ABL154" s="700"/>
      <c r="ABM154" s="594"/>
      <c r="ABN154" s="701"/>
      <c r="ABO154" s="701"/>
      <c r="ABP154" s="348"/>
      <c r="ABQ154" s="348"/>
      <c r="ABR154" s="700"/>
      <c r="ABS154" s="700"/>
      <c r="ABT154" s="594"/>
      <c r="ABU154" s="701"/>
      <c r="ABV154" s="701"/>
      <c r="ABW154" s="703"/>
      <c r="ABX154" s="348"/>
      <c r="ABY154" s="348"/>
      <c r="ABZ154" s="700"/>
      <c r="ACA154" s="700"/>
      <c r="ACB154" s="594"/>
      <c r="ACC154" s="701"/>
      <c r="ACD154" s="701"/>
      <c r="ACE154" s="706"/>
      <c r="ACF154" s="700"/>
      <c r="ACG154" s="700"/>
      <c r="ACH154" s="594"/>
      <c r="ACI154" s="701"/>
      <c r="ACJ154" s="701"/>
      <c r="ACK154" s="703"/>
      <c r="ACL154" s="348"/>
      <c r="ACM154" s="348"/>
      <c r="ACN154" s="700"/>
      <c r="ACO154" s="700"/>
      <c r="ACP154" s="594"/>
      <c r="ACQ154" s="701"/>
      <c r="ACR154" s="701"/>
      <c r="ACS154" s="348"/>
      <c r="ACT154" s="348"/>
      <c r="ACU154" s="700"/>
      <c r="ACV154" s="700"/>
      <c r="ACW154" s="594"/>
      <c r="ACX154" s="701"/>
      <c r="ACY154" s="701"/>
      <c r="ACZ154" s="703"/>
      <c r="ADA154" s="348"/>
      <c r="ADB154" s="348"/>
      <c r="ADC154" s="700"/>
      <c r="ADD154" s="700"/>
      <c r="ADE154" s="594"/>
      <c r="ADF154" s="701"/>
      <c r="ADG154" s="701"/>
      <c r="ADH154" s="594"/>
      <c r="ADI154" s="594"/>
      <c r="ADJ154" s="701"/>
      <c r="ADK154" s="701"/>
      <c r="ADL154" s="703"/>
      <c r="ADM154" s="348"/>
      <c r="ADN154" s="348"/>
      <c r="ADO154" s="700"/>
      <c r="ADP154" s="700"/>
      <c r="ADQ154" s="594"/>
      <c r="ADR154" s="701"/>
      <c r="ADS154" s="701"/>
      <c r="ADT154" s="348"/>
      <c r="ADU154" s="348"/>
      <c r="ADV154" s="700"/>
      <c r="ADW154" s="700"/>
      <c r="ADX154" s="594"/>
      <c r="ADY154" s="701"/>
      <c r="ADZ154" s="701"/>
      <c r="AEA154" s="703"/>
      <c r="AEB154" s="348"/>
      <c r="AEC154" s="348"/>
      <c r="AED154" s="700"/>
      <c r="AEE154" s="700"/>
      <c r="AEF154" s="594"/>
      <c r="AEG154" s="701"/>
      <c r="AEH154" s="701"/>
      <c r="AEI154" s="706"/>
      <c r="AEJ154" s="700"/>
      <c r="AEK154" s="700"/>
      <c r="AEL154" s="594"/>
      <c r="AEM154" s="701"/>
      <c r="AEN154" s="701"/>
      <c r="AEO154" s="703"/>
      <c r="AEP154" s="348"/>
      <c r="AEQ154" s="348"/>
      <c r="AER154" s="700"/>
      <c r="AES154" s="700"/>
      <c r="AET154" s="594"/>
      <c r="AEU154" s="701"/>
      <c r="AEV154" s="701"/>
      <c r="AEW154" s="348"/>
      <c r="AEX154" s="348"/>
      <c r="AEY154" s="700"/>
      <c r="AEZ154" s="700"/>
      <c r="AFA154" s="594"/>
      <c r="AFB154" s="701"/>
      <c r="AFC154" s="701"/>
      <c r="AFD154" s="703"/>
      <c r="AFE154" s="348"/>
      <c r="AFF154" s="348"/>
      <c r="AFG154" s="700"/>
      <c r="AFH154" s="700"/>
      <c r="AFI154" s="594"/>
      <c r="AFJ154" s="701"/>
      <c r="AFK154" s="701"/>
      <c r="AFL154" s="700"/>
      <c r="AFM154" s="700"/>
      <c r="AFN154" s="594"/>
      <c r="AFO154" s="701"/>
      <c r="AFP154" s="701"/>
      <c r="AFQ154" s="703"/>
      <c r="AFR154" s="348"/>
      <c r="AFS154" s="348"/>
      <c r="AFT154" s="700"/>
      <c r="AFU154" s="700"/>
      <c r="AFV154" s="594"/>
      <c r="AFW154" s="701"/>
      <c r="AFX154" s="701"/>
      <c r="AFY154" s="348"/>
      <c r="AFZ154" s="348"/>
      <c r="AGA154" s="700"/>
      <c r="AGB154" s="700"/>
      <c r="AGC154" s="594"/>
      <c r="AGD154" s="701"/>
      <c r="AGE154" s="701"/>
      <c r="AGF154" s="703"/>
      <c r="AGG154" s="348"/>
      <c r="AGH154" s="348"/>
      <c r="AGI154" s="700"/>
      <c r="AGJ154" s="700"/>
      <c r="AGK154" s="594"/>
      <c r="AGL154" s="701"/>
      <c r="AGM154" s="701"/>
      <c r="AGN154" s="706"/>
      <c r="AGO154" s="700"/>
      <c r="AGP154" s="700"/>
      <c r="AGQ154" s="594"/>
      <c r="AGR154" s="701"/>
      <c r="AGS154" s="701"/>
      <c r="AGT154" s="703"/>
      <c r="AGU154" s="348"/>
      <c r="AGV154" s="348"/>
      <c r="AGW154" s="700"/>
      <c r="AGX154" s="700"/>
      <c r="AGY154" s="594"/>
      <c r="AGZ154" s="701"/>
      <c r="AHA154" s="701"/>
      <c r="AHB154" s="348"/>
      <c r="AHC154" s="348"/>
      <c r="AHD154" s="700"/>
      <c r="AHE154" s="700"/>
      <c r="AHF154" s="594"/>
      <c r="AHG154" s="701"/>
      <c r="AHH154" s="701"/>
      <c r="AHI154" s="703"/>
      <c r="AHJ154" s="348"/>
      <c r="AHK154" s="348"/>
      <c r="AHL154" s="700"/>
      <c r="AHM154" s="700"/>
      <c r="AHN154" s="594"/>
      <c r="AHO154" s="701"/>
      <c r="AHP154" s="701"/>
      <c r="AHQ154" s="703"/>
      <c r="AHR154" s="348"/>
      <c r="AHS154" s="348"/>
      <c r="AHT154" s="700"/>
      <c r="AHU154" s="700"/>
      <c r="AHV154" s="594"/>
      <c r="AHW154" s="701"/>
      <c r="AHX154" s="701"/>
      <c r="AHY154" s="348"/>
      <c r="AHZ154" s="348"/>
      <c r="AIA154" s="700"/>
      <c r="AIB154" s="700"/>
      <c r="AIC154" s="594"/>
      <c r="AID154" s="701"/>
      <c r="AIE154" s="701"/>
      <c r="AIF154" s="703"/>
      <c r="AIG154" s="348"/>
      <c r="AIH154" s="348"/>
      <c r="AII154" s="700"/>
      <c r="AIJ154" s="700"/>
      <c r="AIK154" s="594"/>
      <c r="AIL154" s="701"/>
      <c r="AIM154" s="701"/>
      <c r="AIN154" s="706"/>
      <c r="AIO154" s="700"/>
      <c r="AIP154" s="700"/>
      <c r="AIQ154" s="594"/>
      <c r="AIR154" s="701"/>
      <c r="AIS154" s="701"/>
      <c r="AIT154" s="703"/>
      <c r="AIU154" s="348"/>
      <c r="AIV154" s="348"/>
      <c r="AIW154" s="700"/>
      <c r="AIX154" s="700"/>
      <c r="AIY154" s="594"/>
      <c r="AIZ154" s="701"/>
      <c r="AJA154" s="701"/>
      <c r="AJB154" s="348"/>
      <c r="AJC154" s="348"/>
      <c r="AJD154" s="700"/>
      <c r="AJE154" s="700"/>
      <c r="AJF154" s="594"/>
      <c r="AJG154" s="701"/>
      <c r="AJH154" s="701"/>
      <c r="AJI154" s="703"/>
      <c r="AJJ154" s="348"/>
      <c r="AJK154" s="348"/>
      <c r="AJL154" s="700"/>
      <c r="AJM154" s="700"/>
      <c r="AJN154" s="594"/>
      <c r="AJO154" s="701"/>
      <c r="AJP154" s="701"/>
      <c r="AJQ154" s="700"/>
      <c r="AJR154" s="700"/>
      <c r="AJS154" s="594"/>
      <c r="AJT154" s="701"/>
      <c r="AJU154" s="701"/>
      <c r="AJV154" s="703"/>
      <c r="AJW154" s="348"/>
      <c r="AJX154" s="348"/>
      <c r="AJY154" s="700"/>
      <c r="AJZ154" s="700"/>
      <c r="AKA154" s="594"/>
      <c r="AKB154" s="701"/>
      <c r="AKC154" s="701"/>
      <c r="AKD154" s="348"/>
      <c r="AKE154" s="348"/>
      <c r="AKF154" s="700"/>
      <c r="AKG154" s="700"/>
      <c r="AKH154" s="594"/>
      <c r="AKI154" s="701"/>
      <c r="AKJ154" s="701"/>
      <c r="AKK154" s="703"/>
      <c r="AKL154" s="348"/>
      <c r="AKM154" s="348"/>
      <c r="AKN154" s="700"/>
      <c r="AKO154" s="700"/>
      <c r="AKP154" s="594"/>
      <c r="AKQ154" s="701"/>
      <c r="AKR154" s="701"/>
      <c r="AKS154" s="706"/>
      <c r="AKT154" s="700"/>
      <c r="AKU154" s="700"/>
      <c r="AKV154" s="594"/>
      <c r="AKW154" s="701"/>
      <c r="AKX154" s="701"/>
      <c r="AKY154" s="703"/>
      <c r="AKZ154" s="348"/>
      <c r="ALA154" s="348"/>
      <c r="ALB154" s="700"/>
      <c r="ALC154" s="700"/>
      <c r="ALD154" s="594"/>
      <c r="ALE154" s="701"/>
      <c r="ALF154" s="701"/>
      <c r="ALG154" s="348"/>
      <c r="ALH154" s="348"/>
      <c r="ALI154" s="700"/>
      <c r="ALJ154" s="700"/>
      <c r="ALK154" s="594"/>
      <c r="ALL154" s="701"/>
      <c r="ALM154" s="701"/>
      <c r="ALN154" s="703"/>
      <c r="ALO154" s="348"/>
      <c r="ALP154" s="348"/>
      <c r="ALQ154" s="700"/>
      <c r="ALR154" s="700"/>
      <c r="ALS154" s="594"/>
      <c r="ALT154" s="701"/>
      <c r="ALU154" s="701"/>
      <c r="ALV154" s="594"/>
      <c r="ALW154" s="594"/>
      <c r="ALX154" s="701"/>
      <c r="ALY154" s="701"/>
      <c r="ALZ154" s="703"/>
      <c r="AMA154" s="348"/>
      <c r="AMB154" s="348"/>
      <c r="AMC154" s="700"/>
      <c r="AMD154" s="700"/>
      <c r="AME154" s="594"/>
      <c r="AMF154" s="701"/>
      <c r="AMG154" s="701"/>
      <c r="AMH154" s="348"/>
      <c r="AMI154" s="348"/>
      <c r="AMJ154" s="700"/>
      <c r="AMK154" s="700"/>
      <c r="AML154" s="594"/>
      <c r="AMM154" s="701"/>
      <c r="AMN154" s="701"/>
      <c r="AMO154" s="703"/>
      <c r="AMP154" s="348"/>
      <c r="AMQ154" s="348"/>
      <c r="AMR154" s="700"/>
      <c r="AMS154" s="700"/>
      <c r="AMT154" s="594"/>
      <c r="AMU154" s="701"/>
      <c r="AMV154" s="701"/>
      <c r="AMW154" s="706"/>
      <c r="AMX154" s="700"/>
      <c r="AMY154" s="700"/>
      <c r="AMZ154" s="594"/>
      <c r="ANA154" s="701"/>
      <c r="ANB154" s="701"/>
      <c r="ANC154" s="703"/>
      <c r="AND154" s="348"/>
      <c r="ANE154" s="348"/>
      <c r="ANF154" s="700"/>
      <c r="ANG154" s="700"/>
      <c r="ANH154" s="594"/>
      <c r="ANI154" s="701"/>
      <c r="ANJ154" s="701"/>
      <c r="ANK154" s="348"/>
      <c r="ANL154" s="348"/>
      <c r="ANM154" s="700"/>
      <c r="ANN154" s="700"/>
      <c r="ANO154" s="594"/>
      <c r="ANP154" s="701"/>
      <c r="ANQ154" s="701"/>
      <c r="ANR154" s="703"/>
      <c r="ANS154" s="348"/>
      <c r="ANT154" s="348"/>
      <c r="ANU154" s="700"/>
      <c r="ANV154" s="700"/>
      <c r="ANW154" s="594"/>
      <c r="ANX154" s="701"/>
      <c r="ANY154" s="701"/>
      <c r="ANZ154" s="700"/>
      <c r="AOA154" s="700"/>
      <c r="AOB154" s="594"/>
      <c r="AOC154" s="701"/>
      <c r="AOD154" s="701"/>
      <c r="AOE154" s="703"/>
      <c r="AOF154" s="348"/>
      <c r="AOG154" s="348"/>
      <c r="AOH154" s="700"/>
      <c r="AOI154" s="700"/>
      <c r="AOJ154" s="594"/>
      <c r="AOK154" s="701"/>
      <c r="AOL154" s="701"/>
      <c r="AOM154" s="348"/>
      <c r="AON154" s="348"/>
      <c r="AOO154" s="700"/>
      <c r="AOP154" s="700"/>
      <c r="AOQ154" s="594"/>
      <c r="AOR154" s="701"/>
      <c r="AOS154" s="701"/>
      <c r="AOT154" s="703"/>
      <c r="AOU154" s="348"/>
      <c r="AOV154" s="348"/>
      <c r="AOW154" s="700"/>
      <c r="AOX154" s="700"/>
      <c r="AOY154" s="594"/>
      <c r="AOZ154" s="701"/>
      <c r="APA154" s="701"/>
      <c r="APB154" s="706"/>
      <c r="APC154" s="700"/>
      <c r="APD154" s="700"/>
      <c r="APE154" s="594"/>
      <c r="APF154" s="701"/>
      <c r="APG154" s="701"/>
      <c r="APH154" s="703"/>
      <c r="API154" s="348"/>
      <c r="APJ154" s="348"/>
      <c r="APK154" s="700"/>
      <c r="APL154" s="700"/>
      <c r="APM154" s="594"/>
      <c r="APN154" s="701"/>
      <c r="APO154" s="701"/>
      <c r="APP154" s="348"/>
      <c r="APQ154" s="348"/>
      <c r="APR154" s="700"/>
      <c r="APS154" s="700"/>
      <c r="APT154" s="594"/>
      <c r="APU154" s="701"/>
      <c r="APV154" s="701"/>
      <c r="APW154" s="703"/>
      <c r="APX154" s="348"/>
      <c r="APY154" s="348"/>
      <c r="APZ154" s="700"/>
      <c r="AQA154" s="700"/>
      <c r="AQB154" s="594"/>
      <c r="AQC154" s="701"/>
      <c r="AQD154" s="701"/>
      <c r="AQE154" s="594"/>
      <c r="AQF154" s="701"/>
      <c r="AQG154" s="701"/>
      <c r="AQH154" s="703"/>
      <c r="AQI154" s="348"/>
      <c r="AQJ154" s="348"/>
      <c r="AQK154" s="700"/>
      <c r="AQL154" s="700"/>
      <c r="AQM154" s="594"/>
      <c r="AQN154" s="701"/>
      <c r="AQO154" s="701"/>
      <c r="AQP154" s="348"/>
      <c r="AQQ154" s="348"/>
      <c r="AQR154" s="700"/>
      <c r="AQS154" s="700"/>
      <c r="AQT154" s="594"/>
      <c r="AQU154" s="701"/>
      <c r="AQV154" s="701"/>
      <c r="AQW154" s="703"/>
      <c r="AQX154" s="348"/>
      <c r="AQY154" s="348"/>
      <c r="AQZ154" s="700"/>
      <c r="ARA154" s="700"/>
      <c r="ARB154" s="594"/>
      <c r="ARC154" s="701"/>
      <c r="ARD154" s="701"/>
      <c r="ARE154" s="706"/>
      <c r="ARF154" s="700"/>
      <c r="ARG154" s="700"/>
      <c r="ARH154" s="594"/>
      <c r="ARI154" s="701"/>
      <c r="ARJ154" s="701"/>
      <c r="ARK154" s="703"/>
      <c r="ARL154" s="348"/>
      <c r="ARM154" s="348"/>
      <c r="ARN154" s="700"/>
      <c r="ARO154" s="700"/>
      <c r="ARP154" s="594"/>
      <c r="ARQ154" s="701"/>
      <c r="ARR154" s="701"/>
      <c r="ARS154" s="348"/>
      <c r="ART154" s="348"/>
      <c r="ARU154" s="700"/>
      <c r="ARV154" s="700"/>
      <c r="ARW154" s="594"/>
      <c r="ARX154" s="701"/>
      <c r="ARY154" s="701"/>
      <c r="ARZ154" s="703"/>
      <c r="ASA154" s="348"/>
      <c r="ASB154" s="348"/>
      <c r="ASC154" s="700"/>
      <c r="ASD154" s="700"/>
      <c r="ASE154" s="594"/>
      <c r="ASF154" s="701"/>
      <c r="ASG154" s="701"/>
      <c r="ASH154" s="700"/>
      <c r="ASI154" s="700"/>
      <c r="ASJ154" s="594"/>
      <c r="ASK154" s="701"/>
      <c r="ASL154" s="701"/>
      <c r="ASM154" s="703"/>
      <c r="ASN154" s="348"/>
      <c r="ASO154" s="348"/>
      <c r="ASP154" s="700"/>
      <c r="ASQ154" s="700"/>
      <c r="ASR154" s="594"/>
      <c r="ASS154" s="701"/>
      <c r="AST154" s="701"/>
      <c r="ASU154" s="348"/>
      <c r="ASV154" s="348"/>
      <c r="ASW154" s="700"/>
      <c r="ASX154" s="700"/>
      <c r="ASY154" s="594"/>
      <c r="ASZ154" s="701"/>
      <c r="ATA154" s="701"/>
      <c r="ATB154" s="703"/>
      <c r="ATC154" s="348"/>
      <c r="ATD154" s="348"/>
      <c r="ATE154" s="700"/>
      <c r="ATF154" s="700"/>
      <c r="ATG154" s="594"/>
      <c r="ATH154" s="701"/>
      <c r="ATI154" s="701"/>
      <c r="ATJ154" s="706"/>
      <c r="ATK154" s="700"/>
      <c r="ATL154" s="700"/>
      <c r="ATM154" s="594"/>
      <c r="ATN154" s="701"/>
      <c r="ATO154" s="701"/>
      <c r="ATP154" s="703"/>
      <c r="ATQ154" s="348"/>
      <c r="ATR154" s="348"/>
      <c r="ATS154" s="700"/>
      <c r="ATT154" s="700"/>
      <c r="ATU154" s="594"/>
      <c r="ATV154" s="701"/>
      <c r="ATW154" s="701"/>
      <c r="ATX154" s="348"/>
      <c r="ATY154" s="348"/>
      <c r="ATZ154" s="700"/>
      <c r="AUA154" s="700"/>
      <c r="AUB154" s="594"/>
      <c r="AUC154" s="701"/>
      <c r="AUD154" s="701"/>
      <c r="AUE154" s="703"/>
      <c r="AUF154" s="348"/>
      <c r="AUG154" s="348"/>
      <c r="AUH154" s="700"/>
      <c r="AUI154" s="700"/>
      <c r="AUJ154" s="594"/>
      <c r="AUK154" s="701"/>
      <c r="AUL154" s="701"/>
      <c r="AUM154" s="594"/>
      <c r="AUN154" s="594"/>
      <c r="AUO154" s="701"/>
      <c r="AUP154" s="701"/>
      <c r="AUQ154" s="703"/>
      <c r="AUR154" s="348"/>
      <c r="AUS154" s="348"/>
      <c r="AUT154" s="700"/>
      <c r="AUU154" s="700"/>
      <c r="AUV154" s="594"/>
      <c r="AUW154" s="701"/>
      <c r="AUX154" s="701"/>
      <c r="AUY154" s="348"/>
      <c r="AUZ154" s="348"/>
      <c r="AVA154" s="700"/>
      <c r="AVB154" s="700"/>
      <c r="AVC154" s="594"/>
      <c r="AVD154" s="701"/>
      <c r="AVE154" s="701"/>
      <c r="AVF154" s="703"/>
      <c r="AVG154" s="348"/>
      <c r="AVH154" s="348"/>
      <c r="AVI154" s="700"/>
      <c r="AVJ154" s="700"/>
      <c r="AVK154" s="594"/>
      <c r="AVL154" s="701"/>
      <c r="AVM154" s="701"/>
      <c r="AVN154" s="706"/>
      <c r="AVO154" s="700"/>
      <c r="AVP154" s="700"/>
      <c r="AVQ154" s="594"/>
      <c r="AVR154" s="701"/>
      <c r="AVS154" s="701"/>
      <c r="AVT154" s="703"/>
      <c r="AVU154" s="348"/>
      <c r="AVV154" s="348"/>
      <c r="AVW154" s="700"/>
      <c r="AVX154" s="700"/>
      <c r="AVY154" s="594"/>
      <c r="AVZ154" s="701"/>
      <c r="AWA154" s="701"/>
      <c r="AWB154" s="348"/>
      <c r="AWC154" s="348"/>
      <c r="AWD154" s="700"/>
      <c r="AWE154" s="700"/>
      <c r="AWF154" s="594"/>
      <c r="AWG154" s="701"/>
      <c r="AWH154" s="701"/>
      <c r="AWI154" s="703"/>
      <c r="AWJ154" s="348"/>
      <c r="AWK154" s="348"/>
      <c r="AWL154" s="700"/>
      <c r="AWM154" s="700"/>
      <c r="AWN154" s="594"/>
      <c r="AWO154" s="701"/>
      <c r="AWP154" s="701"/>
      <c r="AWQ154" s="700"/>
      <c r="AWR154" s="700"/>
      <c r="AWS154" s="594"/>
      <c r="AWT154" s="701"/>
      <c r="AWU154" s="701"/>
      <c r="AWV154" s="703"/>
      <c r="AWW154" s="348"/>
      <c r="AWX154" s="348"/>
      <c r="AWY154" s="700"/>
      <c r="AWZ154" s="700"/>
      <c r="AXA154" s="594"/>
      <c r="AXB154" s="701"/>
      <c r="AXC154" s="701"/>
      <c r="AXD154" s="348"/>
      <c r="AXE154" s="348"/>
      <c r="AXF154" s="700"/>
      <c r="AXG154" s="700"/>
      <c r="AXH154" s="594"/>
      <c r="AXI154" s="701"/>
      <c r="AXJ154" s="701"/>
      <c r="AXK154" s="703"/>
      <c r="AXL154" s="348"/>
      <c r="AXM154" s="348"/>
      <c r="AXN154" s="700"/>
      <c r="AXO154" s="700"/>
      <c r="AXP154" s="594"/>
      <c r="AXQ154" s="701"/>
      <c r="AXR154" s="701"/>
      <c r="AXS154" s="706"/>
      <c r="AXT154" s="700"/>
      <c r="AXU154" s="700"/>
      <c r="AXV154" s="594"/>
      <c r="AXW154" s="701"/>
      <c r="AXX154" s="701"/>
      <c r="AXY154" s="703"/>
      <c r="AXZ154" s="348"/>
      <c r="AYA154" s="348"/>
      <c r="AYB154" s="700"/>
      <c r="AYC154" s="700"/>
      <c r="AYD154" s="594"/>
      <c r="AYE154" s="701"/>
      <c r="AYF154" s="701"/>
      <c r="AYG154" s="348"/>
      <c r="AYH154" s="348"/>
      <c r="AYI154" s="700"/>
      <c r="AYJ154" s="700"/>
      <c r="AYK154" s="594"/>
      <c r="AYL154" s="701"/>
      <c r="AYM154" s="701"/>
      <c r="AYN154" s="703"/>
      <c r="AYO154" s="348"/>
      <c r="AYP154" s="348"/>
      <c r="AYQ154" s="700"/>
      <c r="AYR154" s="700"/>
      <c r="AYS154" s="594"/>
      <c r="AYT154" s="701"/>
      <c r="AYU154" s="701"/>
      <c r="AYV154" s="771"/>
      <c r="AYW154" s="703"/>
      <c r="AYX154" s="348"/>
      <c r="AYY154" s="348"/>
      <c r="AYZ154" s="700"/>
      <c r="AZA154" s="700"/>
      <c r="AZB154" s="594"/>
      <c r="AZC154" s="701"/>
      <c r="AZD154" s="701"/>
      <c r="AZE154" s="348"/>
      <c r="AZF154" s="348"/>
      <c r="AZG154" s="700"/>
      <c r="AZH154" s="700"/>
      <c r="AZI154" s="594"/>
      <c r="AZJ154" s="701"/>
      <c r="AZK154" s="701"/>
      <c r="AZL154" s="703"/>
      <c r="AZM154" s="348"/>
      <c r="AZN154" s="348"/>
      <c r="AZO154" s="700"/>
      <c r="AZP154" s="700"/>
      <c r="AZQ154" s="594"/>
      <c r="AZR154" s="701"/>
      <c r="AZS154" s="701"/>
      <c r="AZT154" s="706"/>
      <c r="AZU154" s="700"/>
      <c r="AZV154" s="700"/>
      <c r="AZW154" s="594"/>
      <c r="AZX154" s="701"/>
      <c r="AZY154" s="701"/>
      <c r="AZZ154" s="703"/>
      <c r="BAA154" s="348"/>
      <c r="BAB154" s="348"/>
      <c r="BAC154" s="700"/>
      <c r="BAD154" s="700"/>
      <c r="BAE154" s="594"/>
      <c r="BAF154" s="701"/>
      <c r="BAG154" s="701"/>
      <c r="BAH154" s="348"/>
      <c r="BAI154" s="348"/>
      <c r="BAJ154" s="700"/>
      <c r="BAK154" s="700"/>
      <c r="BAL154" s="594"/>
      <c r="BAM154" s="701"/>
      <c r="BAN154" s="701"/>
      <c r="BAO154" s="703"/>
      <c r="BAP154" s="348"/>
      <c r="BAQ154" s="348"/>
      <c r="BAR154" s="700"/>
      <c r="BAS154" s="700"/>
      <c r="BAT154" s="594"/>
      <c r="BAU154" s="701"/>
      <c r="BAV154" s="701"/>
      <c r="BAW154" s="700"/>
      <c r="BAX154" s="700"/>
      <c r="BAY154" s="594"/>
      <c r="BAZ154" s="701"/>
      <c r="BBA154" s="701"/>
      <c r="BBB154" s="703"/>
      <c r="BBC154" s="348"/>
      <c r="BBD154" s="348"/>
      <c r="BBE154" s="700"/>
      <c r="BBF154" s="700"/>
      <c r="BBG154" s="594"/>
      <c r="BBH154" s="701"/>
      <c r="BBI154" s="701"/>
      <c r="BBJ154" s="348"/>
      <c r="BBK154" s="348"/>
      <c r="BBL154" s="700"/>
      <c r="BBM154" s="700"/>
      <c r="BBN154" s="594"/>
      <c r="BBO154" s="701"/>
      <c r="BBP154" s="701"/>
      <c r="BBQ154" s="703"/>
      <c r="BBR154" s="348"/>
      <c r="BBS154" s="348"/>
      <c r="BBT154" s="700"/>
      <c r="BBU154" s="700"/>
      <c r="BBV154" s="594"/>
      <c r="BBW154" s="701"/>
      <c r="BBX154" s="701"/>
      <c r="BBY154" s="706"/>
      <c r="BBZ154" s="700"/>
      <c r="BCA154" s="700"/>
      <c r="BCB154" s="594"/>
      <c r="BCC154" s="701"/>
      <c r="BCD154" s="701"/>
      <c r="BCE154" s="703"/>
      <c r="BCF154" s="348"/>
      <c r="BCG154" s="348"/>
      <c r="BCH154" s="700"/>
      <c r="BCI154" s="700"/>
      <c r="BCJ154" s="594"/>
      <c r="BCK154" s="701"/>
      <c r="BCL154" s="701"/>
      <c r="BCM154" s="348"/>
      <c r="BCN154" s="348"/>
      <c r="BCO154" s="700"/>
      <c r="BCP154" s="700"/>
      <c r="BCQ154" s="594"/>
      <c r="BCR154" s="701"/>
      <c r="BCS154" s="701"/>
      <c r="BCT154" s="703"/>
      <c r="BCU154" s="348"/>
      <c r="BCV154" s="348"/>
      <c r="BCW154" s="700"/>
      <c r="BCX154" s="700"/>
      <c r="BCY154" s="594"/>
      <c r="BCZ154" s="701"/>
      <c r="BDA154" s="701"/>
      <c r="BDB154" s="594"/>
      <c r="BDC154" s="594"/>
      <c r="BDD154" s="701"/>
      <c r="BDE154" s="701"/>
      <c r="BDF154" s="703"/>
      <c r="BDG154" s="348"/>
      <c r="BDH154" s="348"/>
      <c r="BDI154" s="700"/>
      <c r="BDJ154" s="700"/>
      <c r="BDK154" s="594"/>
      <c r="BDL154" s="701"/>
      <c r="BDM154" s="701"/>
      <c r="BDN154" s="348"/>
      <c r="BDO154" s="348"/>
      <c r="BDP154" s="700"/>
      <c r="BDQ154" s="700"/>
      <c r="BDR154" s="594"/>
      <c r="BDS154" s="701"/>
      <c r="BDT154" s="701"/>
      <c r="BDU154" s="703"/>
      <c r="BDV154" s="348"/>
      <c r="BDW154" s="348"/>
      <c r="BDX154" s="700"/>
      <c r="BDY154" s="700"/>
      <c r="BDZ154" s="594"/>
      <c r="BEA154" s="701"/>
      <c r="BEB154" s="701"/>
      <c r="BEC154" s="706"/>
      <c r="BED154" s="700"/>
      <c r="BEE154" s="700"/>
      <c r="BEF154" s="594"/>
      <c r="BEG154" s="701"/>
      <c r="BEH154" s="701"/>
      <c r="BEI154" s="703"/>
      <c r="BEJ154" s="348"/>
      <c r="BEK154" s="348"/>
      <c r="BEL154" s="700"/>
      <c r="BEM154" s="700"/>
      <c r="BEN154" s="594"/>
      <c r="BEO154" s="701"/>
      <c r="BEP154" s="701"/>
      <c r="BEQ154" s="348"/>
      <c r="BER154" s="348"/>
      <c r="BES154" s="700"/>
      <c r="BET154" s="700"/>
      <c r="BEU154" s="594"/>
      <c r="BEV154" s="701"/>
      <c r="BEW154" s="701"/>
      <c r="BEX154" s="703"/>
      <c r="BEY154" s="348"/>
      <c r="BEZ154" s="348"/>
      <c r="BFA154" s="700"/>
      <c r="BFB154" s="700"/>
      <c r="BFC154" s="594"/>
      <c r="BFD154" s="701"/>
      <c r="BFE154" s="701"/>
      <c r="BFF154" s="700"/>
      <c r="BFG154" s="700"/>
      <c r="BFH154" s="594"/>
      <c r="BFI154" s="701"/>
      <c r="BFJ154" s="701"/>
      <c r="BFK154" s="703"/>
      <c r="BFL154" s="348"/>
      <c r="BFM154" s="348"/>
      <c r="BFN154" s="700"/>
      <c r="BFO154" s="700"/>
      <c r="BFP154" s="594"/>
      <c r="BFQ154" s="701"/>
      <c r="BFR154" s="701"/>
      <c r="BFS154" s="348"/>
      <c r="BFT154" s="348"/>
      <c r="BFU154" s="700"/>
      <c r="BFV154" s="700"/>
      <c r="BFW154" s="594"/>
      <c r="BFX154" s="701"/>
      <c r="BFY154" s="701"/>
      <c r="BFZ154" s="703"/>
      <c r="BGA154" s="348"/>
      <c r="BGB154" s="348"/>
      <c r="BGC154" s="700"/>
      <c r="BGD154" s="700"/>
      <c r="BGE154" s="594"/>
      <c r="BGF154" s="701"/>
      <c r="BGG154" s="701"/>
      <c r="BGH154" s="706"/>
      <c r="BGI154" s="700"/>
      <c r="BGJ154" s="700"/>
      <c r="BGK154" s="594"/>
      <c r="BGL154" s="701"/>
      <c r="BGM154" s="701"/>
      <c r="BGN154" s="703"/>
      <c r="BGO154" s="348"/>
      <c r="BGP154" s="348"/>
      <c r="BGQ154" s="700"/>
      <c r="BGR154" s="700"/>
      <c r="BGS154" s="594"/>
      <c r="BGT154" s="701"/>
      <c r="BGU154" s="701"/>
      <c r="BGV154" s="348"/>
      <c r="BGW154" s="348"/>
      <c r="BGX154" s="700"/>
      <c r="BGY154" s="700"/>
      <c r="BGZ154" s="594"/>
      <c r="BHA154" s="701"/>
      <c r="BHB154" s="701"/>
      <c r="BHC154" s="703"/>
      <c r="BHD154" s="348"/>
      <c r="BHE154" s="348"/>
      <c r="BHF154" s="700"/>
      <c r="BHG154" s="700"/>
      <c r="BHH154" s="594"/>
      <c r="BHI154" s="701"/>
      <c r="BHJ154" s="701"/>
      <c r="BHK154" s="594"/>
      <c r="BHL154" s="701"/>
      <c r="BHM154" s="701"/>
      <c r="BHN154" s="703"/>
      <c r="BHO154" s="348"/>
      <c r="BHP154" s="348"/>
      <c r="BHQ154" s="700"/>
      <c r="BHR154" s="700"/>
      <c r="BHS154" s="594"/>
      <c r="BHT154" s="701"/>
      <c r="BHU154" s="701"/>
      <c r="BHV154" s="348"/>
      <c r="BHW154" s="348"/>
      <c r="BHX154" s="700"/>
      <c r="BHY154" s="700"/>
      <c r="BHZ154" s="594"/>
      <c r="BIA154" s="701"/>
      <c r="BIB154" s="701"/>
      <c r="BIC154" s="703"/>
      <c r="BID154" s="348"/>
      <c r="BIE154" s="348"/>
      <c r="BIF154" s="700"/>
      <c r="BIG154" s="700"/>
      <c r="BIH154" s="594"/>
      <c r="BII154" s="701"/>
      <c r="BIJ154" s="701"/>
      <c r="BIK154" s="706"/>
      <c r="BIL154" s="700"/>
      <c r="BIM154" s="700"/>
      <c r="BIN154" s="594"/>
      <c r="BIO154" s="701"/>
      <c r="BIP154" s="701"/>
      <c r="BIQ154" s="703"/>
      <c r="BIR154" s="348"/>
      <c r="BIS154" s="348"/>
      <c r="BIT154" s="700"/>
      <c r="BIU154" s="700"/>
      <c r="BIV154" s="594"/>
      <c r="BIW154" s="701"/>
      <c r="BIX154" s="701"/>
      <c r="BIY154" s="348"/>
      <c r="BIZ154" s="348"/>
      <c r="BJA154" s="700"/>
      <c r="BJB154" s="700"/>
      <c r="BJC154" s="594"/>
      <c r="BJD154" s="701"/>
      <c r="BJE154" s="701"/>
      <c r="BJF154" s="703"/>
      <c r="BJG154" s="348"/>
      <c r="BJH154" s="348"/>
      <c r="BJI154" s="700"/>
      <c r="BJJ154" s="700"/>
      <c r="BJK154" s="594"/>
      <c r="BJL154" s="701"/>
      <c r="BJM154" s="701"/>
      <c r="BJN154" s="700"/>
      <c r="BJO154" s="700"/>
      <c r="BJP154" s="594"/>
      <c r="BJQ154" s="701"/>
      <c r="BJR154" s="701"/>
      <c r="BJS154" s="703"/>
      <c r="BJT154" s="348"/>
      <c r="BJU154" s="348"/>
      <c r="BJV154" s="700"/>
      <c r="BJW154" s="700"/>
      <c r="BJX154" s="594"/>
      <c r="BJY154" s="701"/>
      <c r="BJZ154" s="701"/>
      <c r="BKA154" s="348"/>
      <c r="BKB154" s="348"/>
      <c r="BKC154" s="700"/>
      <c r="BKD154" s="700"/>
      <c r="BKE154" s="594"/>
      <c r="BKF154" s="701"/>
      <c r="BKG154" s="701"/>
      <c r="BKH154" s="703"/>
      <c r="BKI154" s="348"/>
      <c r="BKJ154" s="348"/>
      <c r="BKK154" s="700"/>
      <c r="BKL154" s="700"/>
      <c r="BKM154" s="594"/>
      <c r="BKN154" s="701"/>
      <c r="BKO154" s="701"/>
      <c r="BKP154" s="706"/>
      <c r="BKQ154" s="700"/>
      <c r="BKR154" s="700"/>
      <c r="BKS154" s="594"/>
      <c r="BKT154" s="701"/>
      <c r="BKU154" s="701"/>
      <c r="BKV154" s="703"/>
      <c r="BKW154" s="348"/>
      <c r="BKX154" s="348"/>
      <c r="BKY154" s="700"/>
      <c r="BKZ154" s="700"/>
      <c r="BLA154" s="594"/>
      <c r="BLB154" s="701"/>
      <c r="BLC154" s="701"/>
      <c r="BLD154" s="348"/>
      <c r="BLE154" s="348"/>
      <c r="BLF154" s="700"/>
      <c r="BLG154" s="700"/>
      <c r="BLH154" s="594"/>
      <c r="BLI154" s="701"/>
      <c r="BLJ154" s="701"/>
      <c r="BLK154" s="703"/>
      <c r="BLL154" s="348"/>
      <c r="BLM154" s="348"/>
      <c r="BLN154" s="700"/>
      <c r="BLO154" s="700"/>
      <c r="BLP154" s="594"/>
      <c r="BLQ154" s="701"/>
      <c r="BLR154" s="701"/>
      <c r="BLS154" s="594"/>
      <c r="BLT154" s="594"/>
      <c r="BLU154" s="701"/>
      <c r="BLV154" s="701"/>
      <c r="BLW154" s="703"/>
      <c r="BLX154" s="348"/>
      <c r="BLY154" s="348"/>
      <c r="BLZ154" s="700"/>
      <c r="BMA154" s="700"/>
      <c r="BMB154" s="594"/>
      <c r="BMC154" s="701"/>
      <c r="BMD154" s="701"/>
      <c r="BME154" s="348"/>
      <c r="BMF154" s="348"/>
      <c r="BMG154" s="700"/>
      <c r="BMH154" s="700"/>
      <c r="BMI154" s="594"/>
      <c r="BMJ154" s="701"/>
      <c r="BMK154" s="701"/>
      <c r="BML154" s="703"/>
      <c r="BMM154" s="348"/>
      <c r="BMN154" s="348"/>
      <c r="BMO154" s="700"/>
      <c r="BMP154" s="700"/>
      <c r="BMQ154" s="594"/>
      <c r="BMR154" s="701"/>
      <c r="BMS154" s="701"/>
      <c r="BMT154" s="706"/>
      <c r="BMU154" s="700"/>
      <c r="BMV154" s="700"/>
      <c r="BMW154" s="594"/>
      <c r="BMX154" s="701"/>
      <c r="BMY154" s="701"/>
      <c r="BMZ154" s="703"/>
      <c r="BNA154" s="348"/>
      <c r="BNB154" s="348"/>
      <c r="BNC154" s="700"/>
      <c r="BND154" s="700"/>
      <c r="BNE154" s="594"/>
      <c r="BNF154" s="701"/>
      <c r="BNG154" s="701"/>
      <c r="BNH154" s="348"/>
      <c r="BNI154" s="348"/>
      <c r="BNJ154" s="700"/>
      <c r="BNK154" s="700"/>
      <c r="BNL154" s="594"/>
      <c r="BNM154" s="701"/>
      <c r="BNN154" s="701"/>
      <c r="BNO154" s="703"/>
      <c r="BNP154" s="348"/>
      <c r="BNQ154" s="348"/>
      <c r="BNR154" s="700"/>
      <c r="BNS154" s="700"/>
      <c r="BNT154" s="594"/>
      <c r="BNU154" s="701"/>
      <c r="BNV154" s="701"/>
      <c r="BNW154" s="700"/>
      <c r="BNX154" s="700"/>
      <c r="BNY154" s="594"/>
      <c r="BNZ154" s="701"/>
      <c r="BOA154" s="701"/>
      <c r="BOB154" s="703"/>
      <c r="BOC154" s="348"/>
      <c r="BOD154" s="348"/>
      <c r="BOE154" s="700"/>
      <c r="BOF154" s="700"/>
      <c r="BOG154" s="594"/>
      <c r="BOH154" s="701"/>
      <c r="BOI154" s="701"/>
      <c r="BOJ154" s="348"/>
      <c r="BOK154" s="348"/>
      <c r="BOL154" s="700"/>
      <c r="BOM154" s="700"/>
      <c r="BON154" s="594"/>
      <c r="BOO154" s="701"/>
      <c r="BOP154" s="701"/>
      <c r="BOQ154" s="703"/>
      <c r="BOR154" s="348"/>
      <c r="BOS154" s="348"/>
      <c r="BOT154" s="700"/>
      <c r="BOU154" s="700"/>
      <c r="BOV154" s="594"/>
      <c r="BOW154" s="701"/>
      <c r="BOX154" s="701"/>
      <c r="BOY154" s="706"/>
      <c r="BOZ154" s="700"/>
      <c r="BPA154" s="700"/>
      <c r="BPB154" s="594"/>
      <c r="BPC154" s="701"/>
      <c r="BPD154" s="701"/>
      <c r="BPE154" s="703"/>
      <c r="BPF154" s="348"/>
      <c r="BPG154" s="348"/>
      <c r="BPH154" s="700"/>
      <c r="BPI154" s="700"/>
      <c r="BPJ154" s="594"/>
      <c r="BPK154" s="701"/>
      <c r="BPL154" s="701"/>
      <c r="BPM154" s="348"/>
      <c r="BPN154" s="348"/>
      <c r="BPO154" s="700"/>
      <c r="BPP154" s="700"/>
      <c r="BPQ154" s="594"/>
      <c r="BPR154" s="701"/>
      <c r="BPS154" s="701"/>
      <c r="BPT154" s="703"/>
      <c r="BPU154" s="348"/>
      <c r="BPV154" s="348"/>
    </row>
    <row r="155" spans="1:1790" ht="32.25">
      <c r="A155" s="700" t="s">
        <v>352</v>
      </c>
      <c r="B155" s="700" t="s">
        <v>1288</v>
      </c>
      <c r="C155" s="774" t="s">
        <v>1289</v>
      </c>
      <c r="D155" s="700" t="s">
        <v>268</v>
      </c>
      <c r="E155" s="791">
        <v>46285</v>
      </c>
      <c r="F155" s="700"/>
      <c r="G155" s="793" t="s">
        <v>1332</v>
      </c>
      <c r="H155" s="700" t="s">
        <v>352</v>
      </c>
      <c r="I155" s="700" t="s">
        <v>1174</v>
      </c>
      <c r="J155" s="795"/>
      <c r="K155" s="700"/>
      <c r="L155" s="700"/>
      <c r="M155" s="700"/>
      <c r="N155" s="700"/>
      <c r="O155" s="700"/>
      <c r="P155" s="700"/>
      <c r="Q155" s="700"/>
      <c r="R155" s="700"/>
      <c r="S155" s="700"/>
      <c r="T155" s="700"/>
      <c r="U155" s="700"/>
      <c r="V155" s="700"/>
      <c r="W155" s="700"/>
      <c r="X155" s="700"/>
      <c r="Y155" s="700"/>
      <c r="Z155" s="700"/>
      <c r="AA155" s="700"/>
      <c r="AB155" s="700"/>
      <c r="AC155" s="700"/>
      <c r="AD155" s="700"/>
      <c r="AE155" s="700"/>
      <c r="AF155" s="700"/>
      <c r="AG155" s="700"/>
      <c r="AH155" s="700"/>
      <c r="AI155" s="700"/>
      <c r="AJ155" s="700"/>
      <c r="AK155" s="700"/>
      <c r="AL155" s="700"/>
      <c r="AM155" s="700"/>
      <c r="AN155" s="700"/>
      <c r="AO155" s="700"/>
      <c r="AP155" s="700"/>
      <c r="AQ155" s="700"/>
      <c r="AR155" s="700"/>
      <c r="AS155" s="700"/>
      <c r="AT155" s="700"/>
      <c r="AU155" s="700"/>
      <c r="AV155" s="700"/>
      <c r="AW155" s="700"/>
      <c r="AX155" s="700"/>
      <c r="AY155" s="700"/>
      <c r="AZ155" s="700"/>
      <c r="BA155" s="700"/>
      <c r="BB155" s="700"/>
      <c r="BC155" s="700"/>
      <c r="BD155" s="700"/>
      <c r="BE155" s="700"/>
      <c r="BF155" s="700"/>
      <c r="BG155" s="700"/>
      <c r="BH155" s="700"/>
      <c r="BI155" s="700"/>
      <c r="BJ155" s="700"/>
      <c r="BK155" s="700"/>
      <c r="BL155" s="700"/>
      <c r="BM155" s="700"/>
      <c r="BN155" s="700"/>
      <c r="BO155" s="700"/>
      <c r="BP155" s="700"/>
      <c r="BQ155" s="700"/>
      <c r="BR155" s="700"/>
      <c r="BS155" s="700"/>
      <c r="BT155" s="700"/>
      <c r="BU155" s="700"/>
      <c r="BV155" s="700"/>
      <c r="BW155" s="700"/>
      <c r="BX155" s="700"/>
      <c r="BY155" s="700"/>
      <c r="BZ155" s="700"/>
      <c r="CA155" s="700"/>
      <c r="CB155" s="700"/>
      <c r="CC155" s="700"/>
      <c r="CD155" s="700"/>
      <c r="CE155" s="700"/>
      <c r="CF155" s="700"/>
      <c r="CG155" s="700"/>
      <c r="CH155" s="700"/>
      <c r="CI155" s="700"/>
      <c r="CJ155" s="700"/>
      <c r="CK155" s="700"/>
      <c r="CL155" s="700"/>
      <c r="CM155" s="700"/>
      <c r="CN155" s="700"/>
      <c r="CO155" s="700"/>
      <c r="CP155" s="700"/>
      <c r="CQ155" s="700"/>
      <c r="CR155" s="700"/>
      <c r="CS155" s="700"/>
      <c r="CT155" s="700"/>
      <c r="CU155" s="700"/>
      <c r="CV155" s="700"/>
      <c r="CW155" s="700"/>
      <c r="CX155" s="700"/>
      <c r="CY155" s="700"/>
      <c r="CZ155" s="700"/>
      <c r="DA155" s="700"/>
      <c r="DB155" s="700"/>
      <c r="DC155" s="700"/>
      <c r="DD155" s="700"/>
      <c r="DE155" s="700"/>
      <c r="DF155" s="700"/>
      <c r="DG155" s="700"/>
      <c r="DH155" s="700"/>
      <c r="DI155" s="700"/>
      <c r="DJ155" s="700"/>
      <c r="DK155" s="700"/>
      <c r="DL155" s="700"/>
      <c r="DM155" s="700"/>
      <c r="DN155" s="700"/>
      <c r="DO155" s="700"/>
      <c r="DP155" s="700"/>
      <c r="DQ155" s="700"/>
      <c r="DR155" s="700"/>
      <c r="DS155" s="700"/>
      <c r="DT155" s="700"/>
      <c r="DU155" s="700"/>
      <c r="DV155" s="700"/>
      <c r="DW155" s="700"/>
      <c r="DX155" s="700"/>
      <c r="DY155" s="700"/>
      <c r="DZ155" s="700"/>
      <c r="EA155" s="700"/>
      <c r="EB155" s="700"/>
      <c r="EC155" s="700"/>
      <c r="ED155" s="700"/>
      <c r="EE155" s="700"/>
      <c r="EF155" s="700"/>
      <c r="EG155" s="700"/>
      <c r="EH155" s="700"/>
      <c r="EI155" s="700"/>
      <c r="EJ155" s="700"/>
      <c r="EK155" s="700"/>
      <c r="EL155" s="700"/>
      <c r="EM155" s="700"/>
      <c r="EN155" s="700"/>
      <c r="EO155" s="700"/>
      <c r="EP155" s="700"/>
      <c r="EQ155" s="700"/>
      <c r="ER155" s="700"/>
      <c r="ES155" s="700"/>
      <c r="ET155" s="700"/>
      <c r="EU155" s="700"/>
      <c r="EV155" s="700"/>
      <c r="EW155" s="700"/>
      <c r="EX155" s="700"/>
      <c r="EY155" s="700"/>
      <c r="EZ155" s="700"/>
      <c r="FA155" s="700"/>
      <c r="FB155" s="700"/>
      <c r="FC155" s="700"/>
      <c r="FD155" s="700"/>
      <c r="FE155" s="700"/>
      <c r="FF155" s="700"/>
      <c r="FG155" s="700"/>
      <c r="FH155" s="700"/>
      <c r="FI155" s="700"/>
      <c r="FJ155" s="700"/>
      <c r="FK155" s="700"/>
      <c r="FL155" s="700"/>
      <c r="FM155" s="700"/>
      <c r="FN155" s="700"/>
      <c r="FO155" s="700"/>
      <c r="FP155" s="700"/>
      <c r="FQ155" s="700"/>
      <c r="FR155" s="700"/>
      <c r="FS155" s="700"/>
      <c r="FT155" s="700"/>
      <c r="FU155" s="700"/>
      <c r="FV155" s="700"/>
      <c r="FW155" s="700"/>
      <c r="FX155" s="700"/>
      <c r="FY155" s="700"/>
      <c r="FZ155" s="700"/>
      <c r="GA155" s="700"/>
      <c r="GB155" s="700"/>
      <c r="GC155" s="700"/>
      <c r="GD155" s="700"/>
      <c r="GE155" s="700"/>
      <c r="GF155" s="700"/>
      <c r="GG155" s="700"/>
      <c r="GH155" s="700"/>
      <c r="GI155" s="700"/>
      <c r="GJ155" s="700"/>
      <c r="GK155" s="700"/>
      <c r="GL155" s="700"/>
      <c r="GM155" s="700"/>
      <c r="GN155" s="700"/>
      <c r="GO155" s="700"/>
      <c r="GP155" s="700"/>
      <c r="GQ155" s="700"/>
      <c r="GR155" s="700"/>
      <c r="GS155" s="700"/>
      <c r="GT155" s="700"/>
      <c r="GU155" s="700"/>
      <c r="GV155" s="700"/>
      <c r="GW155" s="700"/>
      <c r="GX155" s="700"/>
      <c r="GY155" s="700"/>
      <c r="GZ155" s="700"/>
      <c r="HA155" s="700"/>
      <c r="HB155" s="700"/>
      <c r="HC155" s="700"/>
      <c r="HD155" s="700"/>
      <c r="HE155" s="700"/>
      <c r="HF155" s="700"/>
      <c r="HG155" s="700"/>
      <c r="HH155" s="700"/>
      <c r="HI155" s="700"/>
      <c r="HJ155" s="700"/>
      <c r="HK155" s="700"/>
      <c r="HL155" s="700"/>
      <c r="HM155" s="700"/>
      <c r="HN155" s="700"/>
      <c r="HO155" s="700"/>
      <c r="HP155" s="700"/>
      <c r="HQ155" s="700"/>
      <c r="HR155" s="700"/>
      <c r="HS155" s="700"/>
      <c r="HT155" s="700"/>
      <c r="HU155" s="700"/>
      <c r="HV155" s="700"/>
      <c r="HW155" s="700"/>
      <c r="HX155" s="700"/>
      <c r="HY155" s="700"/>
      <c r="HZ155" s="700"/>
      <c r="IA155" s="700"/>
      <c r="IB155" s="700"/>
      <c r="IC155" s="700"/>
      <c r="ID155" s="700"/>
      <c r="IE155" s="700"/>
      <c r="IF155" s="700"/>
      <c r="IG155" s="700"/>
      <c r="IH155" s="700"/>
      <c r="II155" s="700"/>
      <c r="IJ155" s="700"/>
      <c r="IK155" s="700"/>
      <c r="IL155" s="700"/>
      <c r="IM155" s="700"/>
      <c r="IN155" s="700"/>
      <c r="IO155" s="700"/>
      <c r="IP155" s="700"/>
      <c r="IQ155" s="700"/>
      <c r="IR155" s="700"/>
      <c r="IS155" s="700"/>
      <c r="IT155" s="700"/>
      <c r="IU155" s="700"/>
      <c r="IV155" s="700"/>
      <c r="IW155" s="700"/>
      <c r="IX155" s="700"/>
      <c r="IY155" s="700"/>
      <c r="IZ155" s="700"/>
      <c r="JA155" s="700"/>
      <c r="JB155" s="700"/>
      <c r="JC155" s="700"/>
      <c r="JD155" s="700"/>
      <c r="JE155" s="700"/>
      <c r="JF155" s="700"/>
      <c r="JG155" s="700"/>
      <c r="JH155" s="700"/>
      <c r="JI155" s="700"/>
      <c r="JJ155" s="700"/>
      <c r="JK155" s="700"/>
      <c r="JL155" s="700"/>
      <c r="JM155" s="700"/>
      <c r="JN155" s="700"/>
      <c r="JO155" s="700"/>
      <c r="JP155" s="700"/>
      <c r="JQ155" s="700"/>
      <c r="JR155" s="700"/>
      <c r="JS155" s="700"/>
      <c r="JT155" s="700"/>
      <c r="JU155" s="700"/>
      <c r="JV155" s="700"/>
      <c r="JW155" s="700"/>
      <c r="JX155" s="700"/>
      <c r="JY155" s="700"/>
      <c r="JZ155" s="700"/>
      <c r="KA155" s="700"/>
      <c r="KB155" s="700"/>
      <c r="KC155" s="700"/>
      <c r="KD155" s="700"/>
      <c r="KE155" s="700"/>
      <c r="KF155" s="700"/>
      <c r="KG155" s="700"/>
      <c r="KH155" s="700"/>
      <c r="KI155" s="700"/>
      <c r="KJ155" s="700"/>
      <c r="KK155" s="700"/>
      <c r="KL155" s="700"/>
      <c r="KM155" s="700"/>
      <c r="KN155" s="700"/>
      <c r="KO155" s="700"/>
      <c r="KP155" s="700"/>
      <c r="KQ155" s="700"/>
      <c r="KR155" s="700"/>
      <c r="KS155" s="700"/>
      <c r="KT155" s="700"/>
      <c r="KU155" s="700"/>
      <c r="KV155" s="700"/>
      <c r="KW155" s="700"/>
      <c r="KX155" s="700"/>
      <c r="KY155" s="700"/>
      <c r="KZ155" s="700"/>
      <c r="LA155" s="700"/>
      <c r="LB155" s="700"/>
      <c r="LC155" s="700"/>
      <c r="LD155" s="700"/>
      <c r="LE155" s="700"/>
      <c r="LF155" s="700"/>
      <c r="LG155" s="700"/>
      <c r="LH155" s="700"/>
      <c r="LI155" s="700"/>
      <c r="LJ155" s="700"/>
      <c r="LK155" s="700"/>
      <c r="LL155" s="700"/>
      <c r="LM155" s="700"/>
      <c r="LN155" s="700"/>
      <c r="LO155" s="700"/>
      <c r="LP155" s="700"/>
      <c r="LQ155" s="700"/>
      <c r="LR155" s="700"/>
      <c r="LS155" s="700"/>
      <c r="LT155" s="700"/>
      <c r="LU155" s="700"/>
      <c r="LV155" s="700"/>
      <c r="LW155" s="700"/>
      <c r="LX155" s="700"/>
      <c r="LY155" s="700"/>
      <c r="LZ155" s="700"/>
      <c r="MA155" s="700"/>
      <c r="MB155" s="700"/>
      <c r="MC155" s="700"/>
      <c r="MD155" s="700"/>
      <c r="ME155" s="700"/>
      <c r="MF155" s="700"/>
      <c r="MG155" s="700"/>
      <c r="MH155" s="700"/>
      <c r="MI155" s="700"/>
      <c r="MJ155" s="700"/>
      <c r="MK155" s="700"/>
      <c r="ML155" s="700"/>
      <c r="MM155" s="700"/>
      <c r="MN155" s="700"/>
      <c r="MO155" s="700"/>
      <c r="MP155" s="700"/>
      <c r="MQ155" s="700"/>
      <c r="MR155" s="700"/>
      <c r="MS155" s="700"/>
      <c r="MT155" s="700"/>
      <c r="MU155" s="700"/>
      <c r="MV155" s="700"/>
      <c r="MW155" s="700"/>
      <c r="MX155" s="700"/>
      <c r="MY155" s="700"/>
      <c r="MZ155" s="700"/>
      <c r="NA155" s="700"/>
      <c r="NB155" s="700"/>
      <c r="NC155" s="700"/>
      <c r="ND155" s="700"/>
      <c r="NE155" s="700"/>
      <c r="NF155" s="700"/>
      <c r="NG155" s="700"/>
      <c r="NH155" s="700"/>
      <c r="NI155" s="700"/>
      <c r="NJ155" s="700"/>
      <c r="NK155" s="700"/>
      <c r="NL155" s="700"/>
      <c r="NM155" s="700"/>
      <c r="NN155" s="700"/>
      <c r="NO155" s="700"/>
      <c r="NP155" s="700"/>
      <c r="NQ155" s="700"/>
      <c r="NR155" s="700"/>
      <c r="NS155" s="700"/>
      <c r="NT155" s="700"/>
      <c r="NU155" s="700"/>
      <c r="NV155" s="700"/>
      <c r="NW155" s="700"/>
      <c r="NX155" s="700"/>
      <c r="NY155" s="700"/>
      <c r="NZ155" s="700"/>
      <c r="OA155" s="700"/>
      <c r="OB155" s="700"/>
      <c r="OC155" s="700"/>
      <c r="OD155" s="700"/>
      <c r="OE155" s="700"/>
      <c r="OF155" s="700"/>
      <c r="OG155" s="700"/>
      <c r="OH155" s="700"/>
      <c r="OI155" s="700"/>
      <c r="OJ155" s="700"/>
      <c r="OK155" s="700"/>
      <c r="OL155" s="700"/>
      <c r="OM155" s="700"/>
      <c r="ON155" s="700"/>
      <c r="OO155" s="700"/>
      <c r="OP155" s="700"/>
      <c r="OQ155" s="700"/>
      <c r="OR155" s="700"/>
      <c r="OS155" s="700"/>
      <c r="OT155" s="700"/>
      <c r="OU155" s="700"/>
      <c r="OV155" s="700"/>
      <c r="OW155" s="700"/>
      <c r="OX155" s="700"/>
      <c r="OY155" s="700"/>
      <c r="OZ155" s="700"/>
      <c r="PA155" s="700"/>
      <c r="PB155" s="700"/>
      <c r="PC155" s="700"/>
      <c r="PD155" s="700"/>
      <c r="PE155" s="700"/>
      <c r="PF155" s="700"/>
      <c r="PG155" s="700"/>
      <c r="PH155" s="700"/>
      <c r="PI155" s="700"/>
      <c r="PJ155" s="700"/>
      <c r="PK155" s="700"/>
      <c r="PL155" s="700"/>
      <c r="PM155" s="700"/>
      <c r="PN155" s="700"/>
      <c r="PO155" s="700"/>
      <c r="PP155" s="700"/>
      <c r="PQ155" s="700"/>
      <c r="PR155" s="700"/>
      <c r="PS155" s="700"/>
      <c r="PT155" s="700"/>
      <c r="PU155" s="700"/>
      <c r="PV155" s="700"/>
      <c r="PW155" s="700"/>
      <c r="PX155" s="700"/>
      <c r="PY155" s="700"/>
      <c r="PZ155" s="700"/>
      <c r="QA155" s="700"/>
      <c r="QB155" s="700"/>
      <c r="QC155" s="700"/>
      <c r="QD155" s="700"/>
      <c r="QE155" s="700"/>
      <c r="QF155" s="700"/>
      <c r="QG155" s="700"/>
      <c r="QH155" s="700"/>
      <c r="QI155" s="700"/>
      <c r="QJ155" s="700"/>
      <c r="QK155" s="700"/>
      <c r="QL155" s="700"/>
      <c r="QM155" s="700"/>
      <c r="QN155" s="700"/>
      <c r="QO155" s="700"/>
      <c r="QP155" s="700"/>
      <c r="QQ155" s="700"/>
      <c r="QR155" s="700"/>
      <c r="QS155" s="700"/>
      <c r="QT155" s="700"/>
      <c r="QU155" s="700"/>
      <c r="QV155" s="700"/>
      <c r="QW155" s="700"/>
      <c r="QX155" s="700"/>
      <c r="QY155" s="700"/>
      <c r="QZ155" s="700"/>
      <c r="RA155" s="700"/>
      <c r="RB155" s="700"/>
      <c r="RC155" s="700"/>
      <c r="RD155" s="700"/>
      <c r="RE155" s="700"/>
      <c r="RF155" s="700"/>
      <c r="RG155" s="700"/>
      <c r="RH155" s="700"/>
      <c r="RI155" s="700"/>
      <c r="RJ155" s="700"/>
      <c r="RK155" s="700"/>
      <c r="RL155" s="700"/>
      <c r="RM155" s="700"/>
      <c r="RN155" s="700"/>
      <c r="RO155" s="700"/>
      <c r="RP155" s="700"/>
      <c r="RQ155" s="700"/>
      <c r="RR155" s="700"/>
      <c r="RS155" s="700"/>
      <c r="RT155" s="700"/>
      <c r="RU155" s="700"/>
      <c r="RV155" s="700"/>
      <c r="RW155" s="700"/>
      <c r="RX155" s="700"/>
      <c r="RY155" s="700"/>
      <c r="RZ155" s="700"/>
      <c r="SA155" s="700"/>
      <c r="SB155" s="700"/>
      <c r="SC155" s="700"/>
      <c r="SD155" s="700"/>
      <c r="SE155" s="700"/>
      <c r="SF155" s="700"/>
      <c r="SG155" s="700"/>
      <c r="SH155" s="700"/>
      <c r="SI155" s="700"/>
      <c r="SJ155" s="700"/>
      <c r="SK155" s="700"/>
      <c r="SL155" s="700"/>
      <c r="SM155" s="700"/>
      <c r="SN155" s="700"/>
      <c r="SO155" s="700"/>
      <c r="SP155" s="700"/>
      <c r="SQ155" s="700"/>
      <c r="SR155" s="700"/>
      <c r="SS155" s="700"/>
      <c r="ST155" s="700"/>
      <c r="SU155" s="700"/>
      <c r="SV155" s="700"/>
      <c r="SW155" s="700"/>
      <c r="SX155" s="700"/>
      <c r="SY155" s="700"/>
      <c r="SZ155" s="700"/>
      <c r="TA155" s="700"/>
      <c r="TB155" s="700"/>
      <c r="TC155" s="700"/>
      <c r="TD155" s="700"/>
      <c r="TE155" s="700"/>
      <c r="TF155" s="700"/>
      <c r="TG155" s="700"/>
      <c r="TH155" s="700"/>
      <c r="TI155" s="700"/>
      <c r="TJ155" s="700"/>
      <c r="TK155" s="700"/>
      <c r="TL155" s="700"/>
      <c r="TM155" s="700"/>
      <c r="TN155" s="700"/>
      <c r="TO155" s="700"/>
      <c r="TP155" s="700"/>
      <c r="TQ155" s="700"/>
      <c r="TR155" s="700"/>
      <c r="TS155" s="700"/>
      <c r="TT155" s="700"/>
      <c r="TU155" s="700"/>
      <c r="TV155" s="700"/>
      <c r="TW155" s="700"/>
      <c r="TX155" s="700"/>
      <c r="TY155" s="700"/>
      <c r="TZ155" s="700"/>
      <c r="UA155" s="700"/>
      <c r="UB155" s="700"/>
      <c r="UC155" s="700"/>
      <c r="UD155" s="700"/>
      <c r="UE155" s="700"/>
      <c r="UF155" s="700"/>
      <c r="UG155" s="700"/>
      <c r="UH155" s="700"/>
      <c r="UI155" s="700"/>
      <c r="UJ155" s="700"/>
      <c r="UK155" s="700"/>
      <c r="UL155" s="700"/>
      <c r="UM155" s="700"/>
      <c r="UN155" s="700"/>
      <c r="UO155" s="700"/>
      <c r="UP155" s="700"/>
      <c r="UQ155" s="700"/>
      <c r="UR155" s="700"/>
      <c r="US155" s="700"/>
      <c r="UT155" s="700"/>
      <c r="UU155" s="700"/>
      <c r="UV155" s="700"/>
      <c r="UW155" s="700"/>
      <c r="UX155" s="700"/>
      <c r="UY155" s="700"/>
      <c r="UZ155" s="700"/>
      <c r="VA155" s="700"/>
      <c r="VB155" s="700"/>
      <c r="VC155" s="700"/>
      <c r="VD155" s="700"/>
      <c r="VE155" s="700"/>
      <c r="VF155" s="700"/>
      <c r="VG155" s="700"/>
      <c r="VH155" s="700"/>
      <c r="VI155" s="700"/>
      <c r="VJ155" s="700"/>
      <c r="VK155" s="700"/>
      <c r="VL155" s="700"/>
      <c r="VM155" s="700"/>
      <c r="VN155" s="700"/>
      <c r="VO155" s="700"/>
      <c r="VP155" s="700"/>
      <c r="VQ155" s="700"/>
      <c r="VR155" s="700"/>
      <c r="VS155" s="700"/>
      <c r="VT155" s="700"/>
      <c r="VU155" s="700"/>
      <c r="VV155" s="700"/>
      <c r="VW155" s="700"/>
      <c r="VX155" s="700"/>
      <c r="VY155" s="700"/>
      <c r="VZ155" s="700"/>
      <c r="WA155" s="700"/>
      <c r="WB155" s="700"/>
      <c r="WC155" s="700"/>
      <c r="WD155" s="700"/>
      <c r="WE155" s="700"/>
      <c r="WF155" s="700"/>
      <c r="WG155" s="700"/>
      <c r="WH155" s="700"/>
      <c r="WI155" s="700"/>
      <c r="WJ155" s="700"/>
      <c r="WK155" s="700"/>
      <c r="WL155" s="700"/>
      <c r="WM155" s="700"/>
      <c r="WN155" s="700"/>
      <c r="WO155" s="700"/>
      <c r="WP155" s="700"/>
      <c r="WQ155" s="700"/>
      <c r="WR155" s="700"/>
      <c r="WS155" s="700"/>
      <c r="WT155" s="700"/>
      <c r="WU155" s="700"/>
      <c r="WV155" s="700"/>
      <c r="WW155" s="700"/>
      <c r="WX155" s="700"/>
      <c r="WY155" s="700"/>
      <c r="WZ155" s="700"/>
      <c r="XA155" s="700"/>
      <c r="XB155" s="700"/>
      <c r="XC155" s="700"/>
      <c r="XD155" s="700"/>
      <c r="XE155" s="700"/>
      <c r="XF155" s="700"/>
      <c r="XG155" s="700"/>
      <c r="XH155" s="700"/>
      <c r="XI155" s="700"/>
      <c r="XJ155" s="700"/>
      <c r="XK155" s="700"/>
      <c r="XL155" s="700"/>
      <c r="XM155" s="700"/>
      <c r="XN155" s="700"/>
      <c r="XO155" s="700"/>
      <c r="XP155" s="700"/>
      <c r="XQ155" s="700"/>
      <c r="XR155" s="700"/>
      <c r="XS155" s="700"/>
      <c r="XT155" s="700"/>
      <c r="XU155" s="700"/>
      <c r="XV155" s="700"/>
      <c r="XW155" s="700"/>
      <c r="XX155" s="700"/>
      <c r="XY155" s="700"/>
      <c r="XZ155" s="700"/>
      <c r="YA155" s="700"/>
      <c r="YB155" s="700"/>
      <c r="YC155" s="700"/>
      <c r="YD155" s="700"/>
      <c r="YE155" s="700"/>
      <c r="YF155" s="700"/>
      <c r="YG155" s="700"/>
      <c r="YH155" s="700"/>
      <c r="YI155" s="700"/>
      <c r="YJ155" s="700"/>
      <c r="YK155" s="700"/>
      <c r="YL155" s="700"/>
      <c r="YM155" s="700"/>
      <c r="YN155" s="700"/>
      <c r="YO155" s="700"/>
      <c r="YP155" s="700"/>
      <c r="YQ155" s="700"/>
      <c r="YR155" s="700"/>
      <c r="YS155" s="700"/>
      <c r="YT155" s="700"/>
      <c r="YU155" s="700"/>
      <c r="YV155" s="700"/>
      <c r="YW155" s="700"/>
      <c r="YX155" s="700"/>
      <c r="YY155" s="700"/>
      <c r="YZ155" s="700"/>
      <c r="ZA155" s="700"/>
      <c r="ZB155" s="700"/>
      <c r="ZC155" s="700"/>
      <c r="ZD155" s="700"/>
      <c r="ZE155" s="700"/>
      <c r="ZF155" s="700"/>
      <c r="ZG155" s="700"/>
      <c r="ZH155" s="700"/>
      <c r="ZI155" s="700"/>
      <c r="ZJ155" s="700"/>
      <c r="ZK155" s="700"/>
      <c r="ZL155" s="700"/>
      <c r="ZM155" s="700"/>
      <c r="ZN155" s="700"/>
      <c r="ZO155" s="700"/>
      <c r="ZP155" s="700"/>
      <c r="ZQ155" s="700"/>
      <c r="ZR155" s="700"/>
      <c r="ZS155" s="700"/>
      <c r="ZT155" s="700"/>
      <c r="ZU155" s="700"/>
      <c r="ZV155" s="700"/>
      <c r="ZW155" s="700"/>
      <c r="ZX155" s="700"/>
      <c r="ZY155" s="700"/>
      <c r="ZZ155" s="700"/>
      <c r="AAA155" s="700"/>
      <c r="AAB155" s="700"/>
      <c r="AAC155" s="700"/>
      <c r="AAD155" s="700"/>
      <c r="AAE155" s="700"/>
      <c r="AAF155" s="700"/>
      <c r="AAG155" s="700"/>
      <c r="AAH155" s="700"/>
      <c r="AAI155" s="700"/>
      <c r="AAJ155" s="700"/>
      <c r="AAK155" s="700"/>
      <c r="AAL155" s="700"/>
      <c r="AAM155" s="700"/>
      <c r="AAN155" s="700"/>
      <c r="AAO155" s="700"/>
      <c r="AAP155" s="700"/>
      <c r="AAQ155" s="700"/>
      <c r="AAR155" s="700"/>
      <c r="AAS155" s="700"/>
      <c r="AAT155" s="700"/>
      <c r="AAU155" s="700"/>
      <c r="AAV155" s="700"/>
      <c r="AAW155" s="700"/>
      <c r="AAX155" s="700"/>
      <c r="AAY155" s="700"/>
      <c r="AAZ155" s="700"/>
      <c r="ABA155" s="700"/>
      <c r="ABB155" s="700"/>
      <c r="ABC155" s="700"/>
      <c r="ABD155" s="700"/>
      <c r="ABE155" s="700"/>
      <c r="ABF155" s="700"/>
      <c r="ABG155" s="700"/>
      <c r="ABH155" s="700"/>
      <c r="ABI155" s="700"/>
      <c r="ABJ155" s="700"/>
      <c r="ABK155" s="700"/>
      <c r="ABL155" s="700"/>
      <c r="ABM155" s="700"/>
      <c r="ABN155" s="700"/>
      <c r="ABO155" s="700"/>
      <c r="ABP155" s="700"/>
      <c r="ABQ155" s="700"/>
      <c r="ABR155" s="700"/>
      <c r="ABS155" s="700"/>
      <c r="ABT155" s="700"/>
      <c r="ABU155" s="700"/>
      <c r="ABV155" s="700"/>
      <c r="ABW155" s="700"/>
      <c r="ABX155" s="700"/>
      <c r="ABY155" s="700"/>
      <c r="ABZ155" s="700"/>
      <c r="ACA155" s="700"/>
      <c r="ACB155" s="700"/>
      <c r="ACC155" s="700"/>
      <c r="ACD155" s="700"/>
      <c r="ACE155" s="700"/>
      <c r="ACF155" s="700"/>
      <c r="ACG155" s="700"/>
      <c r="ACH155" s="700"/>
      <c r="ACI155" s="700"/>
      <c r="ACJ155" s="700"/>
      <c r="ACK155" s="700"/>
      <c r="ACL155" s="700"/>
      <c r="ACM155" s="700"/>
      <c r="ACN155" s="700"/>
      <c r="ACO155" s="700"/>
      <c r="ACP155" s="700"/>
      <c r="ACQ155" s="700"/>
      <c r="ACR155" s="700"/>
      <c r="ACS155" s="700"/>
      <c r="ACT155" s="700"/>
      <c r="ACU155" s="700"/>
      <c r="ACV155" s="700"/>
      <c r="ACW155" s="700"/>
      <c r="ACX155" s="700"/>
      <c r="ACY155" s="700"/>
      <c r="ACZ155" s="700"/>
      <c r="ADA155" s="700"/>
      <c r="ADB155" s="700"/>
      <c r="ADC155" s="700"/>
      <c r="ADD155" s="700"/>
      <c r="ADE155" s="700"/>
      <c r="ADF155" s="700"/>
      <c r="ADG155" s="700"/>
      <c r="ADH155" s="700"/>
      <c r="ADI155" s="700"/>
      <c r="ADJ155" s="700"/>
      <c r="ADK155" s="700"/>
      <c r="ADL155" s="700"/>
      <c r="ADM155" s="700"/>
      <c r="ADN155" s="700"/>
      <c r="ADO155" s="700"/>
      <c r="ADP155" s="700"/>
      <c r="ADQ155" s="700"/>
      <c r="ADR155" s="700"/>
      <c r="ADS155" s="700"/>
      <c r="ADT155" s="700"/>
      <c r="ADU155" s="700"/>
      <c r="ADV155" s="700"/>
      <c r="ADW155" s="700"/>
      <c r="ADX155" s="700"/>
      <c r="ADY155" s="700"/>
      <c r="ADZ155" s="700"/>
      <c r="AEA155" s="700"/>
      <c r="AEB155" s="700"/>
      <c r="AEC155" s="700"/>
      <c r="AED155" s="700"/>
      <c r="AEE155" s="700"/>
      <c r="AEF155" s="700"/>
      <c r="AEG155" s="700"/>
      <c r="AEH155" s="700"/>
      <c r="AEI155" s="700"/>
      <c r="AEJ155" s="700"/>
      <c r="AEK155" s="700"/>
      <c r="AEL155" s="700"/>
      <c r="AEM155" s="700"/>
      <c r="AEN155" s="700"/>
      <c r="AEO155" s="700"/>
      <c r="AEP155" s="700"/>
      <c r="AEQ155" s="700"/>
      <c r="AER155" s="700"/>
      <c r="AES155" s="700"/>
      <c r="AET155" s="700"/>
      <c r="AEU155" s="700"/>
      <c r="AEV155" s="700"/>
      <c r="AEW155" s="700"/>
      <c r="AEX155" s="700"/>
      <c r="AEY155" s="700"/>
      <c r="AEZ155" s="700"/>
      <c r="AFA155" s="700"/>
      <c r="AFB155" s="700"/>
      <c r="AFC155" s="700"/>
      <c r="AFD155" s="700"/>
      <c r="AFE155" s="700"/>
      <c r="AFF155" s="700"/>
      <c r="AFG155" s="700"/>
      <c r="AFH155" s="700"/>
      <c r="AFI155" s="700"/>
      <c r="AFJ155" s="700"/>
      <c r="AFK155" s="700"/>
      <c r="AFL155" s="700"/>
      <c r="AFM155" s="700"/>
      <c r="AFN155" s="700"/>
      <c r="AFO155" s="700"/>
      <c r="AFP155" s="700"/>
      <c r="AFQ155" s="700"/>
      <c r="AFR155" s="700"/>
      <c r="AFS155" s="700"/>
      <c r="AFT155" s="700"/>
      <c r="AFU155" s="700"/>
      <c r="AFV155" s="700"/>
      <c r="AFW155" s="700"/>
      <c r="AFX155" s="700"/>
      <c r="AFY155" s="700"/>
      <c r="AFZ155" s="700"/>
      <c r="AGA155" s="700"/>
      <c r="AGB155" s="700"/>
      <c r="AGC155" s="700"/>
      <c r="AGD155" s="700"/>
      <c r="AGE155" s="700"/>
      <c r="AGF155" s="700"/>
      <c r="AGG155" s="700"/>
      <c r="AGH155" s="700"/>
      <c r="AGI155" s="700"/>
      <c r="AGJ155" s="700"/>
      <c r="AGK155" s="700"/>
      <c r="AGL155" s="700"/>
      <c r="AGM155" s="700"/>
      <c r="AGN155" s="700"/>
      <c r="AGO155" s="700"/>
      <c r="AGP155" s="700"/>
      <c r="AGQ155" s="700"/>
      <c r="AGR155" s="700"/>
      <c r="AGS155" s="700"/>
      <c r="AGT155" s="700"/>
      <c r="AGU155" s="700"/>
      <c r="AGV155" s="700"/>
      <c r="AGW155" s="700"/>
      <c r="AGX155" s="700"/>
      <c r="AGY155" s="700"/>
      <c r="AGZ155" s="700"/>
      <c r="AHA155" s="700"/>
      <c r="AHB155" s="700"/>
      <c r="AHC155" s="700"/>
      <c r="AHD155" s="700"/>
      <c r="AHE155" s="700"/>
      <c r="AHF155" s="700"/>
      <c r="AHG155" s="700"/>
      <c r="AHH155" s="700"/>
      <c r="AHI155" s="700"/>
      <c r="AHJ155" s="700"/>
      <c r="AHK155" s="700"/>
      <c r="AHL155" s="700"/>
      <c r="AHM155" s="700"/>
      <c r="AHN155" s="700"/>
      <c r="AHO155" s="700"/>
      <c r="AHP155" s="700"/>
      <c r="AHQ155" s="700"/>
      <c r="AHR155" s="700"/>
      <c r="AHS155" s="700"/>
      <c r="AHT155" s="700"/>
      <c r="AHU155" s="700"/>
      <c r="AHV155" s="700"/>
      <c r="AHW155" s="700"/>
      <c r="AHX155" s="700"/>
      <c r="AHY155" s="700"/>
      <c r="AHZ155" s="700"/>
      <c r="AIA155" s="700"/>
      <c r="AIB155" s="700"/>
      <c r="AIC155" s="700"/>
      <c r="AID155" s="700"/>
      <c r="AIE155" s="700"/>
      <c r="AIF155" s="700"/>
      <c r="AIG155" s="700"/>
      <c r="AIH155" s="700"/>
      <c r="AII155" s="700"/>
      <c r="AIJ155" s="700"/>
      <c r="AIK155" s="700"/>
      <c r="AIL155" s="700"/>
      <c r="AIM155" s="700"/>
      <c r="AIN155" s="700"/>
      <c r="AIO155" s="700"/>
      <c r="AIP155" s="700"/>
      <c r="AIQ155" s="700"/>
      <c r="AIR155" s="700"/>
      <c r="AIS155" s="700"/>
      <c r="AIT155" s="700"/>
      <c r="AIU155" s="700"/>
      <c r="AIV155" s="700"/>
      <c r="AIW155" s="700"/>
      <c r="AIX155" s="700"/>
      <c r="AIY155" s="700"/>
      <c r="AIZ155" s="700"/>
      <c r="AJA155" s="700"/>
      <c r="AJB155" s="700"/>
      <c r="AJC155" s="700"/>
      <c r="AJD155" s="700"/>
      <c r="AJE155" s="700"/>
      <c r="AJF155" s="700"/>
      <c r="AJG155" s="700"/>
      <c r="AJH155" s="700"/>
      <c r="AJI155" s="700"/>
      <c r="AJJ155" s="700"/>
      <c r="AJK155" s="700"/>
      <c r="AJL155" s="700"/>
      <c r="AJM155" s="700"/>
      <c r="AJN155" s="700"/>
      <c r="AJO155" s="700"/>
      <c r="AJP155" s="700"/>
      <c r="AJQ155" s="700"/>
      <c r="AJR155" s="700"/>
      <c r="AJS155" s="700"/>
      <c r="AJT155" s="700"/>
      <c r="AJU155" s="700"/>
      <c r="AJV155" s="700"/>
      <c r="AJW155" s="700"/>
      <c r="AJX155" s="700"/>
      <c r="AJY155" s="700"/>
      <c r="AJZ155" s="700"/>
      <c r="AKA155" s="700"/>
      <c r="AKB155" s="700"/>
      <c r="AKC155" s="700"/>
      <c r="AKD155" s="700"/>
      <c r="AKE155" s="700"/>
      <c r="AKF155" s="700"/>
      <c r="AKG155" s="700"/>
      <c r="AKH155" s="700"/>
      <c r="AKI155" s="700"/>
      <c r="AKJ155" s="700"/>
      <c r="AKK155" s="700"/>
      <c r="AKL155" s="700"/>
      <c r="AKM155" s="700"/>
      <c r="AKN155" s="700"/>
      <c r="AKO155" s="700"/>
      <c r="AKP155" s="700"/>
      <c r="AKQ155" s="700"/>
      <c r="AKR155" s="700"/>
      <c r="AKS155" s="700"/>
      <c r="AKT155" s="700"/>
      <c r="AKU155" s="700"/>
      <c r="AKV155" s="700"/>
      <c r="AKW155" s="700"/>
      <c r="AKX155" s="700"/>
      <c r="AKY155" s="700"/>
      <c r="AKZ155" s="700"/>
      <c r="ALA155" s="700"/>
      <c r="ALB155" s="700"/>
      <c r="ALC155" s="700"/>
      <c r="ALD155" s="700"/>
      <c r="ALE155" s="700"/>
      <c r="ALF155" s="700"/>
      <c r="ALG155" s="700"/>
      <c r="ALH155" s="700"/>
      <c r="ALI155" s="700"/>
      <c r="ALJ155" s="700"/>
      <c r="ALK155" s="700"/>
      <c r="ALL155" s="700"/>
      <c r="ALM155" s="700"/>
      <c r="ALN155" s="700"/>
      <c r="ALO155" s="700"/>
      <c r="ALP155" s="700"/>
      <c r="ALQ155" s="700"/>
      <c r="ALR155" s="700"/>
      <c r="ALS155" s="700"/>
      <c r="ALT155" s="700"/>
      <c r="ALU155" s="700"/>
      <c r="ALV155" s="700"/>
      <c r="ALW155" s="700"/>
      <c r="ALX155" s="700"/>
      <c r="ALY155" s="700"/>
      <c r="ALZ155" s="700"/>
      <c r="AMA155" s="700"/>
      <c r="AMB155" s="700"/>
      <c r="AMC155" s="700"/>
      <c r="AMD155" s="700"/>
      <c r="AME155" s="700"/>
      <c r="AMF155" s="700"/>
      <c r="AMG155" s="700"/>
      <c r="AMH155" s="700"/>
      <c r="AMI155" s="700"/>
      <c r="AMJ155" s="700"/>
      <c r="AMK155" s="700"/>
      <c r="AML155" s="700"/>
      <c r="AMM155" s="700"/>
      <c r="AMN155" s="700"/>
      <c r="AMO155" s="700"/>
      <c r="AMP155" s="700"/>
      <c r="AMQ155" s="700"/>
      <c r="AMR155" s="700"/>
      <c r="AMS155" s="700"/>
      <c r="AMT155" s="700"/>
      <c r="AMU155" s="700"/>
      <c r="AMV155" s="700"/>
      <c r="AMW155" s="700"/>
      <c r="AMX155" s="700"/>
      <c r="AMY155" s="700"/>
      <c r="AMZ155" s="700"/>
      <c r="ANA155" s="700"/>
      <c r="ANB155" s="700"/>
      <c r="ANC155" s="700"/>
      <c r="AND155" s="700"/>
      <c r="ANE155" s="700"/>
      <c r="ANF155" s="700"/>
      <c r="ANG155" s="700"/>
      <c r="ANH155" s="700"/>
      <c r="ANI155" s="700"/>
      <c r="ANJ155" s="700"/>
      <c r="ANK155" s="700"/>
      <c r="ANL155" s="700"/>
      <c r="ANM155" s="700"/>
      <c r="ANN155" s="700"/>
      <c r="ANO155" s="700"/>
      <c r="ANP155" s="700"/>
      <c r="ANQ155" s="700"/>
      <c r="ANR155" s="700"/>
      <c r="ANS155" s="700"/>
      <c r="ANT155" s="700"/>
      <c r="ANU155" s="700"/>
      <c r="ANV155" s="700"/>
      <c r="ANW155" s="700"/>
      <c r="ANX155" s="700"/>
      <c r="ANY155" s="700"/>
      <c r="ANZ155" s="700"/>
      <c r="AOA155" s="700"/>
      <c r="AOB155" s="700"/>
      <c r="AOC155" s="700"/>
      <c r="AOD155" s="700"/>
      <c r="AOE155" s="700"/>
      <c r="AOF155" s="700"/>
      <c r="AOG155" s="700"/>
      <c r="AOH155" s="700"/>
      <c r="AOI155" s="700"/>
      <c r="AOJ155" s="700"/>
      <c r="AOK155" s="700"/>
      <c r="AOL155" s="700"/>
      <c r="AOM155" s="700"/>
      <c r="AON155" s="700"/>
      <c r="AOO155" s="700"/>
      <c r="AOP155" s="700"/>
      <c r="AOQ155" s="700"/>
      <c r="AOR155" s="700"/>
      <c r="AOS155" s="700"/>
      <c r="AOT155" s="700"/>
      <c r="AOU155" s="700"/>
      <c r="AOV155" s="700"/>
      <c r="AOW155" s="700"/>
      <c r="AOX155" s="700"/>
      <c r="AOY155" s="700"/>
      <c r="AOZ155" s="700"/>
      <c r="APA155" s="700"/>
      <c r="APB155" s="700"/>
      <c r="APC155" s="700"/>
      <c r="APD155" s="700"/>
      <c r="APE155" s="700"/>
      <c r="APF155" s="700"/>
      <c r="APG155" s="700"/>
      <c r="APH155" s="700"/>
      <c r="API155" s="700"/>
      <c r="APJ155" s="700"/>
      <c r="APK155" s="700"/>
      <c r="APL155" s="700"/>
      <c r="APM155" s="700"/>
      <c r="APN155" s="700"/>
      <c r="APO155" s="700"/>
      <c r="APP155" s="700"/>
      <c r="APQ155" s="700"/>
      <c r="APR155" s="700"/>
      <c r="APS155" s="700"/>
      <c r="APT155" s="700"/>
      <c r="APU155" s="700"/>
      <c r="APV155" s="700"/>
      <c r="APW155" s="700"/>
      <c r="APX155" s="700"/>
      <c r="APY155" s="700"/>
      <c r="APZ155" s="700"/>
      <c r="AQA155" s="700"/>
      <c r="AQB155" s="700"/>
      <c r="AQC155" s="700"/>
      <c r="AQD155" s="700"/>
      <c r="AQE155" s="700"/>
      <c r="AQF155" s="700"/>
      <c r="AQG155" s="700"/>
      <c r="AQH155" s="700"/>
      <c r="AQI155" s="700"/>
      <c r="AQJ155" s="700"/>
      <c r="AQK155" s="700"/>
      <c r="AQL155" s="700"/>
      <c r="AQM155" s="700"/>
      <c r="AQN155" s="700"/>
      <c r="AQO155" s="700"/>
      <c r="AQP155" s="700"/>
      <c r="AQQ155" s="700"/>
      <c r="AQR155" s="700"/>
      <c r="AQS155" s="700"/>
      <c r="AQT155" s="700"/>
      <c r="AQU155" s="700"/>
      <c r="AQV155" s="700"/>
      <c r="AQW155" s="700"/>
      <c r="AQX155" s="700"/>
      <c r="AQY155" s="700"/>
      <c r="AQZ155" s="700"/>
      <c r="ARA155" s="700"/>
      <c r="ARB155" s="700"/>
      <c r="ARC155" s="700"/>
      <c r="ARD155" s="700"/>
      <c r="ARE155" s="700"/>
      <c r="ARF155" s="700"/>
      <c r="ARG155" s="700"/>
      <c r="ARH155" s="700"/>
      <c r="ARI155" s="700"/>
      <c r="ARJ155" s="700"/>
      <c r="ARK155" s="700"/>
      <c r="ARL155" s="700"/>
      <c r="ARM155" s="700"/>
      <c r="ARN155" s="700"/>
      <c r="ARO155" s="700"/>
      <c r="ARP155" s="700"/>
      <c r="ARQ155" s="700"/>
      <c r="ARR155" s="700"/>
      <c r="ARS155" s="700"/>
      <c r="ART155" s="700"/>
      <c r="ARU155" s="700"/>
      <c r="ARV155" s="700"/>
      <c r="ARW155" s="700"/>
      <c r="ARX155" s="700"/>
      <c r="ARY155" s="700"/>
      <c r="ARZ155" s="700"/>
      <c r="ASA155" s="700"/>
      <c r="ASB155" s="700"/>
      <c r="ASC155" s="700"/>
      <c r="ASD155" s="700"/>
      <c r="ASE155" s="700"/>
      <c r="ASF155" s="700"/>
      <c r="ASG155" s="700"/>
      <c r="ASH155" s="700"/>
      <c r="ASI155" s="700"/>
      <c r="ASJ155" s="700"/>
      <c r="ASK155" s="700"/>
      <c r="ASL155" s="700"/>
      <c r="ASM155" s="700"/>
      <c r="ASN155" s="700"/>
      <c r="ASO155" s="700"/>
      <c r="ASP155" s="700"/>
      <c r="ASQ155" s="700"/>
      <c r="ASR155" s="700"/>
      <c r="ASS155" s="700"/>
      <c r="AST155" s="700"/>
      <c r="ASU155" s="700"/>
      <c r="ASV155" s="700"/>
      <c r="ASW155" s="700"/>
      <c r="ASX155" s="700"/>
      <c r="ASY155" s="700"/>
      <c r="ASZ155" s="700"/>
      <c r="ATA155" s="700"/>
      <c r="ATB155" s="700"/>
      <c r="ATC155" s="700"/>
      <c r="ATD155" s="700"/>
      <c r="ATE155" s="700"/>
      <c r="ATF155" s="700"/>
      <c r="ATG155" s="700"/>
      <c r="ATH155" s="700"/>
      <c r="ATI155" s="700"/>
      <c r="ATJ155" s="700"/>
      <c r="ATK155" s="700"/>
      <c r="ATL155" s="700"/>
      <c r="ATM155" s="700"/>
      <c r="ATN155" s="700"/>
      <c r="ATO155" s="700"/>
      <c r="ATP155" s="700"/>
      <c r="ATQ155" s="700"/>
      <c r="ATR155" s="700"/>
      <c r="ATS155" s="700"/>
      <c r="ATT155" s="700"/>
      <c r="ATU155" s="700"/>
      <c r="ATV155" s="700"/>
      <c r="ATW155" s="700"/>
      <c r="ATX155" s="700"/>
      <c r="ATY155" s="700"/>
      <c r="ATZ155" s="700"/>
      <c r="AUA155" s="700"/>
      <c r="AUB155" s="700"/>
      <c r="AUC155" s="700"/>
      <c r="AUD155" s="700"/>
      <c r="AUE155" s="700"/>
      <c r="AUF155" s="700"/>
      <c r="AUG155" s="700"/>
      <c r="AUH155" s="700"/>
      <c r="AUI155" s="700"/>
      <c r="AUJ155" s="700"/>
      <c r="AUK155" s="700"/>
      <c r="AUL155" s="700"/>
      <c r="AUM155" s="700"/>
      <c r="AUN155" s="700"/>
      <c r="AUO155" s="700"/>
      <c r="AUP155" s="700"/>
      <c r="AUQ155" s="700"/>
      <c r="AUR155" s="700"/>
      <c r="AUS155" s="700"/>
      <c r="AUT155" s="700"/>
      <c r="AUU155" s="700"/>
      <c r="AUV155" s="700"/>
      <c r="AUW155" s="700"/>
      <c r="AUX155" s="700"/>
      <c r="AUY155" s="700"/>
      <c r="AUZ155" s="700"/>
      <c r="AVA155" s="700"/>
      <c r="AVB155" s="700"/>
      <c r="AVC155" s="700"/>
      <c r="AVD155" s="700"/>
      <c r="AVE155" s="700"/>
      <c r="AVF155" s="700"/>
      <c r="AVG155" s="700"/>
      <c r="AVH155" s="700"/>
      <c r="AVI155" s="700"/>
      <c r="AVJ155" s="700"/>
      <c r="AVK155" s="700"/>
      <c r="AVL155" s="700"/>
      <c r="AVM155" s="700"/>
      <c r="AVN155" s="700"/>
      <c r="AVO155" s="700"/>
      <c r="AVP155" s="700"/>
      <c r="AVQ155" s="700"/>
      <c r="AVR155" s="700"/>
      <c r="AVS155" s="700"/>
      <c r="AVT155" s="700"/>
      <c r="AVU155" s="700"/>
      <c r="AVV155" s="700"/>
      <c r="AVW155" s="700"/>
      <c r="AVX155" s="700"/>
      <c r="AVY155" s="700"/>
      <c r="AVZ155" s="700"/>
      <c r="AWA155" s="700"/>
      <c r="AWB155" s="700"/>
      <c r="AWC155" s="700"/>
      <c r="AWD155" s="700"/>
      <c r="AWE155" s="700"/>
      <c r="AWF155" s="700"/>
      <c r="AWG155" s="700"/>
      <c r="AWH155" s="700"/>
      <c r="AWI155" s="700"/>
      <c r="AWJ155" s="700"/>
      <c r="AWK155" s="700"/>
      <c r="AWL155" s="700"/>
      <c r="AWM155" s="700"/>
      <c r="AWN155" s="700"/>
      <c r="AWO155" s="700"/>
      <c r="AWP155" s="700"/>
      <c r="AWQ155" s="700"/>
      <c r="AWR155" s="700"/>
      <c r="AWS155" s="700"/>
      <c r="AWT155" s="700"/>
      <c r="AWU155" s="700"/>
      <c r="AWV155" s="700"/>
      <c r="AWW155" s="700"/>
      <c r="AWX155" s="700"/>
      <c r="AWY155" s="700"/>
      <c r="AWZ155" s="700"/>
      <c r="AXA155" s="700"/>
      <c r="AXB155" s="700"/>
      <c r="AXC155" s="700"/>
      <c r="AXD155" s="700"/>
      <c r="AXE155" s="700"/>
      <c r="AXF155" s="700"/>
      <c r="AXG155" s="700"/>
      <c r="AXH155" s="700"/>
      <c r="AXI155" s="700"/>
      <c r="AXJ155" s="700"/>
      <c r="AXK155" s="700"/>
      <c r="AXL155" s="700"/>
      <c r="AXM155" s="700"/>
      <c r="AXN155" s="700"/>
      <c r="AXO155" s="700"/>
      <c r="AXP155" s="700"/>
      <c r="AXQ155" s="700"/>
      <c r="AXR155" s="700"/>
      <c r="AXS155" s="700"/>
      <c r="AXT155" s="700"/>
      <c r="AXU155" s="700"/>
      <c r="AXV155" s="700"/>
      <c r="AXW155" s="700"/>
      <c r="AXX155" s="700"/>
      <c r="AXY155" s="700"/>
      <c r="AXZ155" s="700"/>
      <c r="AYA155" s="700"/>
      <c r="AYB155" s="700"/>
      <c r="AYC155" s="700"/>
      <c r="AYD155" s="700"/>
      <c r="AYE155" s="700"/>
      <c r="AYF155" s="700"/>
      <c r="AYG155" s="700"/>
      <c r="AYH155" s="700"/>
      <c r="AYI155" s="700"/>
      <c r="AYJ155" s="700"/>
      <c r="AYK155" s="700"/>
      <c r="AYL155" s="700"/>
      <c r="AYM155" s="700"/>
      <c r="AYN155" s="700"/>
      <c r="AYO155" s="700"/>
      <c r="AYP155" s="700"/>
      <c r="AYQ155" s="700"/>
      <c r="AYR155" s="700"/>
      <c r="AYS155" s="700"/>
      <c r="AYT155" s="700"/>
      <c r="AYU155" s="700"/>
      <c r="AYV155" s="700"/>
      <c r="AYW155" s="700"/>
      <c r="AYX155" s="700"/>
      <c r="AYY155" s="700"/>
      <c r="AYZ155" s="700"/>
      <c r="AZA155" s="700"/>
      <c r="AZB155" s="700"/>
      <c r="AZC155" s="700"/>
      <c r="AZD155" s="700"/>
      <c r="AZE155" s="700"/>
      <c r="AZF155" s="700"/>
      <c r="AZG155" s="700"/>
      <c r="AZH155" s="700"/>
      <c r="AZI155" s="700"/>
      <c r="AZJ155" s="700"/>
      <c r="AZK155" s="700"/>
      <c r="AZL155" s="700"/>
      <c r="AZM155" s="700"/>
      <c r="AZN155" s="700"/>
      <c r="AZO155" s="700"/>
      <c r="AZP155" s="700"/>
      <c r="AZQ155" s="700"/>
      <c r="AZR155" s="700"/>
      <c r="AZS155" s="700"/>
      <c r="AZT155" s="700"/>
      <c r="AZU155" s="700"/>
      <c r="AZV155" s="700"/>
      <c r="AZW155" s="700"/>
      <c r="AZX155" s="700"/>
      <c r="AZY155" s="700"/>
      <c r="AZZ155" s="700"/>
      <c r="BAA155" s="700"/>
      <c r="BAB155" s="700"/>
      <c r="BAC155" s="700"/>
      <c r="BAD155" s="700"/>
      <c r="BAE155" s="700"/>
      <c r="BAF155" s="700"/>
      <c r="BAG155" s="700"/>
      <c r="BAH155" s="700"/>
      <c r="BAI155" s="700"/>
      <c r="BAJ155" s="700"/>
      <c r="BAK155" s="700"/>
      <c r="BAL155" s="700"/>
      <c r="BAM155" s="700"/>
      <c r="BAN155" s="700"/>
      <c r="BAO155" s="700"/>
      <c r="BAP155" s="700"/>
      <c r="BAQ155" s="700"/>
      <c r="BAR155" s="700"/>
      <c r="BAS155" s="700"/>
      <c r="BAT155" s="700"/>
      <c r="BAU155" s="700"/>
      <c r="BAV155" s="700"/>
      <c r="BAW155" s="700"/>
      <c r="BAX155" s="700"/>
      <c r="BAY155" s="700"/>
      <c r="BAZ155" s="700"/>
      <c r="BBA155" s="700"/>
      <c r="BBB155" s="700"/>
      <c r="BBC155" s="700"/>
      <c r="BBD155" s="700"/>
      <c r="BBE155" s="700"/>
      <c r="BBF155" s="700"/>
      <c r="BBG155" s="700"/>
      <c r="BBH155" s="700"/>
      <c r="BBI155" s="700"/>
      <c r="BBJ155" s="700"/>
      <c r="BBK155" s="700"/>
      <c r="BBL155" s="700"/>
      <c r="BBM155" s="700"/>
      <c r="BBN155" s="700"/>
      <c r="BBO155" s="700"/>
      <c r="BBP155" s="700"/>
      <c r="BBQ155" s="700"/>
      <c r="BBR155" s="700"/>
      <c r="BBS155" s="700"/>
      <c r="BBT155" s="700"/>
      <c r="BBU155" s="700"/>
      <c r="BBV155" s="700"/>
      <c r="BBW155" s="700"/>
      <c r="BBX155" s="700"/>
      <c r="BBY155" s="700"/>
      <c r="BBZ155" s="700"/>
      <c r="BCA155" s="700"/>
      <c r="BCB155" s="700"/>
      <c r="BCC155" s="700"/>
      <c r="BCD155" s="700"/>
      <c r="BCE155" s="700"/>
      <c r="BCF155" s="700"/>
      <c r="BCG155" s="700"/>
      <c r="BCH155" s="700"/>
      <c r="BCI155" s="700"/>
      <c r="BCJ155" s="700"/>
      <c r="BCK155" s="700"/>
      <c r="BCL155" s="700"/>
      <c r="BCM155" s="700"/>
      <c r="BCN155" s="700"/>
      <c r="BCO155" s="700"/>
      <c r="BCP155" s="700"/>
      <c r="BCQ155" s="700"/>
      <c r="BCR155" s="700"/>
      <c r="BCS155" s="700"/>
      <c r="BCT155" s="700"/>
      <c r="BCU155" s="700"/>
      <c r="BCV155" s="700"/>
      <c r="BCW155" s="700"/>
      <c r="BCX155" s="700"/>
      <c r="BCY155" s="700"/>
      <c r="BCZ155" s="700"/>
      <c r="BDA155" s="700"/>
      <c r="BDB155" s="700"/>
      <c r="BDC155" s="700"/>
      <c r="BDD155" s="700"/>
      <c r="BDE155" s="700"/>
      <c r="BDF155" s="700"/>
      <c r="BDG155" s="700"/>
      <c r="BDH155" s="700"/>
      <c r="BDI155" s="700"/>
      <c r="BDJ155" s="700"/>
      <c r="BDK155" s="700"/>
      <c r="BDL155" s="700"/>
      <c r="BDM155" s="700"/>
      <c r="BDN155" s="700"/>
      <c r="BDO155" s="700"/>
      <c r="BDP155" s="700"/>
      <c r="BDQ155" s="700"/>
      <c r="BDR155" s="700"/>
      <c r="BDS155" s="700"/>
      <c r="BDT155" s="700"/>
      <c r="BDU155" s="700"/>
      <c r="BDV155" s="700"/>
      <c r="BDW155" s="700"/>
      <c r="BDX155" s="700"/>
      <c r="BDY155" s="700"/>
      <c r="BDZ155" s="700"/>
      <c r="BEA155" s="700"/>
      <c r="BEB155" s="700"/>
      <c r="BEC155" s="700"/>
      <c r="BED155" s="700"/>
      <c r="BEE155" s="700"/>
      <c r="BEF155" s="700"/>
      <c r="BEG155" s="700"/>
      <c r="BEH155" s="700"/>
      <c r="BEI155" s="700"/>
      <c r="BEJ155" s="700"/>
      <c r="BEK155" s="700"/>
      <c r="BEL155" s="700"/>
      <c r="BEM155" s="700"/>
      <c r="BEN155" s="700"/>
      <c r="BEO155" s="700"/>
      <c r="BEP155" s="700"/>
      <c r="BEQ155" s="700"/>
      <c r="BER155" s="700"/>
      <c r="BES155" s="700"/>
      <c r="BET155" s="700"/>
      <c r="BEU155" s="700"/>
      <c r="BEV155" s="700"/>
      <c r="BEW155" s="700"/>
      <c r="BEX155" s="700"/>
      <c r="BEY155" s="700"/>
      <c r="BEZ155" s="700"/>
      <c r="BFA155" s="700"/>
      <c r="BFB155" s="700"/>
      <c r="BFC155" s="700"/>
      <c r="BFD155" s="700"/>
      <c r="BFE155" s="700"/>
      <c r="BFF155" s="700"/>
      <c r="BFG155" s="700"/>
      <c r="BFH155" s="700"/>
      <c r="BFI155" s="700"/>
      <c r="BFJ155" s="700"/>
      <c r="BFK155" s="700"/>
      <c r="BFL155" s="700"/>
      <c r="BFM155" s="700"/>
      <c r="BFN155" s="700"/>
      <c r="BFO155" s="700"/>
      <c r="BFP155" s="700"/>
      <c r="BFQ155" s="700"/>
      <c r="BFR155" s="700"/>
      <c r="BFS155" s="700"/>
      <c r="BFT155" s="700"/>
      <c r="BFU155" s="700"/>
      <c r="BFV155" s="700"/>
      <c r="BFW155" s="700"/>
      <c r="BFX155" s="700"/>
      <c r="BFY155" s="700"/>
      <c r="BFZ155" s="700"/>
      <c r="BGA155" s="700"/>
      <c r="BGB155" s="700"/>
      <c r="BGC155" s="700"/>
      <c r="BGD155" s="700"/>
      <c r="BGE155" s="700"/>
      <c r="BGF155" s="700"/>
      <c r="BGG155" s="700"/>
      <c r="BGH155" s="700"/>
      <c r="BGI155" s="700"/>
      <c r="BGJ155" s="700"/>
      <c r="BGK155" s="700"/>
      <c r="BGL155" s="700"/>
      <c r="BGM155" s="700"/>
      <c r="BGN155" s="700"/>
      <c r="BGO155" s="700"/>
      <c r="BGP155" s="700"/>
      <c r="BGQ155" s="700"/>
      <c r="BGR155" s="700"/>
      <c r="BGS155" s="700"/>
      <c r="BGT155" s="700"/>
      <c r="BGU155" s="700"/>
      <c r="BGV155" s="700"/>
      <c r="BGW155" s="700"/>
      <c r="BGX155" s="700"/>
      <c r="BGY155" s="700"/>
      <c r="BGZ155" s="700"/>
      <c r="BHA155" s="700"/>
      <c r="BHB155" s="700"/>
      <c r="BHC155" s="700"/>
      <c r="BHD155" s="700"/>
      <c r="BHE155" s="700"/>
      <c r="BHF155" s="700"/>
      <c r="BHG155" s="700"/>
      <c r="BHH155" s="700"/>
      <c r="BHI155" s="700"/>
      <c r="BHJ155" s="700"/>
      <c r="BHK155" s="700"/>
      <c r="BHL155" s="700"/>
      <c r="BHM155" s="700"/>
      <c r="BHN155" s="700"/>
      <c r="BHO155" s="700"/>
      <c r="BHP155" s="700"/>
      <c r="BHQ155" s="700"/>
      <c r="BHR155" s="700"/>
      <c r="BHS155" s="700"/>
      <c r="BHT155" s="700"/>
      <c r="BHU155" s="700"/>
      <c r="BHV155" s="700"/>
      <c r="BHW155" s="700"/>
      <c r="BHX155" s="700"/>
      <c r="BHY155" s="700"/>
      <c r="BHZ155" s="700"/>
      <c r="BIA155" s="700"/>
      <c r="BIB155" s="700"/>
      <c r="BIC155" s="700"/>
      <c r="BID155" s="700"/>
      <c r="BIE155" s="700"/>
      <c r="BIF155" s="700"/>
      <c r="BIG155" s="700"/>
      <c r="BIH155" s="700"/>
      <c r="BII155" s="700"/>
      <c r="BIJ155" s="700"/>
      <c r="BIK155" s="700"/>
      <c r="BIL155" s="700"/>
      <c r="BIM155" s="700"/>
      <c r="BIN155" s="700"/>
      <c r="BIO155" s="700"/>
      <c r="BIP155" s="700"/>
      <c r="BIQ155" s="700"/>
      <c r="BIR155" s="700"/>
      <c r="BIS155" s="700"/>
      <c r="BIT155" s="700"/>
      <c r="BIU155" s="700"/>
      <c r="BIV155" s="700"/>
      <c r="BIW155" s="700"/>
      <c r="BIX155" s="700"/>
      <c r="BIY155" s="700"/>
      <c r="BIZ155" s="700"/>
      <c r="BJA155" s="700"/>
      <c r="BJB155" s="700"/>
      <c r="BJC155" s="700"/>
      <c r="BJD155" s="700"/>
      <c r="BJE155" s="700"/>
      <c r="BJF155" s="700"/>
      <c r="BJG155" s="700"/>
      <c r="BJH155" s="700"/>
      <c r="BJI155" s="700"/>
      <c r="BJJ155" s="700"/>
      <c r="BJK155" s="700"/>
      <c r="BJL155" s="700"/>
      <c r="BJM155" s="700"/>
      <c r="BJN155" s="700"/>
      <c r="BJO155" s="700"/>
      <c r="BJP155" s="700"/>
      <c r="BJQ155" s="700"/>
      <c r="BJR155" s="700"/>
      <c r="BJS155" s="700"/>
      <c r="BJT155" s="700"/>
      <c r="BJU155" s="700"/>
      <c r="BJV155" s="700"/>
      <c r="BJW155" s="700"/>
      <c r="BJX155" s="700"/>
      <c r="BJY155" s="700"/>
      <c r="BJZ155" s="700"/>
      <c r="BKA155" s="700"/>
      <c r="BKB155" s="700"/>
      <c r="BKC155" s="700"/>
      <c r="BKD155" s="700"/>
      <c r="BKE155" s="700"/>
      <c r="BKF155" s="700"/>
      <c r="BKG155" s="700"/>
      <c r="BKH155" s="700"/>
      <c r="BKI155" s="700"/>
      <c r="BKJ155" s="700"/>
      <c r="BKK155" s="700"/>
      <c r="BKL155" s="700"/>
      <c r="BKM155" s="700"/>
      <c r="BKN155" s="700"/>
      <c r="BKO155" s="700"/>
      <c r="BKP155" s="700"/>
      <c r="BKQ155" s="700"/>
      <c r="BKR155" s="700"/>
      <c r="BKS155" s="700"/>
      <c r="BKT155" s="700"/>
      <c r="BKU155" s="700"/>
      <c r="BKV155" s="700"/>
      <c r="BKW155" s="700"/>
      <c r="BKX155" s="700"/>
      <c r="BKY155" s="700"/>
      <c r="BKZ155" s="700"/>
      <c r="BLA155" s="700"/>
      <c r="BLB155" s="700"/>
      <c r="BLC155" s="700"/>
      <c r="BLD155" s="700"/>
      <c r="BLE155" s="700"/>
      <c r="BLF155" s="700"/>
      <c r="BLG155" s="700"/>
      <c r="BLH155" s="700"/>
      <c r="BLI155" s="700"/>
      <c r="BLJ155" s="700"/>
      <c r="BLK155" s="700"/>
      <c r="BLL155" s="700"/>
      <c r="BLM155" s="700"/>
      <c r="BLN155" s="700"/>
      <c r="BLO155" s="700"/>
      <c r="BLP155" s="700"/>
      <c r="BLQ155" s="700"/>
      <c r="BLR155" s="700"/>
      <c r="BLS155" s="700"/>
      <c r="BLT155" s="700"/>
      <c r="BLU155" s="700"/>
      <c r="BLV155" s="700"/>
      <c r="BLW155" s="700"/>
      <c r="BLX155" s="700"/>
      <c r="BLY155" s="700"/>
      <c r="BLZ155" s="700"/>
      <c r="BMA155" s="700"/>
      <c r="BMB155" s="700"/>
      <c r="BMC155" s="700"/>
      <c r="BMD155" s="700"/>
      <c r="BME155" s="700"/>
      <c r="BMF155" s="700"/>
      <c r="BMG155" s="700"/>
      <c r="BMH155" s="700"/>
      <c r="BMI155" s="700"/>
      <c r="BMJ155" s="700"/>
      <c r="BMK155" s="700"/>
      <c r="BML155" s="700"/>
      <c r="BMM155" s="700"/>
      <c r="BMN155" s="700"/>
      <c r="BMO155" s="700"/>
      <c r="BMP155" s="700"/>
      <c r="BMQ155" s="700"/>
      <c r="BMR155" s="700"/>
      <c r="BMS155" s="700"/>
      <c r="BMT155" s="700"/>
      <c r="BMU155" s="700"/>
      <c r="BMV155" s="700"/>
      <c r="BMW155" s="700"/>
      <c r="BMX155" s="700"/>
      <c r="BMY155" s="700"/>
      <c r="BMZ155" s="700"/>
      <c r="BNA155" s="700"/>
      <c r="BNB155" s="700"/>
      <c r="BNC155" s="700"/>
      <c r="BND155" s="700"/>
      <c r="BNE155" s="700"/>
      <c r="BNF155" s="700"/>
      <c r="BNG155" s="700"/>
      <c r="BNH155" s="700"/>
      <c r="BNI155" s="700"/>
      <c r="BNJ155" s="700"/>
      <c r="BNK155" s="700"/>
      <c r="BNL155" s="700"/>
      <c r="BNM155" s="700"/>
      <c r="BNN155" s="700"/>
      <c r="BNO155" s="700"/>
      <c r="BNP155" s="700"/>
      <c r="BNQ155" s="700"/>
      <c r="BNR155" s="700"/>
      <c r="BNS155" s="700"/>
      <c r="BNT155" s="700"/>
      <c r="BNU155" s="700"/>
      <c r="BNV155" s="700"/>
      <c r="BNW155" s="700"/>
      <c r="BNX155" s="700"/>
      <c r="BNY155" s="700"/>
      <c r="BNZ155" s="700"/>
      <c r="BOA155" s="700"/>
      <c r="BOB155" s="700"/>
      <c r="BOC155" s="700"/>
      <c r="BOD155" s="700"/>
      <c r="BOE155" s="700"/>
      <c r="BOF155" s="700"/>
      <c r="BOG155" s="700"/>
      <c r="BOH155" s="700"/>
      <c r="BOI155" s="700"/>
      <c r="BOJ155" s="700"/>
      <c r="BOK155" s="700"/>
      <c r="BOL155" s="700"/>
      <c r="BOM155" s="700"/>
      <c r="BON155" s="700"/>
      <c r="BOO155" s="700"/>
      <c r="BOP155" s="700"/>
      <c r="BOQ155" s="700"/>
      <c r="BOR155" s="700"/>
      <c r="BOS155" s="700"/>
      <c r="BOT155" s="700"/>
      <c r="BOU155" s="700"/>
      <c r="BOV155" s="700"/>
      <c r="BOW155" s="700"/>
      <c r="BOX155" s="700"/>
      <c r="BOY155" s="700"/>
      <c r="BOZ155" s="700"/>
      <c r="BPA155" s="700"/>
      <c r="BPB155" s="700"/>
      <c r="BPC155" s="700"/>
      <c r="BPD155" s="700"/>
      <c r="BPE155" s="700"/>
      <c r="BPF155" s="700"/>
      <c r="BPG155" s="700"/>
      <c r="BPH155" s="700"/>
      <c r="BPI155" s="700"/>
      <c r="BPJ155" s="700"/>
      <c r="BPK155" s="700"/>
      <c r="BPL155" s="700"/>
      <c r="BPM155" s="700"/>
      <c r="BPN155" s="700"/>
      <c r="BPO155" s="700"/>
      <c r="BPP155" s="700"/>
      <c r="BPQ155" s="700"/>
      <c r="BPR155" s="700"/>
      <c r="BPS155" s="700"/>
      <c r="BPT155" s="700"/>
      <c r="BPU155" s="700"/>
      <c r="BPV155" s="700"/>
    </row>
    <row r="156" spans="1:1790" ht="48.75">
      <c r="A156" s="700" t="s">
        <v>700</v>
      </c>
      <c r="B156" s="700" t="s">
        <v>1288</v>
      </c>
      <c r="C156" s="774" t="s">
        <v>1333</v>
      </c>
      <c r="D156" s="801" t="s">
        <v>1334</v>
      </c>
      <c r="E156" s="700" t="s">
        <v>897</v>
      </c>
      <c r="F156" s="700"/>
      <c r="G156" s="793" t="s">
        <v>1335</v>
      </c>
      <c r="H156" s="700" t="s">
        <v>700</v>
      </c>
      <c r="I156" s="700" t="s">
        <v>897</v>
      </c>
      <c r="J156" s="795"/>
      <c r="K156" s="700"/>
      <c r="L156" s="700"/>
      <c r="M156" s="700"/>
      <c r="N156" s="700"/>
      <c r="O156" s="700"/>
      <c r="P156" s="700"/>
      <c r="Q156" s="700"/>
      <c r="R156" s="700"/>
      <c r="S156" s="700"/>
      <c r="T156" s="700"/>
      <c r="U156" s="700"/>
      <c r="V156" s="700"/>
      <c r="W156" s="700"/>
      <c r="X156" s="700"/>
      <c r="Y156" s="700"/>
      <c r="Z156" s="700"/>
      <c r="AA156" s="700"/>
      <c r="AB156" s="700"/>
      <c r="AC156" s="700"/>
      <c r="AD156" s="700"/>
      <c r="AE156" s="700"/>
      <c r="AF156" s="700"/>
      <c r="AG156" s="700"/>
      <c r="AH156" s="700"/>
      <c r="AI156" s="700"/>
      <c r="AJ156" s="700"/>
      <c r="AK156" s="700"/>
      <c r="AL156" s="700"/>
      <c r="AM156" s="700"/>
      <c r="AN156" s="700"/>
      <c r="AO156" s="700"/>
      <c r="AP156" s="700"/>
      <c r="AQ156" s="700"/>
      <c r="AR156" s="700"/>
      <c r="AS156" s="700"/>
      <c r="AT156" s="700"/>
      <c r="AU156" s="700"/>
      <c r="AV156" s="700"/>
      <c r="AW156" s="700"/>
      <c r="AX156" s="700"/>
      <c r="AY156" s="700"/>
      <c r="AZ156" s="700"/>
      <c r="BA156" s="700"/>
      <c r="BB156" s="700"/>
      <c r="BC156" s="700"/>
      <c r="BD156" s="700"/>
      <c r="BE156" s="700"/>
      <c r="BF156" s="700"/>
      <c r="BG156" s="700"/>
      <c r="BH156" s="700"/>
      <c r="BI156" s="700"/>
      <c r="BJ156" s="700"/>
      <c r="BK156" s="700"/>
      <c r="BL156" s="700"/>
      <c r="BM156" s="700"/>
      <c r="BN156" s="700"/>
      <c r="BO156" s="700"/>
      <c r="BP156" s="700"/>
      <c r="BQ156" s="700"/>
      <c r="BR156" s="700"/>
      <c r="BS156" s="700"/>
      <c r="BT156" s="700"/>
      <c r="BU156" s="700"/>
      <c r="BV156" s="700"/>
      <c r="BW156" s="700"/>
      <c r="BX156" s="700"/>
      <c r="BY156" s="700"/>
      <c r="BZ156" s="700"/>
      <c r="CA156" s="700"/>
      <c r="CB156" s="700"/>
      <c r="CC156" s="700"/>
      <c r="CD156" s="700"/>
      <c r="CE156" s="700"/>
      <c r="CF156" s="700"/>
      <c r="CG156" s="700"/>
      <c r="CH156" s="700"/>
      <c r="CI156" s="700"/>
      <c r="CJ156" s="700"/>
      <c r="CK156" s="700"/>
      <c r="CL156" s="700"/>
      <c r="CM156" s="700"/>
      <c r="CN156" s="700"/>
      <c r="CO156" s="700"/>
      <c r="CP156" s="700"/>
      <c r="CQ156" s="700"/>
      <c r="CR156" s="700"/>
      <c r="CS156" s="700"/>
      <c r="CT156" s="700"/>
      <c r="CU156" s="700"/>
      <c r="CV156" s="700"/>
      <c r="CW156" s="700"/>
      <c r="CX156" s="700"/>
      <c r="CY156" s="700"/>
      <c r="CZ156" s="700"/>
      <c r="DA156" s="700"/>
      <c r="DB156" s="700"/>
      <c r="DC156" s="700"/>
      <c r="DD156" s="700"/>
      <c r="DE156" s="700"/>
      <c r="DF156" s="700"/>
      <c r="DG156" s="700"/>
      <c r="DH156" s="700"/>
      <c r="DI156" s="700"/>
      <c r="DJ156" s="700"/>
      <c r="DK156" s="700"/>
      <c r="DL156" s="700"/>
      <c r="DM156" s="700"/>
      <c r="DN156" s="700"/>
      <c r="DO156" s="700"/>
      <c r="DP156" s="700"/>
      <c r="DQ156" s="700"/>
      <c r="DR156" s="700"/>
      <c r="DS156" s="700"/>
      <c r="DT156" s="700"/>
      <c r="DU156" s="700"/>
      <c r="DV156" s="700"/>
      <c r="DW156" s="700"/>
      <c r="DX156" s="700"/>
      <c r="DY156" s="700"/>
      <c r="DZ156" s="700"/>
      <c r="EA156" s="700"/>
      <c r="EB156" s="700"/>
      <c r="EC156" s="700"/>
      <c r="ED156" s="700"/>
      <c r="EE156" s="700"/>
      <c r="EF156" s="700"/>
      <c r="EG156" s="700"/>
      <c r="EH156" s="700"/>
      <c r="EI156" s="700"/>
      <c r="EJ156" s="700"/>
      <c r="EK156" s="700"/>
      <c r="EL156" s="700"/>
      <c r="EM156" s="700"/>
      <c r="EN156" s="700"/>
      <c r="EO156" s="700"/>
      <c r="EP156" s="700"/>
      <c r="EQ156" s="700"/>
      <c r="ER156" s="700"/>
      <c r="ES156" s="700"/>
      <c r="ET156" s="700"/>
      <c r="EU156" s="700"/>
      <c r="EV156" s="700"/>
      <c r="EW156" s="700"/>
      <c r="EX156" s="700"/>
      <c r="EY156" s="700"/>
      <c r="EZ156" s="700"/>
      <c r="FA156" s="700"/>
      <c r="FB156" s="700"/>
      <c r="FC156" s="700"/>
      <c r="FD156" s="700"/>
      <c r="FE156" s="700"/>
      <c r="FF156" s="700"/>
      <c r="FG156" s="700"/>
      <c r="FH156" s="700"/>
      <c r="FI156" s="700"/>
      <c r="FJ156" s="700"/>
      <c r="FK156" s="700"/>
      <c r="FL156" s="700"/>
      <c r="FM156" s="700"/>
      <c r="FN156" s="700"/>
      <c r="FO156" s="700"/>
      <c r="FP156" s="700"/>
      <c r="FQ156" s="700"/>
      <c r="FR156" s="700"/>
      <c r="FS156" s="700"/>
      <c r="FT156" s="700"/>
      <c r="FU156" s="700"/>
      <c r="FV156" s="700"/>
      <c r="FW156" s="700"/>
      <c r="FX156" s="700"/>
      <c r="FY156" s="700"/>
      <c r="FZ156" s="700"/>
      <c r="GA156" s="700"/>
      <c r="GB156" s="700"/>
      <c r="GC156" s="700"/>
      <c r="GD156" s="700"/>
      <c r="GE156" s="700"/>
      <c r="GF156" s="700"/>
      <c r="GG156" s="700"/>
      <c r="GH156" s="700"/>
      <c r="GI156" s="700"/>
      <c r="GJ156" s="700"/>
      <c r="GK156" s="700"/>
      <c r="GL156" s="700"/>
      <c r="GM156" s="700"/>
      <c r="GN156" s="700"/>
      <c r="GO156" s="700"/>
      <c r="GP156" s="700"/>
      <c r="GQ156" s="700"/>
      <c r="GR156" s="700"/>
      <c r="GS156" s="700"/>
      <c r="GT156" s="700"/>
      <c r="GU156" s="700"/>
      <c r="GV156" s="700"/>
      <c r="GW156" s="700"/>
      <c r="GX156" s="700"/>
      <c r="GY156" s="700"/>
      <c r="GZ156" s="700"/>
      <c r="HA156" s="700"/>
      <c r="HB156" s="700"/>
      <c r="HC156" s="700"/>
      <c r="HD156" s="700"/>
      <c r="HE156" s="700"/>
      <c r="HF156" s="700"/>
      <c r="HG156" s="700"/>
      <c r="HH156" s="700"/>
      <c r="HI156" s="700"/>
      <c r="HJ156" s="700"/>
      <c r="HK156" s="700"/>
      <c r="HL156" s="700"/>
      <c r="HM156" s="700"/>
      <c r="HN156" s="700"/>
      <c r="HO156" s="700"/>
      <c r="HP156" s="700"/>
      <c r="HQ156" s="700"/>
      <c r="HR156" s="700"/>
      <c r="HS156" s="700"/>
      <c r="HT156" s="700"/>
      <c r="HU156" s="700"/>
      <c r="HV156" s="700"/>
      <c r="HW156" s="700"/>
      <c r="HX156" s="700"/>
      <c r="HY156" s="700"/>
      <c r="HZ156" s="700"/>
      <c r="IA156" s="700"/>
      <c r="IB156" s="700"/>
      <c r="IC156" s="700"/>
      <c r="ID156" s="700"/>
      <c r="IE156" s="700"/>
      <c r="IF156" s="700"/>
      <c r="IG156" s="700"/>
      <c r="IH156" s="700"/>
      <c r="II156" s="700"/>
      <c r="IJ156" s="700"/>
      <c r="IK156" s="700"/>
      <c r="IL156" s="700"/>
      <c r="IM156" s="700"/>
      <c r="IN156" s="700"/>
      <c r="IO156" s="700"/>
      <c r="IP156" s="700"/>
      <c r="IQ156" s="700"/>
      <c r="IR156" s="700"/>
      <c r="IS156" s="700"/>
      <c r="IT156" s="700"/>
      <c r="IU156" s="700"/>
      <c r="IV156" s="700"/>
      <c r="IW156" s="700"/>
      <c r="IX156" s="700"/>
      <c r="IY156" s="700"/>
      <c r="IZ156" s="700"/>
      <c r="JA156" s="700"/>
      <c r="JB156" s="700"/>
      <c r="JC156" s="700"/>
      <c r="JD156" s="700"/>
      <c r="JE156" s="700"/>
      <c r="JF156" s="700"/>
      <c r="JG156" s="700"/>
      <c r="JH156" s="700"/>
      <c r="JI156" s="700"/>
      <c r="JJ156" s="700"/>
      <c r="JK156" s="700"/>
      <c r="JL156" s="700"/>
      <c r="JM156" s="700"/>
      <c r="JN156" s="700"/>
      <c r="JO156" s="700"/>
      <c r="JP156" s="700"/>
      <c r="JQ156" s="700"/>
      <c r="JR156" s="700"/>
      <c r="JS156" s="700"/>
      <c r="JT156" s="700"/>
      <c r="JU156" s="700"/>
      <c r="JV156" s="700"/>
      <c r="JW156" s="700"/>
      <c r="JX156" s="700"/>
      <c r="JY156" s="700"/>
      <c r="JZ156" s="700"/>
      <c r="KA156" s="700"/>
      <c r="KB156" s="700"/>
      <c r="KC156" s="700"/>
      <c r="KD156" s="700"/>
      <c r="KE156" s="700"/>
      <c r="KF156" s="700"/>
      <c r="KG156" s="700"/>
      <c r="KH156" s="700"/>
      <c r="KI156" s="700"/>
      <c r="KJ156" s="700"/>
      <c r="KK156" s="700"/>
      <c r="KL156" s="700"/>
      <c r="KM156" s="700"/>
      <c r="KN156" s="700"/>
      <c r="KO156" s="700"/>
      <c r="KP156" s="700"/>
      <c r="KQ156" s="700"/>
      <c r="KR156" s="700"/>
      <c r="KS156" s="700"/>
      <c r="KT156" s="700"/>
      <c r="KU156" s="700"/>
      <c r="KV156" s="700"/>
      <c r="KW156" s="700"/>
      <c r="KX156" s="700"/>
      <c r="KY156" s="700"/>
      <c r="KZ156" s="700"/>
      <c r="LA156" s="700"/>
      <c r="LB156" s="700"/>
      <c r="LC156" s="700"/>
      <c r="LD156" s="700"/>
      <c r="LE156" s="700"/>
      <c r="LF156" s="700"/>
      <c r="LG156" s="700"/>
      <c r="LH156" s="700"/>
      <c r="LI156" s="700"/>
      <c r="LJ156" s="700"/>
      <c r="LK156" s="700"/>
      <c r="LL156" s="700"/>
      <c r="LM156" s="700"/>
      <c r="LN156" s="700"/>
      <c r="LO156" s="700"/>
      <c r="LP156" s="700"/>
      <c r="LQ156" s="700"/>
      <c r="LR156" s="700"/>
      <c r="LS156" s="700"/>
      <c r="LT156" s="700"/>
      <c r="LU156" s="700"/>
      <c r="LV156" s="700"/>
      <c r="LW156" s="700"/>
      <c r="LX156" s="700"/>
      <c r="LY156" s="700"/>
      <c r="LZ156" s="700"/>
      <c r="MA156" s="700"/>
      <c r="MB156" s="700"/>
      <c r="MC156" s="700"/>
      <c r="MD156" s="700"/>
      <c r="ME156" s="700"/>
      <c r="MF156" s="700"/>
      <c r="MG156" s="700"/>
      <c r="MH156" s="700"/>
      <c r="MI156" s="700"/>
      <c r="MJ156" s="700"/>
      <c r="MK156" s="700"/>
      <c r="ML156" s="700"/>
      <c r="MM156" s="700"/>
      <c r="MN156" s="700"/>
      <c r="MO156" s="700"/>
      <c r="MP156" s="700"/>
      <c r="MQ156" s="700"/>
      <c r="MR156" s="700"/>
      <c r="MS156" s="700"/>
      <c r="MT156" s="700"/>
      <c r="MU156" s="700"/>
      <c r="MV156" s="700"/>
      <c r="MW156" s="700"/>
      <c r="MX156" s="700"/>
      <c r="MY156" s="700"/>
      <c r="MZ156" s="700"/>
      <c r="NA156" s="700"/>
      <c r="NB156" s="700"/>
      <c r="NC156" s="700"/>
      <c r="ND156" s="700"/>
      <c r="NE156" s="700"/>
      <c r="NF156" s="700"/>
      <c r="NG156" s="700"/>
      <c r="NH156" s="700"/>
      <c r="NI156" s="700"/>
      <c r="NJ156" s="700"/>
      <c r="NK156" s="700"/>
      <c r="NL156" s="700"/>
      <c r="NM156" s="700"/>
      <c r="NN156" s="700"/>
      <c r="NO156" s="700"/>
      <c r="NP156" s="700"/>
      <c r="NQ156" s="700"/>
      <c r="NR156" s="700"/>
      <c r="NS156" s="700"/>
      <c r="NT156" s="700"/>
      <c r="NU156" s="700"/>
      <c r="NV156" s="700"/>
      <c r="NW156" s="700"/>
      <c r="NX156" s="700"/>
      <c r="NY156" s="700"/>
      <c r="NZ156" s="700"/>
      <c r="OA156" s="700"/>
      <c r="OB156" s="700"/>
      <c r="OC156" s="700"/>
      <c r="OD156" s="700"/>
      <c r="OE156" s="700"/>
      <c r="OF156" s="700"/>
      <c r="OG156" s="700"/>
      <c r="OH156" s="700"/>
      <c r="OI156" s="700"/>
      <c r="OJ156" s="700"/>
      <c r="OK156" s="700"/>
      <c r="OL156" s="700"/>
      <c r="OM156" s="700"/>
      <c r="ON156" s="700"/>
      <c r="OO156" s="700"/>
      <c r="OP156" s="700"/>
      <c r="OQ156" s="700"/>
      <c r="OR156" s="700"/>
      <c r="OS156" s="700"/>
      <c r="OT156" s="700"/>
      <c r="OU156" s="700"/>
      <c r="OV156" s="700"/>
      <c r="OW156" s="700"/>
      <c r="OX156" s="700"/>
      <c r="OY156" s="700"/>
      <c r="OZ156" s="700"/>
      <c r="PA156" s="700"/>
      <c r="PB156" s="700"/>
      <c r="PC156" s="700"/>
      <c r="PD156" s="700"/>
      <c r="PE156" s="700"/>
      <c r="PF156" s="700"/>
      <c r="PG156" s="700"/>
      <c r="PH156" s="700"/>
      <c r="PI156" s="700"/>
      <c r="PJ156" s="700"/>
      <c r="PK156" s="700"/>
      <c r="PL156" s="700"/>
      <c r="PM156" s="700"/>
      <c r="PN156" s="700"/>
      <c r="PO156" s="700"/>
      <c r="PP156" s="700"/>
      <c r="PQ156" s="700"/>
      <c r="PR156" s="700"/>
      <c r="PS156" s="700"/>
      <c r="PT156" s="700"/>
      <c r="PU156" s="700"/>
      <c r="PV156" s="700"/>
      <c r="PW156" s="700"/>
      <c r="PX156" s="700"/>
      <c r="PY156" s="700"/>
      <c r="PZ156" s="700"/>
      <c r="QA156" s="700"/>
      <c r="QB156" s="700"/>
      <c r="QC156" s="700"/>
      <c r="QD156" s="700"/>
      <c r="QE156" s="700"/>
      <c r="QF156" s="700"/>
      <c r="QG156" s="700"/>
      <c r="QH156" s="700"/>
      <c r="QI156" s="700"/>
      <c r="QJ156" s="700"/>
      <c r="QK156" s="700"/>
      <c r="QL156" s="700"/>
      <c r="QM156" s="700"/>
      <c r="QN156" s="700"/>
      <c r="QO156" s="700"/>
      <c r="QP156" s="700"/>
      <c r="QQ156" s="700"/>
      <c r="QR156" s="700"/>
      <c r="QS156" s="700"/>
      <c r="QT156" s="700"/>
      <c r="QU156" s="700"/>
      <c r="QV156" s="700"/>
      <c r="QW156" s="700"/>
      <c r="QX156" s="700"/>
      <c r="QY156" s="700"/>
      <c r="QZ156" s="700"/>
      <c r="RA156" s="700"/>
      <c r="RB156" s="700"/>
      <c r="RC156" s="700"/>
      <c r="RD156" s="700"/>
      <c r="RE156" s="700"/>
      <c r="RF156" s="700"/>
      <c r="RG156" s="700"/>
      <c r="RH156" s="700"/>
      <c r="RI156" s="700"/>
      <c r="RJ156" s="700"/>
      <c r="RK156" s="700"/>
      <c r="RL156" s="700"/>
      <c r="RM156" s="700"/>
      <c r="RN156" s="700"/>
      <c r="RO156" s="700"/>
      <c r="RP156" s="700"/>
      <c r="RQ156" s="700"/>
      <c r="RR156" s="700"/>
      <c r="RS156" s="700"/>
      <c r="RT156" s="700"/>
      <c r="RU156" s="700"/>
      <c r="RV156" s="700"/>
      <c r="RW156" s="700"/>
      <c r="RX156" s="700"/>
      <c r="RY156" s="700"/>
      <c r="RZ156" s="700"/>
      <c r="SA156" s="700"/>
      <c r="SB156" s="700"/>
      <c r="SC156" s="700"/>
      <c r="SD156" s="700"/>
      <c r="SE156" s="700"/>
      <c r="SF156" s="700"/>
      <c r="SG156" s="700"/>
      <c r="SH156" s="700"/>
      <c r="SI156" s="700"/>
      <c r="SJ156" s="700"/>
      <c r="SK156" s="700"/>
      <c r="SL156" s="700"/>
      <c r="SM156" s="700"/>
      <c r="SN156" s="700"/>
      <c r="SO156" s="700"/>
      <c r="SP156" s="700"/>
      <c r="SQ156" s="700"/>
      <c r="SR156" s="700"/>
      <c r="SS156" s="700"/>
      <c r="ST156" s="700"/>
      <c r="SU156" s="700"/>
      <c r="SV156" s="700"/>
      <c r="SW156" s="700"/>
      <c r="SX156" s="700"/>
      <c r="SY156" s="700"/>
      <c r="SZ156" s="700"/>
      <c r="TA156" s="700"/>
      <c r="TB156" s="700"/>
      <c r="TC156" s="700"/>
      <c r="TD156" s="700"/>
      <c r="TE156" s="700"/>
      <c r="TF156" s="700"/>
      <c r="TG156" s="700"/>
      <c r="TH156" s="700"/>
      <c r="TI156" s="700"/>
      <c r="TJ156" s="700"/>
      <c r="TK156" s="700"/>
      <c r="TL156" s="700"/>
      <c r="TM156" s="700"/>
      <c r="TN156" s="700"/>
      <c r="TO156" s="700"/>
      <c r="TP156" s="700"/>
      <c r="TQ156" s="700"/>
      <c r="TR156" s="700"/>
      <c r="TS156" s="700"/>
      <c r="TT156" s="700"/>
      <c r="TU156" s="700"/>
      <c r="TV156" s="700"/>
      <c r="TW156" s="700"/>
      <c r="TX156" s="700"/>
      <c r="TY156" s="700"/>
      <c r="TZ156" s="700"/>
      <c r="UA156" s="700"/>
      <c r="UB156" s="700"/>
      <c r="UC156" s="700"/>
      <c r="UD156" s="700"/>
      <c r="UE156" s="700"/>
      <c r="UF156" s="700"/>
      <c r="UG156" s="700"/>
      <c r="UH156" s="700"/>
      <c r="UI156" s="700"/>
      <c r="UJ156" s="700"/>
      <c r="UK156" s="700"/>
      <c r="UL156" s="700"/>
      <c r="UM156" s="700"/>
      <c r="UN156" s="700"/>
      <c r="UO156" s="700"/>
      <c r="UP156" s="700"/>
      <c r="UQ156" s="700"/>
      <c r="UR156" s="700"/>
      <c r="US156" s="700"/>
      <c r="UT156" s="700"/>
      <c r="UU156" s="700"/>
      <c r="UV156" s="700"/>
      <c r="UW156" s="700"/>
      <c r="UX156" s="700"/>
      <c r="UY156" s="700"/>
      <c r="UZ156" s="700"/>
      <c r="VA156" s="700"/>
      <c r="VB156" s="700"/>
      <c r="VC156" s="700"/>
      <c r="VD156" s="700"/>
      <c r="VE156" s="700"/>
      <c r="VF156" s="700"/>
      <c r="VG156" s="700"/>
      <c r="VH156" s="700"/>
      <c r="VI156" s="700"/>
      <c r="VJ156" s="700"/>
      <c r="VK156" s="700"/>
      <c r="VL156" s="700"/>
      <c r="VM156" s="700"/>
      <c r="VN156" s="700"/>
      <c r="VO156" s="700"/>
      <c r="VP156" s="700"/>
      <c r="VQ156" s="700"/>
      <c r="VR156" s="700"/>
      <c r="VS156" s="700"/>
      <c r="VT156" s="700"/>
      <c r="VU156" s="700"/>
      <c r="VV156" s="700"/>
      <c r="VW156" s="700"/>
      <c r="VX156" s="700"/>
      <c r="VY156" s="700"/>
      <c r="VZ156" s="700"/>
      <c r="WA156" s="700"/>
      <c r="WB156" s="700"/>
      <c r="WC156" s="700"/>
      <c r="WD156" s="700"/>
      <c r="WE156" s="700"/>
      <c r="WF156" s="700"/>
      <c r="WG156" s="700"/>
      <c r="WH156" s="700"/>
      <c r="WI156" s="700"/>
      <c r="WJ156" s="700"/>
      <c r="WK156" s="700"/>
      <c r="WL156" s="700"/>
      <c r="WM156" s="700"/>
      <c r="WN156" s="700"/>
      <c r="WO156" s="700"/>
      <c r="WP156" s="700"/>
      <c r="WQ156" s="700"/>
      <c r="WR156" s="700"/>
      <c r="WS156" s="700"/>
      <c r="WT156" s="700"/>
      <c r="WU156" s="700"/>
      <c r="WV156" s="700"/>
      <c r="WW156" s="700"/>
      <c r="WX156" s="700"/>
      <c r="WY156" s="700"/>
      <c r="WZ156" s="700"/>
      <c r="XA156" s="700"/>
      <c r="XB156" s="700"/>
      <c r="XC156" s="700"/>
      <c r="XD156" s="700"/>
      <c r="XE156" s="700"/>
      <c r="XF156" s="700"/>
      <c r="XG156" s="700"/>
      <c r="XH156" s="700"/>
      <c r="XI156" s="700"/>
      <c r="XJ156" s="700"/>
      <c r="XK156" s="700"/>
      <c r="XL156" s="700"/>
      <c r="XM156" s="700"/>
      <c r="XN156" s="700"/>
      <c r="XO156" s="700"/>
      <c r="XP156" s="700"/>
      <c r="XQ156" s="700"/>
      <c r="XR156" s="700"/>
      <c r="XS156" s="700"/>
      <c r="XT156" s="700"/>
      <c r="XU156" s="700"/>
      <c r="XV156" s="700"/>
      <c r="XW156" s="700"/>
      <c r="XX156" s="700"/>
      <c r="XY156" s="700"/>
      <c r="XZ156" s="700"/>
      <c r="YA156" s="700"/>
      <c r="YB156" s="700"/>
      <c r="YC156" s="700"/>
      <c r="YD156" s="700"/>
      <c r="YE156" s="700"/>
      <c r="YF156" s="700"/>
      <c r="YG156" s="700"/>
      <c r="YH156" s="700"/>
      <c r="YI156" s="700"/>
      <c r="YJ156" s="700"/>
      <c r="YK156" s="700"/>
      <c r="YL156" s="700"/>
      <c r="YM156" s="700"/>
      <c r="YN156" s="700"/>
      <c r="YO156" s="700"/>
      <c r="YP156" s="700"/>
      <c r="YQ156" s="700"/>
      <c r="YR156" s="700"/>
      <c r="YS156" s="700"/>
      <c r="YT156" s="700"/>
      <c r="YU156" s="700"/>
      <c r="YV156" s="700"/>
      <c r="YW156" s="700"/>
      <c r="YX156" s="700"/>
      <c r="YY156" s="700"/>
      <c r="YZ156" s="700"/>
      <c r="ZA156" s="700"/>
      <c r="ZB156" s="700"/>
      <c r="ZC156" s="700"/>
      <c r="ZD156" s="700"/>
      <c r="ZE156" s="700"/>
      <c r="ZF156" s="700"/>
      <c r="ZG156" s="700"/>
      <c r="ZH156" s="700"/>
      <c r="ZI156" s="700"/>
      <c r="ZJ156" s="700"/>
      <c r="ZK156" s="700"/>
      <c r="ZL156" s="700"/>
      <c r="ZM156" s="700"/>
      <c r="ZN156" s="700"/>
      <c r="ZO156" s="700"/>
      <c r="ZP156" s="700"/>
      <c r="ZQ156" s="700"/>
      <c r="ZR156" s="700"/>
      <c r="ZS156" s="700"/>
      <c r="ZT156" s="700"/>
      <c r="ZU156" s="700"/>
      <c r="ZV156" s="700"/>
      <c r="ZW156" s="700"/>
      <c r="ZX156" s="700"/>
      <c r="ZY156" s="700"/>
      <c r="ZZ156" s="700"/>
      <c r="AAA156" s="700"/>
      <c r="AAB156" s="700"/>
      <c r="AAC156" s="700"/>
      <c r="AAD156" s="700"/>
      <c r="AAE156" s="700"/>
      <c r="AAF156" s="700"/>
      <c r="AAG156" s="700"/>
      <c r="AAH156" s="700"/>
      <c r="AAI156" s="700"/>
      <c r="AAJ156" s="700"/>
      <c r="AAK156" s="700"/>
      <c r="AAL156" s="700"/>
      <c r="AAM156" s="700"/>
      <c r="AAN156" s="700"/>
      <c r="AAO156" s="700"/>
      <c r="AAP156" s="700"/>
      <c r="AAQ156" s="700"/>
      <c r="AAR156" s="700"/>
      <c r="AAS156" s="700"/>
      <c r="AAT156" s="700"/>
      <c r="AAU156" s="700"/>
      <c r="AAV156" s="700"/>
      <c r="AAW156" s="700"/>
      <c r="AAX156" s="700"/>
      <c r="AAY156" s="700"/>
      <c r="AAZ156" s="700"/>
      <c r="ABA156" s="700"/>
      <c r="ABB156" s="700"/>
      <c r="ABC156" s="700"/>
      <c r="ABD156" s="700"/>
      <c r="ABE156" s="700"/>
      <c r="ABF156" s="700"/>
      <c r="ABG156" s="700"/>
      <c r="ABH156" s="700"/>
      <c r="ABI156" s="700"/>
      <c r="ABJ156" s="700"/>
      <c r="ABK156" s="700"/>
      <c r="ABL156" s="700"/>
      <c r="ABM156" s="700"/>
      <c r="ABN156" s="700"/>
      <c r="ABO156" s="700"/>
      <c r="ABP156" s="700"/>
      <c r="ABQ156" s="700"/>
      <c r="ABR156" s="700"/>
      <c r="ABS156" s="700"/>
      <c r="ABT156" s="700"/>
      <c r="ABU156" s="700"/>
      <c r="ABV156" s="700"/>
      <c r="ABW156" s="700"/>
      <c r="ABX156" s="700"/>
      <c r="ABY156" s="700"/>
      <c r="ABZ156" s="700"/>
      <c r="ACA156" s="700"/>
      <c r="ACB156" s="700"/>
      <c r="ACC156" s="700"/>
      <c r="ACD156" s="700"/>
      <c r="ACE156" s="700"/>
      <c r="ACF156" s="700"/>
      <c r="ACG156" s="700"/>
      <c r="ACH156" s="700"/>
      <c r="ACI156" s="700"/>
      <c r="ACJ156" s="700"/>
      <c r="ACK156" s="700"/>
      <c r="ACL156" s="700"/>
      <c r="ACM156" s="700"/>
      <c r="ACN156" s="700"/>
      <c r="ACO156" s="700"/>
      <c r="ACP156" s="700"/>
      <c r="ACQ156" s="700"/>
      <c r="ACR156" s="700"/>
      <c r="ACS156" s="700"/>
      <c r="ACT156" s="700"/>
      <c r="ACU156" s="700"/>
      <c r="ACV156" s="700"/>
      <c r="ACW156" s="700"/>
      <c r="ACX156" s="700"/>
      <c r="ACY156" s="700"/>
      <c r="ACZ156" s="700"/>
      <c r="ADA156" s="700"/>
      <c r="ADB156" s="700"/>
      <c r="ADC156" s="700"/>
      <c r="ADD156" s="700"/>
      <c r="ADE156" s="700"/>
      <c r="ADF156" s="700"/>
      <c r="ADG156" s="700"/>
      <c r="ADH156" s="700"/>
      <c r="ADI156" s="700"/>
      <c r="ADJ156" s="700"/>
      <c r="ADK156" s="700"/>
      <c r="ADL156" s="700"/>
      <c r="ADM156" s="700"/>
      <c r="ADN156" s="700"/>
      <c r="ADO156" s="700"/>
      <c r="ADP156" s="700"/>
      <c r="ADQ156" s="700"/>
      <c r="ADR156" s="700"/>
      <c r="ADS156" s="700"/>
      <c r="ADT156" s="700"/>
      <c r="ADU156" s="700"/>
      <c r="ADV156" s="700"/>
      <c r="ADW156" s="700"/>
      <c r="ADX156" s="700"/>
      <c r="ADY156" s="700"/>
      <c r="ADZ156" s="700"/>
      <c r="AEA156" s="700"/>
      <c r="AEB156" s="700"/>
      <c r="AEC156" s="700"/>
      <c r="AED156" s="700"/>
      <c r="AEE156" s="700"/>
      <c r="AEF156" s="700"/>
      <c r="AEG156" s="700"/>
      <c r="AEH156" s="700"/>
      <c r="AEI156" s="700"/>
      <c r="AEJ156" s="700"/>
      <c r="AEK156" s="700"/>
      <c r="AEL156" s="700"/>
      <c r="AEM156" s="700"/>
      <c r="AEN156" s="700"/>
      <c r="AEO156" s="700"/>
      <c r="AEP156" s="700"/>
      <c r="AEQ156" s="700"/>
      <c r="AER156" s="700"/>
      <c r="AES156" s="700"/>
      <c r="AET156" s="700"/>
      <c r="AEU156" s="700"/>
      <c r="AEV156" s="700"/>
      <c r="AEW156" s="700"/>
      <c r="AEX156" s="700"/>
      <c r="AEY156" s="700"/>
      <c r="AEZ156" s="700"/>
      <c r="AFA156" s="700"/>
      <c r="AFB156" s="700"/>
      <c r="AFC156" s="700"/>
      <c r="AFD156" s="700"/>
      <c r="AFE156" s="700"/>
      <c r="AFF156" s="700"/>
      <c r="AFG156" s="700"/>
      <c r="AFH156" s="700"/>
      <c r="AFI156" s="700"/>
      <c r="AFJ156" s="700"/>
      <c r="AFK156" s="700"/>
      <c r="AFL156" s="700"/>
      <c r="AFM156" s="700"/>
      <c r="AFN156" s="700"/>
      <c r="AFO156" s="700"/>
      <c r="AFP156" s="700"/>
      <c r="AFQ156" s="700"/>
      <c r="AFR156" s="700"/>
      <c r="AFS156" s="700"/>
      <c r="AFT156" s="700"/>
      <c r="AFU156" s="700"/>
      <c r="AFV156" s="700"/>
      <c r="AFW156" s="700"/>
      <c r="AFX156" s="700"/>
      <c r="AFY156" s="700"/>
      <c r="AFZ156" s="700"/>
      <c r="AGA156" s="700"/>
      <c r="AGB156" s="700"/>
      <c r="AGC156" s="700"/>
      <c r="AGD156" s="700"/>
      <c r="AGE156" s="700"/>
      <c r="AGF156" s="700"/>
      <c r="AGG156" s="700"/>
      <c r="AGH156" s="700"/>
      <c r="AGI156" s="700"/>
      <c r="AGJ156" s="700"/>
      <c r="AGK156" s="700"/>
      <c r="AGL156" s="700"/>
      <c r="AGM156" s="700"/>
      <c r="AGN156" s="700"/>
      <c r="AGO156" s="700"/>
      <c r="AGP156" s="700"/>
      <c r="AGQ156" s="700"/>
      <c r="AGR156" s="700"/>
      <c r="AGS156" s="700"/>
      <c r="AGT156" s="700"/>
      <c r="AGU156" s="700"/>
      <c r="AGV156" s="700"/>
      <c r="AGW156" s="700"/>
      <c r="AGX156" s="700"/>
      <c r="AGY156" s="700"/>
      <c r="AGZ156" s="700"/>
      <c r="AHA156" s="700"/>
      <c r="AHB156" s="700"/>
      <c r="AHC156" s="700"/>
      <c r="AHD156" s="700"/>
      <c r="AHE156" s="700"/>
      <c r="AHF156" s="700"/>
      <c r="AHG156" s="700"/>
      <c r="AHH156" s="700"/>
      <c r="AHI156" s="700"/>
      <c r="AHJ156" s="700"/>
      <c r="AHK156" s="700"/>
      <c r="AHL156" s="700"/>
      <c r="AHM156" s="700"/>
      <c r="AHN156" s="700"/>
      <c r="AHO156" s="700"/>
      <c r="AHP156" s="700"/>
      <c r="AHQ156" s="700"/>
      <c r="AHR156" s="700"/>
      <c r="AHS156" s="700"/>
      <c r="AHT156" s="700"/>
      <c r="AHU156" s="700"/>
      <c r="AHV156" s="700"/>
      <c r="AHW156" s="700"/>
      <c r="AHX156" s="700"/>
      <c r="AHY156" s="700"/>
      <c r="AHZ156" s="700"/>
      <c r="AIA156" s="700"/>
      <c r="AIB156" s="700"/>
      <c r="AIC156" s="700"/>
      <c r="AID156" s="700"/>
      <c r="AIE156" s="700"/>
      <c r="AIF156" s="700"/>
      <c r="AIG156" s="700"/>
      <c r="AIH156" s="700"/>
      <c r="AII156" s="700"/>
      <c r="AIJ156" s="700"/>
      <c r="AIK156" s="700"/>
      <c r="AIL156" s="700"/>
      <c r="AIM156" s="700"/>
      <c r="AIN156" s="700"/>
      <c r="AIO156" s="700"/>
      <c r="AIP156" s="700"/>
      <c r="AIQ156" s="700"/>
      <c r="AIR156" s="700"/>
      <c r="AIS156" s="700"/>
      <c r="AIT156" s="700"/>
      <c r="AIU156" s="700"/>
      <c r="AIV156" s="700"/>
      <c r="AIW156" s="700"/>
      <c r="AIX156" s="700"/>
      <c r="AIY156" s="700"/>
      <c r="AIZ156" s="700"/>
      <c r="AJA156" s="700"/>
      <c r="AJB156" s="700"/>
      <c r="AJC156" s="700"/>
      <c r="AJD156" s="700"/>
      <c r="AJE156" s="700"/>
      <c r="AJF156" s="700"/>
      <c r="AJG156" s="700"/>
      <c r="AJH156" s="700"/>
      <c r="AJI156" s="700"/>
      <c r="AJJ156" s="700"/>
      <c r="AJK156" s="700"/>
      <c r="AJL156" s="700"/>
      <c r="AJM156" s="700"/>
      <c r="AJN156" s="700"/>
      <c r="AJO156" s="700"/>
      <c r="AJP156" s="700"/>
      <c r="AJQ156" s="700"/>
      <c r="AJR156" s="700"/>
      <c r="AJS156" s="700"/>
      <c r="AJT156" s="700"/>
      <c r="AJU156" s="700"/>
      <c r="AJV156" s="700"/>
      <c r="AJW156" s="700"/>
      <c r="AJX156" s="700"/>
      <c r="AJY156" s="700"/>
      <c r="AJZ156" s="700"/>
      <c r="AKA156" s="700"/>
      <c r="AKB156" s="700"/>
      <c r="AKC156" s="700"/>
      <c r="AKD156" s="700"/>
      <c r="AKE156" s="700"/>
      <c r="AKF156" s="700"/>
      <c r="AKG156" s="700"/>
      <c r="AKH156" s="700"/>
      <c r="AKI156" s="700"/>
      <c r="AKJ156" s="700"/>
      <c r="AKK156" s="700"/>
      <c r="AKL156" s="700"/>
      <c r="AKM156" s="700"/>
      <c r="AKN156" s="700"/>
      <c r="AKO156" s="700"/>
      <c r="AKP156" s="700"/>
      <c r="AKQ156" s="700"/>
      <c r="AKR156" s="700"/>
      <c r="AKS156" s="700"/>
      <c r="AKT156" s="700"/>
      <c r="AKU156" s="700"/>
      <c r="AKV156" s="700"/>
      <c r="AKW156" s="700"/>
      <c r="AKX156" s="700"/>
      <c r="AKY156" s="700"/>
      <c r="AKZ156" s="700"/>
      <c r="ALA156" s="700"/>
      <c r="ALB156" s="700"/>
      <c r="ALC156" s="700"/>
      <c r="ALD156" s="700"/>
      <c r="ALE156" s="700"/>
      <c r="ALF156" s="700"/>
      <c r="ALG156" s="700"/>
      <c r="ALH156" s="700"/>
      <c r="ALI156" s="700"/>
      <c r="ALJ156" s="700"/>
      <c r="ALK156" s="700"/>
      <c r="ALL156" s="700"/>
      <c r="ALM156" s="700"/>
      <c r="ALN156" s="700"/>
      <c r="ALO156" s="700"/>
      <c r="ALP156" s="700"/>
      <c r="ALQ156" s="700"/>
      <c r="ALR156" s="700"/>
      <c r="ALS156" s="700"/>
      <c r="ALT156" s="700"/>
      <c r="ALU156" s="700"/>
      <c r="ALV156" s="700"/>
      <c r="ALW156" s="700"/>
      <c r="ALX156" s="700"/>
      <c r="ALY156" s="700"/>
      <c r="ALZ156" s="700"/>
      <c r="AMA156" s="700"/>
      <c r="AMB156" s="700"/>
      <c r="AMC156" s="700"/>
      <c r="AMD156" s="700"/>
      <c r="AME156" s="700"/>
      <c r="AMF156" s="700"/>
      <c r="AMG156" s="700"/>
      <c r="AMH156" s="700"/>
      <c r="AMI156" s="700"/>
      <c r="AMJ156" s="700"/>
      <c r="AMK156" s="700"/>
      <c r="AML156" s="700"/>
      <c r="AMM156" s="700"/>
      <c r="AMN156" s="700"/>
      <c r="AMO156" s="700"/>
      <c r="AMP156" s="700"/>
      <c r="AMQ156" s="700"/>
      <c r="AMR156" s="700"/>
      <c r="AMS156" s="700"/>
      <c r="AMT156" s="700"/>
      <c r="AMU156" s="700"/>
      <c r="AMV156" s="700"/>
      <c r="AMW156" s="700"/>
      <c r="AMX156" s="700"/>
      <c r="AMY156" s="700"/>
      <c r="AMZ156" s="700"/>
      <c r="ANA156" s="700"/>
      <c r="ANB156" s="700"/>
      <c r="ANC156" s="700"/>
      <c r="AND156" s="700"/>
      <c r="ANE156" s="700"/>
      <c r="ANF156" s="700"/>
      <c r="ANG156" s="700"/>
      <c r="ANH156" s="700"/>
      <c r="ANI156" s="700"/>
      <c r="ANJ156" s="700"/>
      <c r="ANK156" s="700"/>
      <c r="ANL156" s="700"/>
      <c r="ANM156" s="700"/>
      <c r="ANN156" s="700"/>
      <c r="ANO156" s="700"/>
      <c r="ANP156" s="700"/>
      <c r="ANQ156" s="700"/>
      <c r="ANR156" s="700"/>
      <c r="ANS156" s="700"/>
      <c r="ANT156" s="700"/>
      <c r="ANU156" s="700"/>
      <c r="ANV156" s="700"/>
      <c r="ANW156" s="700"/>
      <c r="ANX156" s="700"/>
      <c r="ANY156" s="700"/>
      <c r="ANZ156" s="700"/>
      <c r="AOA156" s="700"/>
      <c r="AOB156" s="700"/>
      <c r="AOC156" s="700"/>
      <c r="AOD156" s="700"/>
      <c r="AOE156" s="700"/>
      <c r="AOF156" s="700"/>
      <c r="AOG156" s="700"/>
      <c r="AOH156" s="700"/>
      <c r="AOI156" s="700"/>
      <c r="AOJ156" s="700"/>
      <c r="AOK156" s="700"/>
      <c r="AOL156" s="700"/>
      <c r="AOM156" s="700"/>
      <c r="AON156" s="700"/>
      <c r="AOO156" s="700"/>
      <c r="AOP156" s="700"/>
      <c r="AOQ156" s="700"/>
      <c r="AOR156" s="700"/>
      <c r="AOS156" s="700"/>
      <c r="AOT156" s="700"/>
      <c r="AOU156" s="700"/>
      <c r="AOV156" s="700"/>
      <c r="AOW156" s="700"/>
      <c r="AOX156" s="700"/>
      <c r="AOY156" s="700"/>
      <c r="AOZ156" s="700"/>
      <c r="APA156" s="700"/>
      <c r="APB156" s="700"/>
      <c r="APC156" s="700"/>
      <c r="APD156" s="700"/>
      <c r="APE156" s="700"/>
      <c r="APF156" s="700"/>
      <c r="APG156" s="700"/>
      <c r="APH156" s="700"/>
      <c r="API156" s="700"/>
      <c r="APJ156" s="700"/>
      <c r="APK156" s="700"/>
      <c r="APL156" s="700"/>
      <c r="APM156" s="700"/>
      <c r="APN156" s="700"/>
      <c r="APO156" s="700"/>
      <c r="APP156" s="700"/>
      <c r="APQ156" s="700"/>
      <c r="APR156" s="700"/>
      <c r="APS156" s="700"/>
      <c r="APT156" s="700"/>
      <c r="APU156" s="700"/>
      <c r="APV156" s="700"/>
      <c r="APW156" s="700"/>
      <c r="APX156" s="700"/>
      <c r="APY156" s="700"/>
      <c r="APZ156" s="700"/>
      <c r="AQA156" s="700"/>
      <c r="AQB156" s="700"/>
      <c r="AQC156" s="700"/>
      <c r="AQD156" s="700"/>
      <c r="AQE156" s="700"/>
      <c r="AQF156" s="700"/>
      <c r="AQG156" s="700"/>
      <c r="AQH156" s="700"/>
      <c r="AQI156" s="700"/>
      <c r="AQJ156" s="700"/>
      <c r="AQK156" s="700"/>
      <c r="AQL156" s="700"/>
      <c r="AQM156" s="700"/>
      <c r="AQN156" s="700"/>
      <c r="AQO156" s="700"/>
      <c r="AQP156" s="700"/>
      <c r="AQQ156" s="700"/>
      <c r="AQR156" s="700"/>
      <c r="AQS156" s="700"/>
      <c r="AQT156" s="700"/>
      <c r="AQU156" s="700"/>
      <c r="AQV156" s="700"/>
      <c r="AQW156" s="700"/>
      <c r="AQX156" s="700"/>
      <c r="AQY156" s="700"/>
      <c r="AQZ156" s="700"/>
      <c r="ARA156" s="700"/>
      <c r="ARB156" s="700"/>
      <c r="ARC156" s="700"/>
      <c r="ARD156" s="700"/>
      <c r="ARE156" s="700"/>
      <c r="ARF156" s="700"/>
      <c r="ARG156" s="700"/>
      <c r="ARH156" s="700"/>
      <c r="ARI156" s="700"/>
      <c r="ARJ156" s="700"/>
      <c r="ARK156" s="700"/>
      <c r="ARL156" s="700"/>
      <c r="ARM156" s="700"/>
      <c r="ARN156" s="700"/>
      <c r="ARO156" s="700"/>
      <c r="ARP156" s="700"/>
      <c r="ARQ156" s="700"/>
      <c r="ARR156" s="700"/>
      <c r="ARS156" s="700"/>
      <c r="ART156" s="700"/>
      <c r="ARU156" s="700"/>
      <c r="ARV156" s="700"/>
      <c r="ARW156" s="700"/>
      <c r="ARX156" s="700"/>
      <c r="ARY156" s="700"/>
      <c r="ARZ156" s="700"/>
      <c r="ASA156" s="700"/>
      <c r="ASB156" s="700"/>
      <c r="ASC156" s="700"/>
      <c r="ASD156" s="700"/>
      <c r="ASE156" s="700"/>
      <c r="ASF156" s="700"/>
      <c r="ASG156" s="700"/>
      <c r="ASH156" s="700"/>
      <c r="ASI156" s="700"/>
      <c r="ASJ156" s="700"/>
      <c r="ASK156" s="700"/>
      <c r="ASL156" s="700"/>
      <c r="ASM156" s="700"/>
      <c r="ASN156" s="700"/>
      <c r="ASO156" s="700"/>
      <c r="ASP156" s="700"/>
      <c r="ASQ156" s="700"/>
      <c r="ASR156" s="700"/>
      <c r="ASS156" s="700"/>
      <c r="AST156" s="700"/>
      <c r="ASU156" s="700"/>
      <c r="ASV156" s="700"/>
      <c r="ASW156" s="700"/>
      <c r="ASX156" s="700"/>
      <c r="ASY156" s="700"/>
      <c r="ASZ156" s="700"/>
      <c r="ATA156" s="700"/>
      <c r="ATB156" s="700"/>
      <c r="ATC156" s="700"/>
      <c r="ATD156" s="700"/>
      <c r="ATE156" s="700"/>
      <c r="ATF156" s="700"/>
      <c r="ATG156" s="700"/>
      <c r="ATH156" s="700"/>
      <c r="ATI156" s="700"/>
      <c r="ATJ156" s="700"/>
      <c r="ATK156" s="700"/>
      <c r="ATL156" s="700"/>
      <c r="ATM156" s="700"/>
      <c r="ATN156" s="700"/>
      <c r="ATO156" s="700"/>
      <c r="ATP156" s="700"/>
      <c r="ATQ156" s="700"/>
      <c r="ATR156" s="700"/>
      <c r="ATS156" s="700"/>
      <c r="ATT156" s="700"/>
      <c r="ATU156" s="700"/>
      <c r="ATV156" s="700"/>
      <c r="ATW156" s="700"/>
      <c r="ATX156" s="700"/>
      <c r="ATY156" s="700"/>
      <c r="ATZ156" s="700"/>
      <c r="AUA156" s="700"/>
      <c r="AUB156" s="700"/>
      <c r="AUC156" s="700"/>
      <c r="AUD156" s="700"/>
      <c r="AUE156" s="700"/>
      <c r="AUF156" s="700"/>
      <c r="AUG156" s="700"/>
      <c r="AUH156" s="700"/>
      <c r="AUI156" s="700"/>
      <c r="AUJ156" s="700"/>
      <c r="AUK156" s="700"/>
      <c r="AUL156" s="700"/>
      <c r="AUM156" s="700"/>
      <c r="AUN156" s="700"/>
      <c r="AUO156" s="700"/>
      <c r="AUP156" s="700"/>
      <c r="AUQ156" s="700"/>
      <c r="AUR156" s="700"/>
      <c r="AUS156" s="700"/>
      <c r="AUT156" s="700"/>
      <c r="AUU156" s="700"/>
      <c r="AUV156" s="700"/>
      <c r="AUW156" s="700"/>
      <c r="AUX156" s="700"/>
      <c r="AUY156" s="700"/>
      <c r="AUZ156" s="700"/>
      <c r="AVA156" s="700"/>
      <c r="AVB156" s="700"/>
      <c r="AVC156" s="700"/>
      <c r="AVD156" s="700"/>
      <c r="AVE156" s="700"/>
      <c r="AVF156" s="700"/>
      <c r="AVG156" s="700"/>
      <c r="AVH156" s="700"/>
      <c r="AVI156" s="700"/>
      <c r="AVJ156" s="700"/>
      <c r="AVK156" s="700"/>
      <c r="AVL156" s="700"/>
      <c r="AVM156" s="700"/>
      <c r="AVN156" s="700"/>
      <c r="AVO156" s="700"/>
      <c r="AVP156" s="700"/>
      <c r="AVQ156" s="700"/>
      <c r="AVR156" s="700"/>
      <c r="AVS156" s="700"/>
      <c r="AVT156" s="700"/>
      <c r="AVU156" s="700"/>
      <c r="AVV156" s="700"/>
      <c r="AVW156" s="700"/>
      <c r="AVX156" s="700"/>
      <c r="AVY156" s="700"/>
      <c r="AVZ156" s="700"/>
      <c r="AWA156" s="700"/>
      <c r="AWB156" s="700"/>
      <c r="AWC156" s="700"/>
      <c r="AWD156" s="700"/>
      <c r="AWE156" s="700"/>
      <c r="AWF156" s="700"/>
      <c r="AWG156" s="700"/>
      <c r="AWH156" s="700"/>
      <c r="AWI156" s="700"/>
      <c r="AWJ156" s="700"/>
      <c r="AWK156" s="700"/>
      <c r="AWL156" s="700"/>
      <c r="AWM156" s="700"/>
      <c r="AWN156" s="700"/>
      <c r="AWO156" s="700"/>
      <c r="AWP156" s="700"/>
      <c r="AWQ156" s="700"/>
      <c r="AWR156" s="700"/>
      <c r="AWS156" s="700"/>
      <c r="AWT156" s="700"/>
      <c r="AWU156" s="700"/>
      <c r="AWV156" s="700"/>
      <c r="AWW156" s="700"/>
      <c r="AWX156" s="700"/>
      <c r="AWY156" s="700"/>
      <c r="AWZ156" s="700"/>
      <c r="AXA156" s="700"/>
      <c r="AXB156" s="700"/>
      <c r="AXC156" s="700"/>
      <c r="AXD156" s="700"/>
      <c r="AXE156" s="700"/>
      <c r="AXF156" s="700"/>
      <c r="AXG156" s="700"/>
      <c r="AXH156" s="700"/>
      <c r="AXI156" s="700"/>
      <c r="AXJ156" s="700"/>
      <c r="AXK156" s="700"/>
      <c r="AXL156" s="700"/>
      <c r="AXM156" s="700"/>
      <c r="AXN156" s="700"/>
      <c r="AXO156" s="700"/>
      <c r="AXP156" s="700"/>
      <c r="AXQ156" s="700"/>
      <c r="AXR156" s="700"/>
      <c r="AXS156" s="700"/>
      <c r="AXT156" s="700"/>
      <c r="AXU156" s="700"/>
      <c r="AXV156" s="700"/>
      <c r="AXW156" s="700"/>
      <c r="AXX156" s="700"/>
      <c r="AXY156" s="700"/>
      <c r="AXZ156" s="700"/>
      <c r="AYA156" s="700"/>
      <c r="AYB156" s="700"/>
      <c r="AYC156" s="700"/>
      <c r="AYD156" s="700"/>
      <c r="AYE156" s="700"/>
      <c r="AYF156" s="700"/>
      <c r="AYG156" s="700"/>
      <c r="AYH156" s="700"/>
      <c r="AYI156" s="700"/>
      <c r="AYJ156" s="700"/>
      <c r="AYK156" s="700"/>
      <c r="AYL156" s="700"/>
      <c r="AYM156" s="700"/>
      <c r="AYN156" s="700"/>
      <c r="AYO156" s="700"/>
      <c r="AYP156" s="700"/>
      <c r="AYQ156" s="700"/>
      <c r="AYR156" s="700"/>
      <c r="AYS156" s="700"/>
      <c r="AYT156" s="700"/>
      <c r="AYU156" s="700"/>
      <c r="AYV156" s="700"/>
      <c r="AYW156" s="700"/>
      <c r="AYX156" s="700"/>
      <c r="AYY156" s="700"/>
      <c r="AYZ156" s="700"/>
      <c r="AZA156" s="700"/>
      <c r="AZB156" s="700"/>
      <c r="AZC156" s="700"/>
      <c r="AZD156" s="700"/>
      <c r="AZE156" s="700"/>
      <c r="AZF156" s="700"/>
      <c r="AZG156" s="700"/>
      <c r="AZH156" s="700"/>
      <c r="AZI156" s="700"/>
      <c r="AZJ156" s="700"/>
      <c r="AZK156" s="700"/>
      <c r="AZL156" s="700"/>
      <c r="AZM156" s="700"/>
      <c r="AZN156" s="700"/>
      <c r="AZO156" s="700"/>
      <c r="AZP156" s="700"/>
      <c r="AZQ156" s="700"/>
      <c r="AZR156" s="700"/>
      <c r="AZS156" s="700"/>
      <c r="AZT156" s="700"/>
      <c r="AZU156" s="700"/>
      <c r="AZV156" s="700"/>
      <c r="AZW156" s="700"/>
      <c r="AZX156" s="700"/>
      <c r="AZY156" s="700"/>
      <c r="AZZ156" s="700"/>
      <c r="BAA156" s="700"/>
      <c r="BAB156" s="700"/>
      <c r="BAC156" s="700"/>
      <c r="BAD156" s="700"/>
      <c r="BAE156" s="700"/>
      <c r="BAF156" s="700"/>
      <c r="BAG156" s="700"/>
      <c r="BAH156" s="700"/>
      <c r="BAI156" s="700"/>
      <c r="BAJ156" s="700"/>
      <c r="BAK156" s="700"/>
      <c r="BAL156" s="700"/>
      <c r="BAM156" s="700"/>
      <c r="BAN156" s="700"/>
      <c r="BAO156" s="700"/>
      <c r="BAP156" s="700"/>
      <c r="BAQ156" s="700"/>
      <c r="BAR156" s="700"/>
      <c r="BAS156" s="700"/>
      <c r="BAT156" s="700"/>
      <c r="BAU156" s="700"/>
      <c r="BAV156" s="700"/>
      <c r="BAW156" s="700"/>
      <c r="BAX156" s="700"/>
      <c r="BAY156" s="700"/>
      <c r="BAZ156" s="700"/>
      <c r="BBA156" s="700"/>
      <c r="BBB156" s="700"/>
      <c r="BBC156" s="700"/>
      <c r="BBD156" s="700"/>
      <c r="BBE156" s="700"/>
      <c r="BBF156" s="700"/>
      <c r="BBG156" s="700"/>
      <c r="BBH156" s="700"/>
      <c r="BBI156" s="700"/>
      <c r="BBJ156" s="700"/>
      <c r="BBK156" s="700"/>
      <c r="BBL156" s="700"/>
      <c r="BBM156" s="700"/>
      <c r="BBN156" s="700"/>
      <c r="BBO156" s="700"/>
      <c r="BBP156" s="700"/>
      <c r="BBQ156" s="700"/>
      <c r="BBR156" s="700"/>
      <c r="BBS156" s="700"/>
      <c r="BBT156" s="700"/>
      <c r="BBU156" s="700"/>
      <c r="BBV156" s="700"/>
      <c r="BBW156" s="700"/>
      <c r="BBX156" s="700"/>
      <c r="BBY156" s="700"/>
      <c r="BBZ156" s="700"/>
      <c r="BCA156" s="700"/>
      <c r="BCB156" s="700"/>
      <c r="BCC156" s="700"/>
      <c r="BCD156" s="700"/>
      <c r="BCE156" s="700"/>
      <c r="BCF156" s="700"/>
      <c r="BCG156" s="700"/>
      <c r="BCH156" s="700"/>
      <c r="BCI156" s="700"/>
      <c r="BCJ156" s="700"/>
      <c r="BCK156" s="700"/>
      <c r="BCL156" s="700"/>
      <c r="BCM156" s="700"/>
      <c r="BCN156" s="700"/>
      <c r="BCO156" s="700"/>
      <c r="BCP156" s="700"/>
      <c r="BCQ156" s="700"/>
      <c r="BCR156" s="700"/>
      <c r="BCS156" s="700"/>
      <c r="BCT156" s="700"/>
      <c r="BCU156" s="700"/>
      <c r="BCV156" s="700"/>
      <c r="BCW156" s="700"/>
      <c r="BCX156" s="700"/>
      <c r="BCY156" s="700"/>
      <c r="BCZ156" s="700"/>
      <c r="BDA156" s="700"/>
      <c r="BDB156" s="700"/>
      <c r="BDC156" s="700"/>
      <c r="BDD156" s="700"/>
      <c r="BDE156" s="700"/>
      <c r="BDF156" s="700"/>
      <c r="BDG156" s="700"/>
      <c r="BDH156" s="700"/>
      <c r="BDI156" s="700"/>
      <c r="BDJ156" s="700"/>
      <c r="BDK156" s="700"/>
      <c r="BDL156" s="700"/>
      <c r="BDM156" s="700"/>
      <c r="BDN156" s="700"/>
      <c r="BDO156" s="700"/>
      <c r="BDP156" s="700"/>
      <c r="BDQ156" s="700"/>
      <c r="BDR156" s="700"/>
      <c r="BDS156" s="700"/>
      <c r="BDT156" s="700"/>
      <c r="BDU156" s="700"/>
      <c r="BDV156" s="700"/>
      <c r="BDW156" s="700"/>
      <c r="BDX156" s="700"/>
      <c r="BDY156" s="700"/>
      <c r="BDZ156" s="700"/>
      <c r="BEA156" s="700"/>
      <c r="BEB156" s="700"/>
      <c r="BEC156" s="700"/>
      <c r="BED156" s="700"/>
      <c r="BEE156" s="700"/>
      <c r="BEF156" s="700"/>
      <c r="BEG156" s="700"/>
      <c r="BEH156" s="700"/>
      <c r="BEI156" s="700"/>
      <c r="BEJ156" s="700"/>
      <c r="BEK156" s="700"/>
      <c r="BEL156" s="700"/>
      <c r="BEM156" s="700"/>
      <c r="BEN156" s="700"/>
      <c r="BEO156" s="700"/>
      <c r="BEP156" s="700"/>
      <c r="BEQ156" s="700"/>
      <c r="BER156" s="700"/>
      <c r="BES156" s="700"/>
      <c r="BET156" s="700"/>
      <c r="BEU156" s="700"/>
      <c r="BEV156" s="700"/>
      <c r="BEW156" s="700"/>
      <c r="BEX156" s="700"/>
      <c r="BEY156" s="700"/>
      <c r="BEZ156" s="700"/>
      <c r="BFA156" s="700"/>
      <c r="BFB156" s="700"/>
      <c r="BFC156" s="700"/>
      <c r="BFD156" s="700"/>
      <c r="BFE156" s="700"/>
      <c r="BFF156" s="700"/>
      <c r="BFG156" s="700"/>
      <c r="BFH156" s="700"/>
      <c r="BFI156" s="700"/>
      <c r="BFJ156" s="700"/>
      <c r="BFK156" s="700"/>
      <c r="BFL156" s="700"/>
      <c r="BFM156" s="700"/>
      <c r="BFN156" s="700"/>
      <c r="BFO156" s="700"/>
      <c r="BFP156" s="700"/>
      <c r="BFQ156" s="700"/>
      <c r="BFR156" s="700"/>
      <c r="BFS156" s="700"/>
      <c r="BFT156" s="700"/>
      <c r="BFU156" s="700"/>
      <c r="BFV156" s="700"/>
      <c r="BFW156" s="700"/>
      <c r="BFX156" s="700"/>
      <c r="BFY156" s="700"/>
      <c r="BFZ156" s="700"/>
      <c r="BGA156" s="700"/>
      <c r="BGB156" s="700"/>
      <c r="BGC156" s="700"/>
      <c r="BGD156" s="700"/>
      <c r="BGE156" s="700"/>
      <c r="BGF156" s="700"/>
      <c r="BGG156" s="700"/>
      <c r="BGH156" s="700"/>
      <c r="BGI156" s="700"/>
      <c r="BGJ156" s="700"/>
      <c r="BGK156" s="700"/>
      <c r="BGL156" s="700"/>
      <c r="BGM156" s="700"/>
      <c r="BGN156" s="700"/>
      <c r="BGO156" s="700"/>
      <c r="BGP156" s="700"/>
      <c r="BGQ156" s="700"/>
      <c r="BGR156" s="700"/>
      <c r="BGS156" s="700"/>
      <c r="BGT156" s="700"/>
      <c r="BGU156" s="700"/>
      <c r="BGV156" s="700"/>
      <c r="BGW156" s="700"/>
      <c r="BGX156" s="700"/>
      <c r="BGY156" s="700"/>
      <c r="BGZ156" s="700"/>
      <c r="BHA156" s="700"/>
      <c r="BHB156" s="700"/>
      <c r="BHC156" s="700"/>
      <c r="BHD156" s="700"/>
      <c r="BHE156" s="700"/>
      <c r="BHF156" s="700"/>
      <c r="BHG156" s="700"/>
      <c r="BHH156" s="700"/>
      <c r="BHI156" s="700"/>
      <c r="BHJ156" s="700"/>
      <c r="BHK156" s="700"/>
      <c r="BHL156" s="700"/>
      <c r="BHM156" s="700"/>
      <c r="BHN156" s="700"/>
      <c r="BHO156" s="700"/>
      <c r="BHP156" s="700"/>
      <c r="BHQ156" s="700"/>
      <c r="BHR156" s="700"/>
      <c r="BHS156" s="700"/>
      <c r="BHT156" s="700"/>
      <c r="BHU156" s="700"/>
      <c r="BHV156" s="700"/>
      <c r="BHW156" s="700"/>
      <c r="BHX156" s="700"/>
      <c r="BHY156" s="700"/>
      <c r="BHZ156" s="700"/>
      <c r="BIA156" s="700"/>
      <c r="BIB156" s="700"/>
      <c r="BIC156" s="700"/>
      <c r="BID156" s="700"/>
      <c r="BIE156" s="700"/>
      <c r="BIF156" s="700"/>
      <c r="BIG156" s="700"/>
      <c r="BIH156" s="700"/>
      <c r="BII156" s="700"/>
      <c r="BIJ156" s="700"/>
      <c r="BIK156" s="700"/>
      <c r="BIL156" s="700"/>
      <c r="BIM156" s="700"/>
      <c r="BIN156" s="700"/>
      <c r="BIO156" s="700"/>
      <c r="BIP156" s="700"/>
      <c r="BIQ156" s="700"/>
      <c r="BIR156" s="700"/>
      <c r="BIS156" s="700"/>
      <c r="BIT156" s="700"/>
      <c r="BIU156" s="700"/>
      <c r="BIV156" s="700"/>
      <c r="BIW156" s="700"/>
      <c r="BIX156" s="700"/>
      <c r="BIY156" s="700"/>
      <c r="BIZ156" s="700"/>
      <c r="BJA156" s="700"/>
      <c r="BJB156" s="700"/>
      <c r="BJC156" s="700"/>
      <c r="BJD156" s="700"/>
      <c r="BJE156" s="700"/>
      <c r="BJF156" s="700"/>
      <c r="BJG156" s="700"/>
      <c r="BJH156" s="700"/>
      <c r="BJI156" s="700"/>
      <c r="BJJ156" s="700"/>
      <c r="BJK156" s="700"/>
      <c r="BJL156" s="700"/>
      <c r="BJM156" s="700"/>
      <c r="BJN156" s="700"/>
      <c r="BJO156" s="700"/>
      <c r="BJP156" s="700"/>
      <c r="BJQ156" s="700"/>
      <c r="BJR156" s="700"/>
      <c r="BJS156" s="700"/>
      <c r="BJT156" s="700"/>
      <c r="BJU156" s="700"/>
      <c r="BJV156" s="700"/>
      <c r="BJW156" s="700"/>
      <c r="BJX156" s="700"/>
      <c r="BJY156" s="700"/>
      <c r="BJZ156" s="700"/>
      <c r="BKA156" s="700"/>
      <c r="BKB156" s="700"/>
      <c r="BKC156" s="700"/>
      <c r="BKD156" s="700"/>
      <c r="BKE156" s="700"/>
      <c r="BKF156" s="700"/>
      <c r="BKG156" s="700"/>
      <c r="BKH156" s="700"/>
      <c r="BKI156" s="700"/>
      <c r="BKJ156" s="700"/>
      <c r="BKK156" s="700"/>
      <c r="BKL156" s="700"/>
      <c r="BKM156" s="700"/>
      <c r="BKN156" s="700"/>
      <c r="BKO156" s="700"/>
      <c r="BKP156" s="700"/>
      <c r="BKQ156" s="700"/>
      <c r="BKR156" s="700"/>
      <c r="BKS156" s="700"/>
      <c r="BKT156" s="700"/>
      <c r="BKU156" s="700"/>
      <c r="BKV156" s="700"/>
      <c r="BKW156" s="700"/>
      <c r="BKX156" s="700"/>
      <c r="BKY156" s="700"/>
      <c r="BKZ156" s="700"/>
      <c r="BLA156" s="700"/>
      <c r="BLB156" s="700"/>
      <c r="BLC156" s="700"/>
      <c r="BLD156" s="700"/>
      <c r="BLE156" s="700"/>
      <c r="BLF156" s="700"/>
      <c r="BLG156" s="700"/>
      <c r="BLH156" s="700"/>
      <c r="BLI156" s="700"/>
      <c r="BLJ156" s="700"/>
      <c r="BLK156" s="700"/>
      <c r="BLL156" s="700"/>
      <c r="BLM156" s="700"/>
      <c r="BLN156" s="700"/>
      <c r="BLO156" s="700"/>
      <c r="BLP156" s="700"/>
      <c r="BLQ156" s="700"/>
      <c r="BLR156" s="700"/>
      <c r="BLS156" s="700"/>
      <c r="BLT156" s="700"/>
      <c r="BLU156" s="700"/>
      <c r="BLV156" s="700"/>
      <c r="BLW156" s="700"/>
      <c r="BLX156" s="700"/>
      <c r="BLY156" s="700"/>
      <c r="BLZ156" s="700"/>
      <c r="BMA156" s="700"/>
      <c r="BMB156" s="700"/>
      <c r="BMC156" s="700"/>
      <c r="BMD156" s="700"/>
      <c r="BME156" s="700"/>
      <c r="BMF156" s="700"/>
      <c r="BMG156" s="700"/>
      <c r="BMH156" s="700"/>
      <c r="BMI156" s="700"/>
      <c r="BMJ156" s="700"/>
      <c r="BMK156" s="700"/>
      <c r="BML156" s="700"/>
      <c r="BMM156" s="700"/>
      <c r="BMN156" s="700"/>
      <c r="BMO156" s="700"/>
      <c r="BMP156" s="700"/>
      <c r="BMQ156" s="700"/>
      <c r="BMR156" s="700"/>
      <c r="BMS156" s="700"/>
      <c r="BMT156" s="700"/>
      <c r="BMU156" s="700"/>
      <c r="BMV156" s="700"/>
      <c r="BMW156" s="700"/>
      <c r="BMX156" s="700"/>
      <c r="BMY156" s="700"/>
      <c r="BMZ156" s="700"/>
      <c r="BNA156" s="700"/>
      <c r="BNB156" s="700"/>
      <c r="BNC156" s="700"/>
      <c r="BND156" s="700"/>
      <c r="BNE156" s="700"/>
      <c r="BNF156" s="700"/>
      <c r="BNG156" s="700"/>
      <c r="BNH156" s="700"/>
      <c r="BNI156" s="700"/>
      <c r="BNJ156" s="700"/>
      <c r="BNK156" s="700"/>
      <c r="BNL156" s="700"/>
      <c r="BNM156" s="700"/>
      <c r="BNN156" s="700"/>
      <c r="BNO156" s="700"/>
      <c r="BNP156" s="700"/>
      <c r="BNQ156" s="700"/>
      <c r="BNR156" s="700"/>
      <c r="BNS156" s="700"/>
      <c r="BNT156" s="700"/>
      <c r="BNU156" s="700"/>
      <c r="BNV156" s="700"/>
      <c r="BNW156" s="700"/>
      <c r="BNX156" s="700"/>
      <c r="BNY156" s="700"/>
      <c r="BNZ156" s="700"/>
      <c r="BOA156" s="700"/>
      <c r="BOB156" s="700"/>
      <c r="BOC156" s="700"/>
      <c r="BOD156" s="700"/>
      <c r="BOE156" s="700"/>
      <c r="BOF156" s="700"/>
      <c r="BOG156" s="700"/>
      <c r="BOH156" s="700"/>
      <c r="BOI156" s="700"/>
      <c r="BOJ156" s="700"/>
      <c r="BOK156" s="700"/>
      <c r="BOL156" s="700"/>
      <c r="BOM156" s="700"/>
      <c r="BON156" s="700"/>
      <c r="BOO156" s="700"/>
      <c r="BOP156" s="700"/>
      <c r="BOQ156" s="700"/>
      <c r="BOR156" s="700"/>
      <c r="BOS156" s="700"/>
      <c r="BOT156" s="700"/>
      <c r="BOU156" s="700"/>
      <c r="BOV156" s="700"/>
      <c r="BOW156" s="700"/>
      <c r="BOX156" s="700"/>
      <c r="BOY156" s="700"/>
      <c r="BOZ156" s="700"/>
      <c r="BPA156" s="700"/>
      <c r="BPB156" s="700"/>
      <c r="BPC156" s="700"/>
      <c r="BPD156" s="700"/>
      <c r="BPE156" s="700"/>
      <c r="BPF156" s="700"/>
      <c r="BPG156" s="700"/>
      <c r="BPH156" s="700"/>
      <c r="BPI156" s="700"/>
      <c r="BPJ156" s="700"/>
      <c r="BPK156" s="700"/>
      <c r="BPL156" s="700"/>
      <c r="BPM156" s="700"/>
      <c r="BPN156" s="700"/>
      <c r="BPO156" s="700"/>
      <c r="BPP156" s="700"/>
      <c r="BPQ156" s="700"/>
      <c r="BPR156" s="700"/>
      <c r="BPS156" s="700"/>
      <c r="BPT156" s="700"/>
      <c r="BPU156" s="700"/>
      <c r="BPV156" s="700"/>
    </row>
    <row r="157" spans="1:1790" ht="31.15" hidden="1">
      <c r="A157" s="700" t="s">
        <v>346</v>
      </c>
      <c r="B157" s="700" t="s">
        <v>1320</v>
      </c>
      <c r="C157" s="774" t="s">
        <v>1336</v>
      </c>
      <c r="D157" s="773">
        <v>46232</v>
      </c>
      <c r="E157" s="700"/>
      <c r="F157" s="700"/>
      <c r="G157" s="770" t="s">
        <v>1337</v>
      </c>
      <c r="H157" s="800"/>
      <c r="I157" s="800"/>
      <c r="J157" s="700"/>
      <c r="K157" s="700"/>
      <c r="L157" s="700"/>
      <c r="M157" s="700"/>
      <c r="N157" s="700"/>
      <c r="O157" s="700"/>
      <c r="P157" s="700"/>
      <c r="Q157" s="700"/>
      <c r="R157" s="700"/>
      <c r="S157" s="700"/>
      <c r="T157" s="700"/>
      <c r="U157" s="700"/>
      <c r="V157" s="700"/>
      <c r="W157" s="700"/>
      <c r="X157" s="700"/>
      <c r="Y157" s="700"/>
      <c r="Z157" s="700"/>
      <c r="AA157" s="700"/>
      <c r="AB157" s="700"/>
      <c r="AC157" s="700"/>
      <c r="AD157" s="700"/>
      <c r="AE157" s="700"/>
      <c r="AF157" s="700"/>
      <c r="AG157" s="700"/>
      <c r="AH157" s="700"/>
      <c r="AI157" s="700"/>
      <c r="AJ157" s="700"/>
      <c r="AK157" s="700"/>
      <c r="AL157" s="700"/>
      <c r="AM157" s="700"/>
      <c r="AN157" s="700"/>
      <c r="AO157" s="700"/>
      <c r="AP157" s="700"/>
      <c r="AQ157" s="700"/>
      <c r="AR157" s="700"/>
      <c r="AS157" s="700"/>
      <c r="AT157" s="700"/>
      <c r="AU157" s="700"/>
      <c r="AV157" s="700"/>
      <c r="AW157" s="700"/>
      <c r="AX157" s="700"/>
      <c r="AY157" s="700"/>
      <c r="AZ157" s="700"/>
      <c r="BA157" s="700"/>
      <c r="BB157" s="700"/>
      <c r="BC157" s="700"/>
      <c r="BD157" s="700"/>
      <c r="BE157" s="700"/>
      <c r="BF157" s="700"/>
      <c r="BG157" s="700"/>
      <c r="BH157" s="700"/>
      <c r="BI157" s="700"/>
      <c r="BJ157" s="700"/>
      <c r="BK157" s="700"/>
      <c r="BL157" s="700"/>
      <c r="BM157" s="700"/>
      <c r="BN157" s="700"/>
      <c r="BO157" s="700"/>
      <c r="BP157" s="700"/>
      <c r="BQ157" s="700"/>
      <c r="BR157" s="700"/>
      <c r="BS157" s="700"/>
      <c r="BT157" s="700"/>
      <c r="BU157" s="700"/>
      <c r="BV157" s="700"/>
      <c r="BW157" s="700"/>
      <c r="BX157" s="700"/>
      <c r="BY157" s="700"/>
      <c r="BZ157" s="700"/>
      <c r="CA157" s="700"/>
      <c r="CB157" s="700"/>
      <c r="CC157" s="700"/>
      <c r="CD157" s="700"/>
      <c r="CE157" s="700"/>
      <c r="CF157" s="700"/>
      <c r="CG157" s="700"/>
      <c r="CH157" s="700"/>
      <c r="CI157" s="700"/>
      <c r="CJ157" s="700"/>
      <c r="CK157" s="700"/>
      <c r="CL157" s="700"/>
      <c r="CM157" s="700"/>
      <c r="CN157" s="700"/>
      <c r="CO157" s="700"/>
      <c r="CP157" s="700"/>
      <c r="CQ157" s="700"/>
      <c r="CR157" s="700"/>
      <c r="CS157" s="700"/>
      <c r="CT157" s="700"/>
      <c r="CU157" s="700"/>
      <c r="CV157" s="700"/>
      <c r="CW157" s="700"/>
      <c r="CX157" s="700"/>
      <c r="CY157" s="700"/>
      <c r="CZ157" s="700"/>
      <c r="DA157" s="700"/>
      <c r="DB157" s="700"/>
      <c r="DC157" s="700"/>
      <c r="DD157" s="700"/>
      <c r="DE157" s="700"/>
      <c r="DF157" s="700"/>
      <c r="DG157" s="700"/>
      <c r="DH157" s="700"/>
      <c r="DI157" s="700"/>
      <c r="DJ157" s="700"/>
      <c r="DK157" s="700"/>
      <c r="DL157" s="700"/>
      <c r="DM157" s="700"/>
      <c r="DN157" s="700"/>
      <c r="DO157" s="700"/>
      <c r="DP157" s="700"/>
      <c r="DQ157" s="700"/>
      <c r="DR157" s="700"/>
      <c r="DS157" s="700"/>
      <c r="DT157" s="700"/>
      <c r="DU157" s="700"/>
      <c r="DV157" s="700"/>
      <c r="DW157" s="700"/>
      <c r="DX157" s="700"/>
      <c r="DY157" s="700"/>
      <c r="DZ157" s="700"/>
      <c r="EA157" s="700"/>
      <c r="EB157" s="700"/>
      <c r="EC157" s="700"/>
      <c r="ED157" s="700"/>
      <c r="EE157" s="700"/>
      <c r="EF157" s="700"/>
      <c r="EG157" s="700"/>
      <c r="EH157" s="700"/>
      <c r="EI157" s="700"/>
      <c r="EJ157" s="700"/>
      <c r="EK157" s="700"/>
      <c r="EL157" s="700"/>
      <c r="EM157" s="700"/>
      <c r="EN157" s="700"/>
      <c r="EO157" s="700"/>
      <c r="EP157" s="700"/>
      <c r="EQ157" s="700"/>
      <c r="ER157" s="700"/>
      <c r="ES157" s="700"/>
      <c r="ET157" s="700"/>
      <c r="EU157" s="700"/>
      <c r="EV157" s="700"/>
      <c r="EW157" s="700"/>
      <c r="EX157" s="700"/>
      <c r="EY157" s="700"/>
      <c r="EZ157" s="700"/>
      <c r="FA157" s="700"/>
      <c r="FB157" s="700"/>
      <c r="FC157" s="700"/>
      <c r="FD157" s="700"/>
      <c r="FE157" s="700"/>
      <c r="FF157" s="700"/>
      <c r="FG157" s="700"/>
      <c r="FH157" s="700"/>
      <c r="FI157" s="700"/>
      <c r="FJ157" s="700"/>
      <c r="FK157" s="700"/>
      <c r="FL157" s="700"/>
      <c r="FM157" s="700"/>
      <c r="FN157" s="700"/>
      <c r="FO157" s="700"/>
      <c r="FP157" s="700"/>
      <c r="FQ157" s="700"/>
      <c r="FR157" s="700"/>
      <c r="FS157" s="700"/>
      <c r="FT157" s="700"/>
      <c r="FU157" s="700"/>
      <c r="FV157" s="700"/>
      <c r="FW157" s="700"/>
      <c r="FX157" s="700"/>
      <c r="FY157" s="700"/>
      <c r="FZ157" s="700"/>
      <c r="GA157" s="700"/>
      <c r="GB157" s="700"/>
      <c r="GC157" s="700"/>
      <c r="GD157" s="700"/>
      <c r="GE157" s="700"/>
      <c r="GF157" s="700"/>
      <c r="GG157" s="700"/>
      <c r="GH157" s="700"/>
      <c r="GI157" s="700"/>
      <c r="GJ157" s="700"/>
      <c r="GK157" s="700"/>
      <c r="GL157" s="700"/>
      <c r="GM157" s="700"/>
      <c r="GN157" s="700"/>
      <c r="GO157" s="700"/>
      <c r="GP157" s="700"/>
      <c r="GQ157" s="700"/>
      <c r="GR157" s="700"/>
      <c r="GS157" s="700"/>
      <c r="GT157" s="700"/>
      <c r="GU157" s="700"/>
      <c r="GV157" s="700"/>
      <c r="GW157" s="700"/>
      <c r="GX157" s="700"/>
      <c r="GY157" s="700"/>
      <c r="GZ157" s="700"/>
      <c r="HA157" s="700"/>
      <c r="HB157" s="700"/>
      <c r="HC157" s="700"/>
      <c r="HD157" s="700"/>
      <c r="HE157" s="700"/>
      <c r="HF157" s="700"/>
      <c r="HG157" s="700"/>
      <c r="HH157" s="700"/>
      <c r="HI157" s="700"/>
      <c r="HJ157" s="700"/>
      <c r="HK157" s="700"/>
      <c r="HL157" s="700"/>
      <c r="HM157" s="700"/>
      <c r="HN157" s="700"/>
      <c r="HO157" s="700"/>
      <c r="HP157" s="700"/>
      <c r="HQ157" s="700"/>
      <c r="HR157" s="700"/>
      <c r="HS157" s="700"/>
      <c r="HT157" s="700"/>
      <c r="HU157" s="700"/>
      <c r="HV157" s="700"/>
      <c r="HW157" s="700"/>
      <c r="HX157" s="700"/>
      <c r="HY157" s="700"/>
      <c r="HZ157" s="700"/>
      <c r="IA157" s="700"/>
      <c r="IB157" s="700"/>
      <c r="IC157" s="700"/>
      <c r="ID157" s="700"/>
      <c r="IE157" s="700"/>
      <c r="IF157" s="700"/>
      <c r="IG157" s="700"/>
      <c r="IH157" s="700"/>
      <c r="II157" s="700"/>
      <c r="IJ157" s="700"/>
      <c r="IK157" s="700"/>
      <c r="IL157" s="700"/>
      <c r="IM157" s="700"/>
      <c r="IN157" s="700"/>
      <c r="IO157" s="700"/>
      <c r="IP157" s="700"/>
      <c r="IQ157" s="700"/>
      <c r="IR157" s="700"/>
      <c r="IS157" s="700"/>
      <c r="IT157" s="700"/>
      <c r="IU157" s="700"/>
      <c r="IV157" s="700"/>
      <c r="IW157" s="700"/>
      <c r="IX157" s="700"/>
      <c r="IY157" s="700"/>
      <c r="IZ157" s="700"/>
      <c r="JA157" s="700"/>
      <c r="JB157" s="700"/>
      <c r="JC157" s="700"/>
      <c r="JD157" s="700"/>
      <c r="JE157" s="700"/>
      <c r="JF157" s="700"/>
      <c r="JG157" s="700"/>
      <c r="JH157" s="700"/>
      <c r="JI157" s="700"/>
      <c r="JJ157" s="700"/>
      <c r="JK157" s="700"/>
      <c r="JL157" s="700"/>
      <c r="JM157" s="700"/>
      <c r="JN157" s="700"/>
      <c r="JO157" s="700"/>
      <c r="JP157" s="700"/>
      <c r="JQ157" s="700"/>
      <c r="JR157" s="700"/>
      <c r="JS157" s="700"/>
      <c r="JT157" s="700"/>
      <c r="JU157" s="700"/>
      <c r="JV157" s="700"/>
      <c r="JW157" s="700"/>
      <c r="JX157" s="700"/>
      <c r="JY157" s="700"/>
      <c r="JZ157" s="700"/>
      <c r="KA157" s="700"/>
      <c r="KB157" s="700"/>
      <c r="KC157" s="700"/>
      <c r="KD157" s="700"/>
      <c r="KE157" s="700"/>
      <c r="KF157" s="700"/>
      <c r="KG157" s="700"/>
      <c r="KH157" s="700"/>
      <c r="KI157" s="700"/>
      <c r="KJ157" s="700"/>
      <c r="KK157" s="700"/>
      <c r="KL157" s="700"/>
      <c r="KM157" s="700"/>
      <c r="KN157" s="700"/>
      <c r="KO157" s="700"/>
      <c r="KP157" s="700"/>
      <c r="KQ157" s="700"/>
      <c r="KR157" s="700"/>
      <c r="KS157" s="700"/>
      <c r="KT157" s="700"/>
      <c r="KU157" s="700"/>
      <c r="KV157" s="700"/>
      <c r="KW157" s="700"/>
      <c r="KX157" s="700"/>
      <c r="KY157" s="700"/>
      <c r="KZ157" s="700"/>
      <c r="LA157" s="700"/>
      <c r="LB157" s="700"/>
      <c r="LC157" s="700"/>
      <c r="LD157" s="700"/>
      <c r="LE157" s="700"/>
      <c r="LF157" s="700"/>
      <c r="LG157" s="700"/>
      <c r="LH157" s="700"/>
      <c r="LI157" s="700"/>
      <c r="LJ157" s="700"/>
      <c r="LK157" s="700"/>
      <c r="LL157" s="700"/>
      <c r="LM157" s="700"/>
      <c r="LN157" s="700"/>
      <c r="LO157" s="700"/>
      <c r="LP157" s="700"/>
      <c r="LQ157" s="700"/>
      <c r="LR157" s="700"/>
      <c r="LS157" s="700"/>
      <c r="LT157" s="700"/>
      <c r="LU157" s="700"/>
      <c r="LV157" s="700"/>
      <c r="LW157" s="700"/>
      <c r="LX157" s="700"/>
      <c r="LY157" s="700"/>
      <c r="LZ157" s="700"/>
      <c r="MA157" s="700"/>
      <c r="MB157" s="700"/>
      <c r="MC157" s="700"/>
      <c r="MD157" s="700"/>
      <c r="ME157" s="700"/>
      <c r="MF157" s="700"/>
      <c r="MG157" s="700"/>
      <c r="MH157" s="700"/>
      <c r="MI157" s="700"/>
      <c r="MJ157" s="700"/>
      <c r="MK157" s="700"/>
      <c r="ML157" s="700"/>
      <c r="MM157" s="700"/>
      <c r="MN157" s="700"/>
      <c r="MO157" s="700"/>
      <c r="MP157" s="700"/>
      <c r="MQ157" s="700"/>
      <c r="MR157" s="700"/>
      <c r="MS157" s="700"/>
      <c r="MT157" s="700"/>
      <c r="MU157" s="700"/>
      <c r="MV157" s="700"/>
      <c r="MW157" s="700"/>
      <c r="MX157" s="700"/>
      <c r="MY157" s="700"/>
      <c r="MZ157" s="700"/>
      <c r="NA157" s="700"/>
      <c r="NB157" s="700"/>
      <c r="NC157" s="700"/>
      <c r="ND157" s="700"/>
      <c r="NE157" s="700"/>
      <c r="NF157" s="700"/>
      <c r="NG157" s="700"/>
      <c r="NH157" s="700"/>
      <c r="NI157" s="700"/>
      <c r="NJ157" s="700"/>
      <c r="NK157" s="700"/>
      <c r="NL157" s="700"/>
      <c r="NM157" s="700"/>
      <c r="NN157" s="700"/>
      <c r="NO157" s="700"/>
      <c r="NP157" s="700"/>
      <c r="NQ157" s="700"/>
      <c r="NR157" s="700"/>
      <c r="NS157" s="700"/>
      <c r="NT157" s="700"/>
      <c r="NU157" s="700"/>
      <c r="NV157" s="700"/>
      <c r="NW157" s="700"/>
      <c r="NX157" s="700"/>
      <c r="NY157" s="700"/>
      <c r="NZ157" s="700"/>
      <c r="OA157" s="700"/>
      <c r="OB157" s="700"/>
      <c r="OC157" s="700"/>
      <c r="OD157" s="700"/>
      <c r="OE157" s="700"/>
      <c r="OF157" s="700"/>
      <c r="OG157" s="700"/>
      <c r="OH157" s="700"/>
      <c r="OI157" s="700"/>
      <c r="OJ157" s="700"/>
      <c r="OK157" s="700"/>
      <c r="OL157" s="700"/>
      <c r="OM157" s="700"/>
      <c r="ON157" s="700"/>
      <c r="OO157" s="700"/>
      <c r="OP157" s="700"/>
      <c r="OQ157" s="700"/>
      <c r="OR157" s="700"/>
      <c r="OS157" s="700"/>
      <c r="OT157" s="700"/>
      <c r="OU157" s="700"/>
      <c r="OV157" s="700"/>
      <c r="OW157" s="700"/>
      <c r="OX157" s="700"/>
      <c r="OY157" s="700"/>
      <c r="OZ157" s="700"/>
      <c r="PA157" s="700"/>
      <c r="PB157" s="700"/>
      <c r="PC157" s="700"/>
      <c r="PD157" s="700"/>
      <c r="PE157" s="700"/>
      <c r="PF157" s="700"/>
      <c r="PG157" s="700"/>
      <c r="PH157" s="700"/>
      <c r="PI157" s="700"/>
      <c r="PJ157" s="700"/>
      <c r="PK157" s="700"/>
      <c r="PL157" s="700"/>
      <c r="PM157" s="700"/>
      <c r="PN157" s="700"/>
      <c r="PO157" s="700"/>
      <c r="PP157" s="700"/>
      <c r="PQ157" s="700"/>
      <c r="PR157" s="700"/>
      <c r="PS157" s="700"/>
      <c r="PT157" s="700"/>
      <c r="PU157" s="700"/>
      <c r="PV157" s="700"/>
      <c r="PW157" s="700"/>
      <c r="PX157" s="700"/>
      <c r="PY157" s="700"/>
      <c r="PZ157" s="700"/>
      <c r="QA157" s="700"/>
      <c r="QB157" s="700"/>
      <c r="QC157" s="700"/>
      <c r="QD157" s="700"/>
      <c r="QE157" s="700"/>
      <c r="QF157" s="700"/>
      <c r="QG157" s="700"/>
      <c r="QH157" s="700"/>
      <c r="QI157" s="700"/>
      <c r="QJ157" s="700"/>
      <c r="QK157" s="700"/>
      <c r="QL157" s="700"/>
      <c r="QM157" s="700"/>
      <c r="QN157" s="700"/>
      <c r="QO157" s="700"/>
      <c r="QP157" s="700"/>
      <c r="QQ157" s="700"/>
      <c r="QR157" s="700"/>
      <c r="QS157" s="700"/>
      <c r="QT157" s="700"/>
      <c r="QU157" s="700"/>
      <c r="QV157" s="700"/>
      <c r="QW157" s="700"/>
      <c r="QX157" s="700"/>
      <c r="QY157" s="700"/>
      <c r="QZ157" s="700"/>
      <c r="RA157" s="700"/>
      <c r="RB157" s="700"/>
      <c r="RC157" s="700"/>
      <c r="RD157" s="700"/>
      <c r="RE157" s="700"/>
      <c r="RF157" s="700"/>
      <c r="RG157" s="700"/>
      <c r="RH157" s="700"/>
      <c r="RI157" s="700"/>
      <c r="RJ157" s="700"/>
      <c r="RK157" s="700"/>
      <c r="RL157" s="700"/>
      <c r="RM157" s="700"/>
      <c r="RN157" s="700"/>
      <c r="RO157" s="700"/>
      <c r="RP157" s="700"/>
      <c r="RQ157" s="700"/>
      <c r="RR157" s="700"/>
      <c r="RS157" s="700"/>
      <c r="RT157" s="700"/>
      <c r="RU157" s="700"/>
      <c r="RV157" s="700"/>
      <c r="RW157" s="700"/>
      <c r="RX157" s="700"/>
      <c r="RY157" s="700"/>
      <c r="RZ157" s="700"/>
      <c r="SA157" s="700"/>
      <c r="SB157" s="700"/>
      <c r="SC157" s="700"/>
      <c r="SD157" s="700"/>
      <c r="SE157" s="700"/>
      <c r="SF157" s="700"/>
      <c r="SG157" s="700"/>
      <c r="SH157" s="700"/>
      <c r="SI157" s="700"/>
      <c r="SJ157" s="700"/>
      <c r="SK157" s="700"/>
      <c r="SL157" s="700"/>
      <c r="SM157" s="700"/>
      <c r="SN157" s="700"/>
      <c r="SO157" s="700"/>
      <c r="SP157" s="700"/>
      <c r="SQ157" s="700"/>
      <c r="SR157" s="700"/>
      <c r="SS157" s="700"/>
      <c r="ST157" s="700"/>
      <c r="SU157" s="700"/>
      <c r="SV157" s="700"/>
      <c r="SW157" s="700"/>
      <c r="SX157" s="700"/>
      <c r="SY157" s="700"/>
      <c r="SZ157" s="700"/>
      <c r="TA157" s="700"/>
      <c r="TB157" s="700"/>
      <c r="TC157" s="700"/>
      <c r="TD157" s="700"/>
      <c r="TE157" s="700"/>
      <c r="TF157" s="700"/>
      <c r="TG157" s="700"/>
      <c r="TH157" s="700"/>
      <c r="TI157" s="700"/>
      <c r="TJ157" s="700"/>
      <c r="TK157" s="700"/>
      <c r="TL157" s="700"/>
      <c r="TM157" s="700"/>
      <c r="TN157" s="700"/>
      <c r="TO157" s="700"/>
      <c r="TP157" s="700"/>
      <c r="TQ157" s="700"/>
      <c r="TR157" s="700"/>
      <c r="TS157" s="700"/>
      <c r="TT157" s="700"/>
      <c r="TU157" s="700"/>
      <c r="TV157" s="700"/>
      <c r="TW157" s="700"/>
      <c r="TX157" s="700"/>
      <c r="TY157" s="700"/>
      <c r="TZ157" s="700"/>
      <c r="UA157" s="700"/>
      <c r="UB157" s="700"/>
      <c r="UC157" s="700"/>
      <c r="UD157" s="700"/>
      <c r="UE157" s="700"/>
      <c r="UF157" s="700"/>
      <c r="UG157" s="700"/>
      <c r="UH157" s="700"/>
      <c r="UI157" s="700"/>
      <c r="UJ157" s="700"/>
      <c r="UK157" s="700"/>
      <c r="UL157" s="700"/>
      <c r="UM157" s="700"/>
      <c r="UN157" s="700"/>
      <c r="UO157" s="700"/>
      <c r="UP157" s="700"/>
      <c r="UQ157" s="700"/>
      <c r="UR157" s="700"/>
      <c r="US157" s="700"/>
      <c r="UT157" s="700"/>
      <c r="UU157" s="700"/>
      <c r="UV157" s="700"/>
      <c r="UW157" s="700"/>
      <c r="UX157" s="700"/>
      <c r="UY157" s="700"/>
      <c r="UZ157" s="700"/>
      <c r="VA157" s="700"/>
      <c r="VB157" s="700"/>
      <c r="VC157" s="700"/>
      <c r="VD157" s="700"/>
      <c r="VE157" s="700"/>
      <c r="VF157" s="700"/>
      <c r="VG157" s="700"/>
      <c r="VH157" s="700"/>
      <c r="VI157" s="700"/>
      <c r="VJ157" s="700"/>
      <c r="VK157" s="700"/>
      <c r="VL157" s="700"/>
      <c r="VM157" s="700"/>
      <c r="VN157" s="700"/>
      <c r="VO157" s="700"/>
      <c r="VP157" s="700"/>
      <c r="VQ157" s="700"/>
      <c r="VR157" s="700"/>
      <c r="VS157" s="700"/>
      <c r="VT157" s="700"/>
      <c r="VU157" s="700"/>
      <c r="VV157" s="700"/>
      <c r="VW157" s="700"/>
      <c r="VX157" s="700"/>
      <c r="VY157" s="700"/>
      <c r="VZ157" s="700"/>
      <c r="WA157" s="700"/>
      <c r="WB157" s="700"/>
      <c r="WC157" s="700"/>
      <c r="WD157" s="700"/>
      <c r="WE157" s="700"/>
      <c r="WF157" s="700"/>
      <c r="WG157" s="700"/>
      <c r="WH157" s="700"/>
      <c r="WI157" s="700"/>
      <c r="WJ157" s="700"/>
      <c r="WK157" s="700"/>
      <c r="WL157" s="700"/>
      <c r="WM157" s="700"/>
      <c r="WN157" s="700"/>
      <c r="WO157" s="700"/>
      <c r="WP157" s="700"/>
      <c r="WQ157" s="700"/>
      <c r="WR157" s="700"/>
      <c r="WS157" s="700"/>
      <c r="WT157" s="700"/>
      <c r="WU157" s="700"/>
      <c r="WV157" s="700"/>
      <c r="WW157" s="700"/>
      <c r="WX157" s="700"/>
      <c r="WY157" s="700"/>
      <c r="WZ157" s="700"/>
      <c r="XA157" s="700"/>
      <c r="XB157" s="700"/>
      <c r="XC157" s="700"/>
      <c r="XD157" s="700"/>
      <c r="XE157" s="700"/>
      <c r="XF157" s="700"/>
      <c r="XG157" s="700"/>
      <c r="XH157" s="700"/>
      <c r="XI157" s="700"/>
      <c r="XJ157" s="700"/>
      <c r="XK157" s="700"/>
      <c r="XL157" s="700"/>
      <c r="XM157" s="700"/>
      <c r="XN157" s="700"/>
      <c r="XO157" s="700"/>
      <c r="XP157" s="700"/>
      <c r="XQ157" s="700"/>
      <c r="XR157" s="700"/>
      <c r="XS157" s="700"/>
      <c r="XT157" s="700"/>
      <c r="XU157" s="700"/>
      <c r="XV157" s="700"/>
      <c r="XW157" s="700"/>
      <c r="XX157" s="700"/>
      <c r="XY157" s="700"/>
      <c r="XZ157" s="700"/>
      <c r="YA157" s="700"/>
      <c r="YB157" s="700"/>
      <c r="YC157" s="700"/>
      <c r="YD157" s="700"/>
      <c r="YE157" s="700"/>
      <c r="YF157" s="700"/>
      <c r="YG157" s="700"/>
      <c r="YH157" s="700"/>
      <c r="YI157" s="700"/>
      <c r="YJ157" s="700"/>
      <c r="YK157" s="700"/>
      <c r="YL157" s="700"/>
      <c r="YM157" s="700"/>
      <c r="YN157" s="700"/>
      <c r="YO157" s="700"/>
      <c r="YP157" s="700"/>
      <c r="YQ157" s="700"/>
      <c r="YR157" s="700"/>
      <c r="YS157" s="700"/>
      <c r="YT157" s="700"/>
      <c r="YU157" s="700"/>
      <c r="YV157" s="700"/>
      <c r="YW157" s="700"/>
      <c r="YX157" s="700"/>
      <c r="YY157" s="700"/>
      <c r="YZ157" s="700"/>
      <c r="ZA157" s="700"/>
      <c r="ZB157" s="700"/>
      <c r="ZC157" s="700"/>
      <c r="ZD157" s="700"/>
      <c r="ZE157" s="700"/>
      <c r="ZF157" s="700"/>
      <c r="ZG157" s="700"/>
      <c r="ZH157" s="700"/>
      <c r="ZI157" s="700"/>
      <c r="ZJ157" s="700"/>
      <c r="ZK157" s="700"/>
      <c r="ZL157" s="700"/>
      <c r="ZM157" s="700"/>
      <c r="ZN157" s="700"/>
      <c r="ZO157" s="700"/>
      <c r="ZP157" s="700"/>
      <c r="ZQ157" s="700"/>
      <c r="ZR157" s="700"/>
      <c r="ZS157" s="700"/>
      <c r="ZT157" s="700"/>
      <c r="ZU157" s="700"/>
      <c r="ZV157" s="700"/>
      <c r="ZW157" s="700"/>
      <c r="ZX157" s="700"/>
      <c r="ZY157" s="700"/>
      <c r="ZZ157" s="700"/>
      <c r="AAA157" s="700"/>
      <c r="AAB157" s="700"/>
      <c r="AAC157" s="700"/>
      <c r="AAD157" s="700"/>
      <c r="AAE157" s="700"/>
      <c r="AAF157" s="700"/>
      <c r="AAG157" s="700"/>
      <c r="AAH157" s="700"/>
      <c r="AAI157" s="700"/>
      <c r="AAJ157" s="700"/>
      <c r="AAK157" s="700"/>
      <c r="AAL157" s="700"/>
      <c r="AAM157" s="700"/>
      <c r="AAN157" s="700"/>
      <c r="AAO157" s="700"/>
      <c r="AAP157" s="700"/>
      <c r="AAQ157" s="700"/>
      <c r="AAR157" s="700"/>
      <c r="AAS157" s="700"/>
      <c r="AAT157" s="700"/>
      <c r="AAU157" s="700"/>
      <c r="AAV157" s="700"/>
      <c r="AAW157" s="700"/>
      <c r="AAX157" s="700"/>
      <c r="AAY157" s="700"/>
      <c r="AAZ157" s="700"/>
      <c r="ABA157" s="700"/>
      <c r="ABB157" s="700"/>
      <c r="ABC157" s="700"/>
      <c r="ABD157" s="700"/>
      <c r="ABE157" s="700"/>
      <c r="ABF157" s="700"/>
      <c r="ABG157" s="700"/>
      <c r="ABH157" s="700"/>
      <c r="ABI157" s="700"/>
      <c r="ABJ157" s="700"/>
      <c r="ABK157" s="700"/>
      <c r="ABL157" s="700"/>
      <c r="ABM157" s="700"/>
      <c r="ABN157" s="700"/>
      <c r="ABO157" s="700"/>
      <c r="ABP157" s="700"/>
      <c r="ABQ157" s="700"/>
      <c r="ABR157" s="700"/>
      <c r="ABS157" s="700"/>
      <c r="ABT157" s="700"/>
      <c r="ABU157" s="700"/>
      <c r="ABV157" s="700"/>
      <c r="ABW157" s="700"/>
      <c r="ABX157" s="700"/>
      <c r="ABY157" s="700"/>
      <c r="ABZ157" s="700"/>
      <c r="ACA157" s="700"/>
      <c r="ACB157" s="700"/>
      <c r="ACC157" s="700"/>
      <c r="ACD157" s="700"/>
      <c r="ACE157" s="700"/>
      <c r="ACF157" s="700"/>
      <c r="ACG157" s="700"/>
      <c r="ACH157" s="700"/>
      <c r="ACI157" s="700"/>
      <c r="ACJ157" s="700"/>
      <c r="ACK157" s="700"/>
      <c r="ACL157" s="700"/>
      <c r="ACM157" s="700"/>
      <c r="ACN157" s="700"/>
      <c r="ACO157" s="700"/>
      <c r="ACP157" s="700"/>
      <c r="ACQ157" s="700"/>
      <c r="ACR157" s="700"/>
      <c r="ACS157" s="700"/>
      <c r="ACT157" s="700"/>
      <c r="ACU157" s="700"/>
      <c r="ACV157" s="700"/>
      <c r="ACW157" s="700"/>
      <c r="ACX157" s="700"/>
      <c r="ACY157" s="700"/>
      <c r="ACZ157" s="700"/>
      <c r="ADA157" s="700"/>
      <c r="ADB157" s="700"/>
      <c r="ADC157" s="700"/>
      <c r="ADD157" s="700"/>
      <c r="ADE157" s="700"/>
      <c r="ADF157" s="700"/>
      <c r="ADG157" s="700"/>
      <c r="ADH157" s="700"/>
      <c r="ADI157" s="700"/>
      <c r="ADJ157" s="700"/>
      <c r="ADK157" s="700"/>
      <c r="ADL157" s="700"/>
      <c r="ADM157" s="700"/>
      <c r="ADN157" s="700"/>
      <c r="ADO157" s="700"/>
      <c r="ADP157" s="700"/>
      <c r="ADQ157" s="700"/>
      <c r="ADR157" s="700"/>
      <c r="ADS157" s="700"/>
      <c r="ADT157" s="700"/>
      <c r="ADU157" s="700"/>
      <c r="ADV157" s="700"/>
      <c r="ADW157" s="700"/>
      <c r="ADX157" s="700"/>
      <c r="ADY157" s="700"/>
      <c r="ADZ157" s="700"/>
      <c r="AEA157" s="700"/>
      <c r="AEB157" s="700"/>
      <c r="AEC157" s="700"/>
      <c r="AED157" s="700"/>
      <c r="AEE157" s="700"/>
      <c r="AEF157" s="700"/>
      <c r="AEG157" s="700"/>
      <c r="AEH157" s="700"/>
      <c r="AEI157" s="700"/>
      <c r="AEJ157" s="700"/>
      <c r="AEK157" s="700"/>
      <c r="AEL157" s="700"/>
      <c r="AEM157" s="700"/>
      <c r="AEN157" s="700"/>
      <c r="AEO157" s="700"/>
      <c r="AEP157" s="700"/>
      <c r="AEQ157" s="700"/>
      <c r="AER157" s="700"/>
      <c r="AES157" s="700"/>
      <c r="AET157" s="700"/>
      <c r="AEU157" s="700"/>
      <c r="AEV157" s="700"/>
      <c r="AEW157" s="700"/>
      <c r="AEX157" s="700"/>
      <c r="AEY157" s="700"/>
      <c r="AEZ157" s="700"/>
      <c r="AFA157" s="700"/>
      <c r="AFB157" s="700"/>
      <c r="AFC157" s="700"/>
      <c r="AFD157" s="700"/>
      <c r="AFE157" s="700"/>
      <c r="AFF157" s="700"/>
      <c r="AFG157" s="700"/>
      <c r="AFH157" s="700"/>
      <c r="AFI157" s="700"/>
      <c r="AFJ157" s="700"/>
      <c r="AFK157" s="700"/>
      <c r="AFL157" s="700"/>
      <c r="AFM157" s="700"/>
      <c r="AFN157" s="700"/>
      <c r="AFO157" s="700"/>
      <c r="AFP157" s="700"/>
      <c r="AFQ157" s="700"/>
      <c r="AFR157" s="700"/>
      <c r="AFS157" s="700"/>
      <c r="AFT157" s="700"/>
      <c r="AFU157" s="700"/>
      <c r="AFV157" s="700"/>
      <c r="AFW157" s="700"/>
      <c r="AFX157" s="700"/>
      <c r="AFY157" s="700"/>
      <c r="AFZ157" s="700"/>
      <c r="AGA157" s="700"/>
      <c r="AGB157" s="700"/>
      <c r="AGC157" s="700"/>
      <c r="AGD157" s="700"/>
      <c r="AGE157" s="700"/>
      <c r="AGF157" s="700"/>
      <c r="AGG157" s="700"/>
      <c r="AGH157" s="700"/>
      <c r="AGI157" s="700"/>
      <c r="AGJ157" s="700"/>
      <c r="AGK157" s="700"/>
      <c r="AGL157" s="700"/>
      <c r="AGM157" s="700"/>
      <c r="AGN157" s="700"/>
      <c r="AGO157" s="700"/>
      <c r="AGP157" s="700"/>
      <c r="AGQ157" s="700"/>
      <c r="AGR157" s="700"/>
      <c r="AGS157" s="700"/>
      <c r="AGT157" s="700"/>
      <c r="AGU157" s="700"/>
      <c r="AGV157" s="700"/>
      <c r="AGW157" s="700"/>
      <c r="AGX157" s="700"/>
      <c r="AGY157" s="700"/>
      <c r="AGZ157" s="700"/>
      <c r="AHA157" s="700"/>
      <c r="AHB157" s="700"/>
      <c r="AHC157" s="700"/>
      <c r="AHD157" s="700"/>
      <c r="AHE157" s="700"/>
      <c r="AHF157" s="700"/>
      <c r="AHG157" s="700"/>
      <c r="AHH157" s="700"/>
      <c r="AHI157" s="700"/>
      <c r="AHJ157" s="700"/>
      <c r="AHK157" s="700"/>
      <c r="AHL157" s="700"/>
      <c r="AHM157" s="700"/>
      <c r="AHN157" s="700"/>
      <c r="AHO157" s="700"/>
      <c r="AHP157" s="700"/>
      <c r="AHQ157" s="700"/>
      <c r="AHR157" s="700"/>
      <c r="AHS157" s="700"/>
      <c r="AHT157" s="700"/>
      <c r="AHU157" s="700"/>
      <c r="AHV157" s="700"/>
      <c r="AHW157" s="700"/>
      <c r="AHX157" s="700"/>
      <c r="AHY157" s="700"/>
      <c r="AHZ157" s="700"/>
      <c r="AIA157" s="700"/>
      <c r="AIB157" s="700"/>
      <c r="AIC157" s="700"/>
      <c r="AID157" s="700"/>
      <c r="AIE157" s="700"/>
      <c r="AIF157" s="700"/>
      <c r="AIG157" s="700"/>
      <c r="AIH157" s="700"/>
      <c r="AII157" s="700"/>
      <c r="AIJ157" s="700"/>
      <c r="AIK157" s="700"/>
      <c r="AIL157" s="700"/>
      <c r="AIM157" s="700"/>
      <c r="AIN157" s="700"/>
      <c r="AIO157" s="700"/>
      <c r="AIP157" s="700"/>
      <c r="AIQ157" s="700"/>
      <c r="AIR157" s="700"/>
      <c r="AIS157" s="700"/>
      <c r="AIT157" s="700"/>
      <c r="AIU157" s="700"/>
      <c r="AIV157" s="700"/>
      <c r="AIW157" s="700"/>
      <c r="AIX157" s="700"/>
      <c r="AIY157" s="700"/>
      <c r="AIZ157" s="700"/>
      <c r="AJA157" s="700"/>
      <c r="AJB157" s="700"/>
      <c r="AJC157" s="700"/>
      <c r="AJD157" s="700"/>
      <c r="AJE157" s="700"/>
      <c r="AJF157" s="700"/>
      <c r="AJG157" s="700"/>
      <c r="AJH157" s="700"/>
      <c r="AJI157" s="700"/>
      <c r="AJJ157" s="700"/>
      <c r="AJK157" s="700"/>
      <c r="AJL157" s="700"/>
      <c r="AJM157" s="700"/>
      <c r="AJN157" s="700"/>
      <c r="AJO157" s="700"/>
      <c r="AJP157" s="700"/>
      <c r="AJQ157" s="700"/>
      <c r="AJR157" s="700"/>
      <c r="AJS157" s="700"/>
      <c r="AJT157" s="700"/>
      <c r="AJU157" s="700"/>
      <c r="AJV157" s="700"/>
      <c r="AJW157" s="700"/>
      <c r="AJX157" s="700"/>
      <c r="AJY157" s="700"/>
      <c r="AJZ157" s="700"/>
      <c r="AKA157" s="700"/>
      <c r="AKB157" s="700"/>
      <c r="AKC157" s="700"/>
      <c r="AKD157" s="700"/>
      <c r="AKE157" s="700"/>
      <c r="AKF157" s="700"/>
      <c r="AKG157" s="700"/>
      <c r="AKH157" s="700"/>
      <c r="AKI157" s="700"/>
      <c r="AKJ157" s="700"/>
      <c r="AKK157" s="700"/>
      <c r="AKL157" s="700"/>
      <c r="AKM157" s="700"/>
      <c r="AKN157" s="700"/>
      <c r="AKO157" s="700"/>
      <c r="AKP157" s="700"/>
      <c r="AKQ157" s="700"/>
      <c r="AKR157" s="700"/>
      <c r="AKS157" s="700"/>
      <c r="AKT157" s="700"/>
      <c r="AKU157" s="700"/>
      <c r="AKV157" s="700"/>
      <c r="AKW157" s="700"/>
      <c r="AKX157" s="700"/>
      <c r="AKY157" s="700"/>
      <c r="AKZ157" s="700"/>
      <c r="ALA157" s="700"/>
      <c r="ALB157" s="700"/>
      <c r="ALC157" s="700"/>
      <c r="ALD157" s="700"/>
      <c r="ALE157" s="700"/>
      <c r="ALF157" s="700"/>
      <c r="ALG157" s="700"/>
      <c r="ALH157" s="700"/>
      <c r="ALI157" s="700"/>
      <c r="ALJ157" s="700"/>
      <c r="ALK157" s="700"/>
      <c r="ALL157" s="700"/>
      <c r="ALM157" s="700"/>
      <c r="ALN157" s="700"/>
      <c r="ALO157" s="700"/>
      <c r="ALP157" s="700"/>
      <c r="ALQ157" s="700"/>
      <c r="ALR157" s="700"/>
      <c r="ALS157" s="700"/>
      <c r="ALT157" s="700"/>
      <c r="ALU157" s="700"/>
      <c r="ALV157" s="700"/>
      <c r="ALW157" s="700"/>
      <c r="ALX157" s="700"/>
      <c r="ALY157" s="700"/>
      <c r="ALZ157" s="700"/>
      <c r="AMA157" s="700"/>
      <c r="AMB157" s="700"/>
      <c r="AMC157" s="700"/>
      <c r="AMD157" s="700"/>
      <c r="AME157" s="700"/>
      <c r="AMF157" s="700"/>
      <c r="AMG157" s="700"/>
      <c r="AMH157" s="700"/>
      <c r="AMI157" s="700"/>
      <c r="AMJ157" s="700"/>
      <c r="AMK157" s="700"/>
      <c r="AML157" s="700"/>
      <c r="AMM157" s="700"/>
      <c r="AMN157" s="700"/>
      <c r="AMO157" s="700"/>
      <c r="AMP157" s="700"/>
      <c r="AMQ157" s="700"/>
      <c r="AMR157" s="700"/>
      <c r="AMS157" s="700"/>
      <c r="AMT157" s="700"/>
      <c r="AMU157" s="700"/>
      <c r="AMV157" s="700"/>
      <c r="AMW157" s="700"/>
      <c r="AMX157" s="700"/>
      <c r="AMY157" s="700"/>
      <c r="AMZ157" s="700"/>
      <c r="ANA157" s="700"/>
      <c r="ANB157" s="700"/>
      <c r="ANC157" s="700"/>
      <c r="AND157" s="700"/>
      <c r="ANE157" s="700"/>
      <c r="ANF157" s="700"/>
      <c r="ANG157" s="700"/>
      <c r="ANH157" s="700"/>
      <c r="ANI157" s="700"/>
      <c r="ANJ157" s="700"/>
      <c r="ANK157" s="700"/>
      <c r="ANL157" s="700"/>
      <c r="ANM157" s="700"/>
      <c r="ANN157" s="700"/>
      <c r="ANO157" s="700"/>
      <c r="ANP157" s="700"/>
      <c r="ANQ157" s="700"/>
      <c r="ANR157" s="700"/>
      <c r="ANS157" s="700"/>
      <c r="ANT157" s="700"/>
      <c r="ANU157" s="700"/>
      <c r="ANV157" s="700"/>
      <c r="ANW157" s="700"/>
      <c r="ANX157" s="700"/>
      <c r="ANY157" s="700"/>
      <c r="ANZ157" s="700"/>
      <c r="AOA157" s="700"/>
      <c r="AOB157" s="700"/>
      <c r="AOC157" s="700"/>
      <c r="AOD157" s="700"/>
      <c r="AOE157" s="700"/>
      <c r="AOF157" s="700"/>
      <c r="AOG157" s="700"/>
      <c r="AOH157" s="700"/>
      <c r="AOI157" s="700"/>
      <c r="AOJ157" s="700"/>
      <c r="AOK157" s="700"/>
      <c r="AOL157" s="700"/>
      <c r="AOM157" s="700"/>
      <c r="AON157" s="700"/>
      <c r="AOO157" s="700"/>
      <c r="AOP157" s="700"/>
      <c r="AOQ157" s="700"/>
      <c r="AOR157" s="700"/>
      <c r="AOS157" s="700"/>
      <c r="AOT157" s="700"/>
      <c r="AOU157" s="700"/>
      <c r="AOV157" s="700"/>
      <c r="AOW157" s="700"/>
      <c r="AOX157" s="700"/>
      <c r="AOY157" s="700"/>
      <c r="AOZ157" s="700"/>
      <c r="APA157" s="700"/>
      <c r="APB157" s="700"/>
      <c r="APC157" s="700"/>
      <c r="APD157" s="700"/>
      <c r="APE157" s="700"/>
      <c r="APF157" s="700"/>
      <c r="APG157" s="700"/>
      <c r="APH157" s="700"/>
      <c r="API157" s="700"/>
      <c r="APJ157" s="700"/>
      <c r="APK157" s="700"/>
      <c r="APL157" s="700"/>
      <c r="APM157" s="700"/>
      <c r="APN157" s="700"/>
      <c r="APO157" s="700"/>
      <c r="APP157" s="700"/>
      <c r="APQ157" s="700"/>
      <c r="APR157" s="700"/>
      <c r="APS157" s="700"/>
      <c r="APT157" s="700"/>
      <c r="APU157" s="700"/>
      <c r="APV157" s="700"/>
      <c r="APW157" s="700"/>
      <c r="APX157" s="700"/>
      <c r="APY157" s="700"/>
      <c r="APZ157" s="700"/>
      <c r="AQA157" s="700"/>
      <c r="AQB157" s="700"/>
      <c r="AQC157" s="700"/>
      <c r="AQD157" s="700"/>
      <c r="AQE157" s="700"/>
      <c r="AQF157" s="700"/>
      <c r="AQG157" s="700"/>
      <c r="AQH157" s="700"/>
      <c r="AQI157" s="700"/>
      <c r="AQJ157" s="700"/>
      <c r="AQK157" s="700"/>
      <c r="AQL157" s="700"/>
      <c r="AQM157" s="700"/>
      <c r="AQN157" s="700"/>
      <c r="AQO157" s="700"/>
      <c r="AQP157" s="700"/>
      <c r="AQQ157" s="700"/>
      <c r="AQR157" s="700"/>
      <c r="AQS157" s="700"/>
      <c r="AQT157" s="700"/>
      <c r="AQU157" s="700"/>
      <c r="AQV157" s="700"/>
      <c r="AQW157" s="700"/>
      <c r="AQX157" s="700"/>
      <c r="AQY157" s="700"/>
      <c r="AQZ157" s="700"/>
      <c r="ARA157" s="700"/>
      <c r="ARB157" s="700"/>
      <c r="ARC157" s="700"/>
      <c r="ARD157" s="700"/>
      <c r="ARE157" s="700"/>
      <c r="ARF157" s="700"/>
      <c r="ARG157" s="700"/>
      <c r="ARH157" s="700"/>
      <c r="ARI157" s="700"/>
      <c r="ARJ157" s="700"/>
      <c r="ARK157" s="700"/>
      <c r="ARL157" s="700"/>
      <c r="ARM157" s="700"/>
      <c r="ARN157" s="700"/>
      <c r="ARO157" s="700"/>
      <c r="ARP157" s="700"/>
      <c r="ARQ157" s="700"/>
      <c r="ARR157" s="700"/>
      <c r="ARS157" s="700"/>
      <c r="ART157" s="700"/>
      <c r="ARU157" s="700"/>
      <c r="ARV157" s="700"/>
      <c r="ARW157" s="700"/>
      <c r="ARX157" s="700"/>
      <c r="ARY157" s="700"/>
      <c r="ARZ157" s="700"/>
      <c r="ASA157" s="700"/>
      <c r="ASB157" s="700"/>
      <c r="ASC157" s="700"/>
      <c r="ASD157" s="700"/>
      <c r="ASE157" s="700"/>
      <c r="ASF157" s="700"/>
      <c r="ASG157" s="700"/>
      <c r="ASH157" s="700"/>
      <c r="ASI157" s="700"/>
      <c r="ASJ157" s="700"/>
      <c r="ASK157" s="700"/>
      <c r="ASL157" s="700"/>
      <c r="ASM157" s="700"/>
      <c r="ASN157" s="700"/>
      <c r="ASO157" s="700"/>
      <c r="ASP157" s="700"/>
      <c r="ASQ157" s="700"/>
      <c r="ASR157" s="700"/>
      <c r="ASS157" s="700"/>
      <c r="AST157" s="700"/>
      <c r="ASU157" s="700"/>
      <c r="ASV157" s="700"/>
      <c r="ASW157" s="700"/>
      <c r="ASX157" s="700"/>
      <c r="ASY157" s="700"/>
      <c r="ASZ157" s="700"/>
      <c r="ATA157" s="700"/>
      <c r="ATB157" s="700"/>
      <c r="ATC157" s="700"/>
      <c r="ATD157" s="700"/>
      <c r="ATE157" s="700"/>
      <c r="ATF157" s="700"/>
      <c r="ATG157" s="700"/>
      <c r="ATH157" s="700"/>
      <c r="ATI157" s="700"/>
      <c r="ATJ157" s="700"/>
      <c r="ATK157" s="700"/>
      <c r="ATL157" s="700"/>
      <c r="ATM157" s="700"/>
      <c r="ATN157" s="700"/>
      <c r="ATO157" s="700"/>
      <c r="ATP157" s="700"/>
      <c r="ATQ157" s="700"/>
      <c r="ATR157" s="700"/>
      <c r="ATS157" s="700"/>
      <c r="ATT157" s="700"/>
      <c r="ATU157" s="700"/>
      <c r="ATV157" s="700"/>
      <c r="ATW157" s="700"/>
      <c r="ATX157" s="700"/>
      <c r="ATY157" s="700"/>
      <c r="ATZ157" s="700"/>
      <c r="AUA157" s="700"/>
      <c r="AUB157" s="700"/>
      <c r="AUC157" s="700"/>
      <c r="AUD157" s="700"/>
      <c r="AUE157" s="700"/>
      <c r="AUF157" s="700"/>
      <c r="AUG157" s="700"/>
      <c r="AUH157" s="700"/>
      <c r="AUI157" s="700"/>
      <c r="AUJ157" s="700"/>
      <c r="AUK157" s="700"/>
      <c r="AUL157" s="700"/>
      <c r="AUM157" s="700"/>
      <c r="AUN157" s="700"/>
      <c r="AUO157" s="700"/>
      <c r="AUP157" s="700"/>
      <c r="AUQ157" s="700"/>
      <c r="AUR157" s="700"/>
      <c r="AUS157" s="700"/>
      <c r="AUT157" s="700"/>
      <c r="AUU157" s="700"/>
      <c r="AUV157" s="700"/>
      <c r="AUW157" s="700"/>
      <c r="AUX157" s="700"/>
      <c r="AUY157" s="700"/>
      <c r="AUZ157" s="700"/>
      <c r="AVA157" s="700"/>
      <c r="AVB157" s="700"/>
      <c r="AVC157" s="700"/>
      <c r="AVD157" s="700"/>
      <c r="AVE157" s="700"/>
      <c r="AVF157" s="700"/>
      <c r="AVG157" s="700"/>
      <c r="AVH157" s="700"/>
      <c r="AVI157" s="700"/>
      <c r="AVJ157" s="700"/>
      <c r="AVK157" s="700"/>
      <c r="AVL157" s="700"/>
      <c r="AVM157" s="700"/>
      <c r="AVN157" s="700"/>
      <c r="AVO157" s="700"/>
      <c r="AVP157" s="700"/>
      <c r="AVQ157" s="700"/>
      <c r="AVR157" s="700"/>
      <c r="AVS157" s="700"/>
      <c r="AVT157" s="700"/>
      <c r="AVU157" s="700"/>
      <c r="AVV157" s="700"/>
      <c r="AVW157" s="700"/>
      <c r="AVX157" s="700"/>
      <c r="AVY157" s="700"/>
      <c r="AVZ157" s="700"/>
      <c r="AWA157" s="700"/>
      <c r="AWB157" s="700"/>
      <c r="AWC157" s="700"/>
      <c r="AWD157" s="700"/>
      <c r="AWE157" s="700"/>
      <c r="AWF157" s="700"/>
      <c r="AWG157" s="700"/>
      <c r="AWH157" s="700"/>
      <c r="AWI157" s="700"/>
      <c r="AWJ157" s="700"/>
      <c r="AWK157" s="700"/>
      <c r="AWL157" s="700"/>
      <c r="AWM157" s="700"/>
      <c r="AWN157" s="700"/>
      <c r="AWO157" s="700"/>
      <c r="AWP157" s="700"/>
      <c r="AWQ157" s="700"/>
      <c r="AWR157" s="700"/>
      <c r="AWS157" s="700"/>
      <c r="AWT157" s="700"/>
      <c r="AWU157" s="700"/>
      <c r="AWV157" s="700"/>
      <c r="AWW157" s="700"/>
      <c r="AWX157" s="700"/>
      <c r="AWY157" s="700"/>
      <c r="AWZ157" s="700"/>
      <c r="AXA157" s="700"/>
      <c r="AXB157" s="700"/>
      <c r="AXC157" s="700"/>
      <c r="AXD157" s="700"/>
      <c r="AXE157" s="700"/>
      <c r="AXF157" s="700"/>
      <c r="AXG157" s="700"/>
      <c r="AXH157" s="700"/>
      <c r="AXI157" s="700"/>
      <c r="AXJ157" s="700"/>
      <c r="AXK157" s="700"/>
      <c r="AXL157" s="700"/>
      <c r="AXM157" s="700"/>
      <c r="AXN157" s="700"/>
      <c r="AXO157" s="700"/>
      <c r="AXP157" s="700"/>
      <c r="AXQ157" s="700"/>
      <c r="AXR157" s="700"/>
      <c r="AXS157" s="700"/>
      <c r="AXT157" s="700"/>
      <c r="AXU157" s="700"/>
      <c r="AXV157" s="700"/>
      <c r="AXW157" s="700"/>
      <c r="AXX157" s="700"/>
      <c r="AXY157" s="700"/>
      <c r="AXZ157" s="700"/>
      <c r="AYA157" s="700"/>
      <c r="AYB157" s="700"/>
      <c r="AYC157" s="700"/>
      <c r="AYD157" s="700"/>
      <c r="AYE157" s="700"/>
      <c r="AYF157" s="700"/>
      <c r="AYG157" s="700"/>
      <c r="AYH157" s="700"/>
      <c r="AYI157" s="700"/>
      <c r="AYJ157" s="700"/>
      <c r="AYK157" s="700"/>
      <c r="AYL157" s="700"/>
      <c r="AYM157" s="700"/>
      <c r="AYN157" s="700"/>
      <c r="AYO157" s="700"/>
      <c r="AYP157" s="700"/>
      <c r="AYQ157" s="700"/>
      <c r="AYR157" s="700"/>
      <c r="AYS157" s="700"/>
      <c r="AYT157" s="700"/>
      <c r="AYU157" s="700"/>
      <c r="AYV157" s="700"/>
      <c r="AYW157" s="700"/>
      <c r="AYX157" s="700"/>
      <c r="AYY157" s="700"/>
      <c r="AYZ157" s="700"/>
      <c r="AZA157" s="700"/>
      <c r="AZB157" s="700"/>
      <c r="AZC157" s="700"/>
      <c r="AZD157" s="700"/>
      <c r="AZE157" s="700"/>
      <c r="AZF157" s="700"/>
      <c r="AZG157" s="700"/>
      <c r="AZH157" s="700"/>
      <c r="AZI157" s="700"/>
      <c r="AZJ157" s="700"/>
      <c r="AZK157" s="700"/>
      <c r="AZL157" s="700"/>
      <c r="AZM157" s="700"/>
      <c r="AZN157" s="700"/>
      <c r="AZO157" s="700"/>
      <c r="AZP157" s="700"/>
      <c r="AZQ157" s="700"/>
      <c r="AZR157" s="700"/>
      <c r="AZS157" s="700"/>
      <c r="AZT157" s="700"/>
      <c r="AZU157" s="700"/>
      <c r="AZV157" s="700"/>
      <c r="AZW157" s="700"/>
      <c r="AZX157" s="700"/>
      <c r="AZY157" s="700"/>
      <c r="AZZ157" s="700"/>
      <c r="BAA157" s="700"/>
      <c r="BAB157" s="700"/>
      <c r="BAC157" s="700"/>
      <c r="BAD157" s="700"/>
      <c r="BAE157" s="700"/>
      <c r="BAF157" s="700"/>
      <c r="BAG157" s="700"/>
      <c r="BAH157" s="700"/>
      <c r="BAI157" s="700"/>
      <c r="BAJ157" s="700"/>
      <c r="BAK157" s="700"/>
      <c r="BAL157" s="700"/>
      <c r="BAM157" s="700"/>
      <c r="BAN157" s="700"/>
      <c r="BAO157" s="700"/>
      <c r="BAP157" s="700"/>
      <c r="BAQ157" s="700"/>
      <c r="BAR157" s="700"/>
      <c r="BAS157" s="700"/>
      <c r="BAT157" s="700"/>
      <c r="BAU157" s="700"/>
      <c r="BAV157" s="700"/>
      <c r="BAW157" s="700"/>
      <c r="BAX157" s="700"/>
      <c r="BAY157" s="700"/>
      <c r="BAZ157" s="700"/>
      <c r="BBA157" s="700"/>
      <c r="BBB157" s="700"/>
      <c r="BBC157" s="700"/>
      <c r="BBD157" s="700"/>
      <c r="BBE157" s="700"/>
      <c r="BBF157" s="700"/>
      <c r="BBG157" s="700"/>
      <c r="BBH157" s="700"/>
      <c r="BBI157" s="700"/>
      <c r="BBJ157" s="700"/>
      <c r="BBK157" s="700"/>
      <c r="BBL157" s="700"/>
      <c r="BBM157" s="700"/>
      <c r="BBN157" s="700"/>
      <c r="BBO157" s="700"/>
      <c r="BBP157" s="700"/>
      <c r="BBQ157" s="700"/>
      <c r="BBR157" s="700"/>
      <c r="BBS157" s="700"/>
      <c r="BBT157" s="700"/>
      <c r="BBU157" s="700"/>
      <c r="BBV157" s="700"/>
      <c r="BBW157" s="700"/>
      <c r="BBX157" s="700"/>
      <c r="BBY157" s="700"/>
      <c r="BBZ157" s="700"/>
      <c r="BCA157" s="700"/>
      <c r="BCB157" s="700"/>
      <c r="BCC157" s="700"/>
      <c r="BCD157" s="700"/>
      <c r="BCE157" s="700"/>
      <c r="BCF157" s="700"/>
      <c r="BCG157" s="700"/>
      <c r="BCH157" s="700"/>
      <c r="BCI157" s="700"/>
      <c r="BCJ157" s="700"/>
      <c r="BCK157" s="700"/>
      <c r="BCL157" s="700"/>
      <c r="BCM157" s="700"/>
      <c r="BCN157" s="700"/>
      <c r="BCO157" s="700"/>
      <c r="BCP157" s="700"/>
      <c r="BCQ157" s="700"/>
      <c r="BCR157" s="700"/>
      <c r="BCS157" s="700"/>
      <c r="BCT157" s="700"/>
      <c r="BCU157" s="700"/>
      <c r="BCV157" s="700"/>
      <c r="BCW157" s="700"/>
      <c r="BCX157" s="700"/>
      <c r="BCY157" s="700"/>
      <c r="BCZ157" s="700"/>
      <c r="BDA157" s="700"/>
      <c r="BDB157" s="700"/>
      <c r="BDC157" s="700"/>
      <c r="BDD157" s="700"/>
      <c r="BDE157" s="700"/>
      <c r="BDF157" s="700"/>
      <c r="BDG157" s="700"/>
      <c r="BDH157" s="700"/>
      <c r="BDI157" s="700"/>
      <c r="BDJ157" s="700"/>
      <c r="BDK157" s="700"/>
      <c r="BDL157" s="700"/>
      <c r="BDM157" s="700"/>
      <c r="BDN157" s="700"/>
      <c r="BDO157" s="700"/>
      <c r="BDP157" s="700"/>
      <c r="BDQ157" s="700"/>
      <c r="BDR157" s="700"/>
      <c r="BDS157" s="700"/>
      <c r="BDT157" s="700"/>
      <c r="BDU157" s="700"/>
      <c r="BDV157" s="700"/>
      <c r="BDW157" s="700"/>
      <c r="BDX157" s="700"/>
      <c r="BDY157" s="700"/>
      <c r="BDZ157" s="700"/>
      <c r="BEA157" s="700"/>
      <c r="BEB157" s="700"/>
      <c r="BEC157" s="700"/>
      <c r="BED157" s="700"/>
      <c r="BEE157" s="700"/>
      <c r="BEF157" s="700"/>
      <c r="BEG157" s="700"/>
      <c r="BEH157" s="700"/>
      <c r="BEI157" s="700"/>
      <c r="BEJ157" s="700"/>
      <c r="BEK157" s="700"/>
      <c r="BEL157" s="700"/>
      <c r="BEM157" s="700"/>
      <c r="BEN157" s="700"/>
      <c r="BEO157" s="700"/>
      <c r="BEP157" s="700"/>
      <c r="BEQ157" s="700"/>
      <c r="BER157" s="700"/>
      <c r="BES157" s="700"/>
      <c r="BET157" s="700"/>
      <c r="BEU157" s="700"/>
      <c r="BEV157" s="700"/>
      <c r="BEW157" s="700"/>
      <c r="BEX157" s="700"/>
      <c r="BEY157" s="700"/>
      <c r="BEZ157" s="700"/>
      <c r="BFA157" s="700"/>
      <c r="BFB157" s="700"/>
      <c r="BFC157" s="700"/>
      <c r="BFD157" s="700"/>
      <c r="BFE157" s="700"/>
      <c r="BFF157" s="700"/>
      <c r="BFG157" s="700"/>
      <c r="BFH157" s="700"/>
      <c r="BFI157" s="700"/>
      <c r="BFJ157" s="700"/>
      <c r="BFK157" s="700"/>
      <c r="BFL157" s="700"/>
      <c r="BFM157" s="700"/>
      <c r="BFN157" s="700"/>
      <c r="BFO157" s="700"/>
      <c r="BFP157" s="700"/>
      <c r="BFQ157" s="700"/>
      <c r="BFR157" s="700"/>
      <c r="BFS157" s="700"/>
      <c r="BFT157" s="700"/>
      <c r="BFU157" s="700"/>
      <c r="BFV157" s="700"/>
      <c r="BFW157" s="700"/>
      <c r="BFX157" s="700"/>
      <c r="BFY157" s="700"/>
      <c r="BFZ157" s="700"/>
      <c r="BGA157" s="700"/>
      <c r="BGB157" s="700"/>
      <c r="BGC157" s="700"/>
      <c r="BGD157" s="700"/>
      <c r="BGE157" s="700"/>
      <c r="BGF157" s="700"/>
      <c r="BGG157" s="700"/>
      <c r="BGH157" s="700"/>
      <c r="BGI157" s="700"/>
      <c r="BGJ157" s="700"/>
      <c r="BGK157" s="700"/>
      <c r="BGL157" s="700"/>
      <c r="BGM157" s="700"/>
      <c r="BGN157" s="700"/>
      <c r="BGO157" s="700"/>
      <c r="BGP157" s="700"/>
      <c r="BGQ157" s="700"/>
      <c r="BGR157" s="700"/>
      <c r="BGS157" s="700"/>
      <c r="BGT157" s="700"/>
      <c r="BGU157" s="700"/>
      <c r="BGV157" s="700"/>
      <c r="BGW157" s="700"/>
      <c r="BGX157" s="700"/>
      <c r="BGY157" s="700"/>
      <c r="BGZ157" s="700"/>
      <c r="BHA157" s="700"/>
      <c r="BHB157" s="700"/>
      <c r="BHC157" s="700"/>
      <c r="BHD157" s="700"/>
      <c r="BHE157" s="700"/>
      <c r="BHF157" s="700"/>
      <c r="BHG157" s="700"/>
      <c r="BHH157" s="700"/>
      <c r="BHI157" s="700"/>
      <c r="BHJ157" s="700"/>
      <c r="BHK157" s="700"/>
      <c r="BHL157" s="700"/>
      <c r="BHM157" s="700"/>
      <c r="BHN157" s="700"/>
      <c r="BHO157" s="700"/>
      <c r="BHP157" s="700"/>
      <c r="BHQ157" s="700"/>
      <c r="BHR157" s="700"/>
      <c r="BHS157" s="700"/>
      <c r="BHT157" s="700"/>
      <c r="BHU157" s="700"/>
      <c r="BHV157" s="700"/>
      <c r="BHW157" s="700"/>
      <c r="BHX157" s="700"/>
      <c r="BHY157" s="700"/>
      <c r="BHZ157" s="700"/>
      <c r="BIA157" s="700"/>
      <c r="BIB157" s="700"/>
      <c r="BIC157" s="700"/>
      <c r="BID157" s="700"/>
      <c r="BIE157" s="700"/>
      <c r="BIF157" s="700"/>
      <c r="BIG157" s="700"/>
      <c r="BIH157" s="700"/>
      <c r="BII157" s="700"/>
      <c r="BIJ157" s="700"/>
      <c r="BIK157" s="700"/>
      <c r="BIL157" s="700"/>
      <c r="BIM157" s="700"/>
      <c r="BIN157" s="700"/>
      <c r="BIO157" s="700"/>
      <c r="BIP157" s="700"/>
      <c r="BIQ157" s="700"/>
      <c r="BIR157" s="700"/>
      <c r="BIS157" s="700"/>
      <c r="BIT157" s="700"/>
      <c r="BIU157" s="700"/>
      <c r="BIV157" s="700"/>
      <c r="BIW157" s="700"/>
      <c r="BIX157" s="700"/>
      <c r="BIY157" s="700"/>
      <c r="BIZ157" s="700"/>
      <c r="BJA157" s="700"/>
      <c r="BJB157" s="700"/>
      <c r="BJC157" s="700"/>
      <c r="BJD157" s="700"/>
      <c r="BJE157" s="700"/>
      <c r="BJF157" s="700"/>
      <c r="BJG157" s="700"/>
      <c r="BJH157" s="700"/>
      <c r="BJI157" s="700"/>
      <c r="BJJ157" s="700"/>
      <c r="BJK157" s="700"/>
      <c r="BJL157" s="700"/>
      <c r="BJM157" s="700"/>
      <c r="BJN157" s="700"/>
      <c r="BJO157" s="700"/>
      <c r="BJP157" s="700"/>
      <c r="BJQ157" s="700"/>
      <c r="BJR157" s="700"/>
      <c r="BJS157" s="700"/>
      <c r="BJT157" s="700"/>
      <c r="BJU157" s="700"/>
      <c r="BJV157" s="700"/>
      <c r="BJW157" s="700"/>
      <c r="BJX157" s="700"/>
      <c r="BJY157" s="700"/>
      <c r="BJZ157" s="700"/>
      <c r="BKA157" s="700"/>
      <c r="BKB157" s="700"/>
      <c r="BKC157" s="700"/>
      <c r="BKD157" s="700"/>
      <c r="BKE157" s="700"/>
      <c r="BKF157" s="700"/>
      <c r="BKG157" s="700"/>
      <c r="BKH157" s="700"/>
      <c r="BKI157" s="700"/>
      <c r="BKJ157" s="700"/>
      <c r="BKK157" s="700"/>
      <c r="BKL157" s="700"/>
      <c r="BKM157" s="700"/>
      <c r="BKN157" s="700"/>
      <c r="BKO157" s="700"/>
      <c r="BKP157" s="700"/>
      <c r="BKQ157" s="700"/>
      <c r="BKR157" s="700"/>
      <c r="BKS157" s="700"/>
      <c r="BKT157" s="700"/>
      <c r="BKU157" s="700"/>
      <c r="BKV157" s="700"/>
      <c r="BKW157" s="700"/>
      <c r="BKX157" s="700"/>
      <c r="BKY157" s="700"/>
      <c r="BKZ157" s="700"/>
      <c r="BLA157" s="700"/>
      <c r="BLB157" s="700"/>
      <c r="BLC157" s="700"/>
      <c r="BLD157" s="700"/>
      <c r="BLE157" s="700"/>
      <c r="BLF157" s="700"/>
      <c r="BLG157" s="700"/>
      <c r="BLH157" s="700"/>
      <c r="BLI157" s="700"/>
      <c r="BLJ157" s="700"/>
      <c r="BLK157" s="700"/>
      <c r="BLL157" s="700"/>
      <c r="BLM157" s="700"/>
      <c r="BLN157" s="700"/>
      <c r="BLO157" s="700"/>
      <c r="BLP157" s="700"/>
      <c r="BLQ157" s="700"/>
      <c r="BLR157" s="700"/>
      <c r="BLS157" s="700"/>
      <c r="BLT157" s="700"/>
      <c r="BLU157" s="700"/>
      <c r="BLV157" s="700"/>
      <c r="BLW157" s="700"/>
      <c r="BLX157" s="700"/>
      <c r="BLY157" s="700"/>
      <c r="BLZ157" s="700"/>
      <c r="BMA157" s="700"/>
      <c r="BMB157" s="700"/>
      <c r="BMC157" s="700"/>
      <c r="BMD157" s="700"/>
      <c r="BME157" s="700"/>
      <c r="BMF157" s="700"/>
      <c r="BMG157" s="700"/>
      <c r="BMH157" s="700"/>
      <c r="BMI157" s="700"/>
      <c r="BMJ157" s="700"/>
      <c r="BMK157" s="700"/>
      <c r="BML157" s="700"/>
      <c r="BMM157" s="700"/>
      <c r="BMN157" s="700"/>
      <c r="BMO157" s="700"/>
      <c r="BMP157" s="700"/>
      <c r="BMQ157" s="700"/>
      <c r="BMR157" s="700"/>
      <c r="BMS157" s="700"/>
      <c r="BMT157" s="700"/>
      <c r="BMU157" s="700"/>
      <c r="BMV157" s="700"/>
      <c r="BMW157" s="700"/>
      <c r="BMX157" s="700"/>
      <c r="BMY157" s="700"/>
      <c r="BMZ157" s="700"/>
      <c r="BNA157" s="700"/>
      <c r="BNB157" s="700"/>
      <c r="BNC157" s="700"/>
      <c r="BND157" s="700"/>
      <c r="BNE157" s="700"/>
      <c r="BNF157" s="700"/>
      <c r="BNG157" s="700"/>
      <c r="BNH157" s="700"/>
      <c r="BNI157" s="700"/>
      <c r="BNJ157" s="700"/>
      <c r="BNK157" s="700"/>
      <c r="BNL157" s="700"/>
      <c r="BNM157" s="700"/>
      <c r="BNN157" s="700"/>
      <c r="BNO157" s="700"/>
      <c r="BNP157" s="700"/>
      <c r="BNQ157" s="700"/>
      <c r="BNR157" s="700"/>
      <c r="BNS157" s="700"/>
      <c r="BNT157" s="700"/>
      <c r="BNU157" s="700"/>
      <c r="BNV157" s="700"/>
      <c r="BNW157" s="700"/>
      <c r="BNX157" s="700"/>
      <c r="BNY157" s="700"/>
      <c r="BNZ157" s="700"/>
      <c r="BOA157" s="700"/>
      <c r="BOB157" s="700"/>
      <c r="BOC157" s="700"/>
      <c r="BOD157" s="700"/>
      <c r="BOE157" s="700"/>
      <c r="BOF157" s="700"/>
      <c r="BOG157" s="700"/>
      <c r="BOH157" s="700"/>
      <c r="BOI157" s="700"/>
      <c r="BOJ157" s="700"/>
      <c r="BOK157" s="700"/>
      <c r="BOL157" s="700"/>
      <c r="BOM157" s="700"/>
      <c r="BON157" s="700"/>
      <c r="BOO157" s="700"/>
      <c r="BOP157" s="700"/>
      <c r="BOQ157" s="700"/>
      <c r="BOR157" s="700"/>
      <c r="BOS157" s="700"/>
      <c r="BOT157" s="700"/>
      <c r="BOU157" s="700"/>
      <c r="BOV157" s="700"/>
      <c r="BOW157" s="700"/>
      <c r="BOX157" s="700"/>
      <c r="BOY157" s="700"/>
      <c r="BOZ157" s="700"/>
      <c r="BPA157" s="700"/>
      <c r="BPB157" s="700"/>
      <c r="BPC157" s="700"/>
      <c r="BPD157" s="700"/>
      <c r="BPE157" s="700"/>
      <c r="BPF157" s="700"/>
      <c r="BPG157" s="700"/>
      <c r="BPH157" s="700"/>
      <c r="BPI157" s="700"/>
      <c r="BPJ157" s="700"/>
      <c r="BPK157" s="700"/>
      <c r="BPL157" s="700"/>
      <c r="BPM157" s="700"/>
      <c r="BPN157" s="700"/>
      <c r="BPO157" s="700"/>
      <c r="BPP157" s="700"/>
      <c r="BPQ157" s="700"/>
      <c r="BPR157" s="700"/>
      <c r="BPS157" s="700"/>
      <c r="BPT157" s="700"/>
      <c r="BPU157" s="700"/>
      <c r="BPV157" s="700"/>
    </row>
    <row r="158" spans="1:1790" ht="62.45" hidden="1">
      <c r="A158" s="700" t="s">
        <v>346</v>
      </c>
      <c r="B158" s="700" t="s">
        <v>1320</v>
      </c>
      <c r="C158" s="774" t="s">
        <v>1338</v>
      </c>
      <c r="D158" s="773" t="s">
        <v>1339</v>
      </c>
      <c r="E158" s="700"/>
      <c r="F158" s="700"/>
      <c r="G158" s="770" t="s">
        <v>1340</v>
      </c>
      <c r="H158" s="656"/>
      <c r="I158" s="656"/>
      <c r="J158" s="700"/>
      <c r="K158" s="700"/>
      <c r="L158" s="700"/>
      <c r="M158" s="700"/>
      <c r="N158" s="700"/>
      <c r="O158" s="700"/>
      <c r="P158" s="700"/>
      <c r="Q158" s="700"/>
      <c r="R158" s="700"/>
      <c r="S158" s="700"/>
      <c r="T158" s="700"/>
      <c r="U158" s="700"/>
      <c r="V158" s="700"/>
      <c r="W158" s="700"/>
      <c r="X158" s="700"/>
      <c r="Y158" s="700"/>
      <c r="Z158" s="700"/>
      <c r="AA158" s="700"/>
      <c r="AB158" s="700"/>
      <c r="AC158" s="700"/>
      <c r="AD158" s="700"/>
      <c r="AE158" s="700"/>
      <c r="AF158" s="700"/>
      <c r="AG158" s="700"/>
      <c r="AH158" s="700"/>
      <c r="AI158" s="700"/>
      <c r="AJ158" s="700"/>
      <c r="AK158" s="700"/>
      <c r="AL158" s="700"/>
      <c r="AM158" s="700"/>
      <c r="AN158" s="700"/>
      <c r="AO158" s="700"/>
      <c r="AP158" s="700"/>
      <c r="AQ158" s="700"/>
      <c r="AR158" s="700"/>
      <c r="AS158" s="700"/>
      <c r="AT158" s="700"/>
      <c r="AU158" s="700"/>
      <c r="AV158" s="700"/>
      <c r="AW158" s="700"/>
      <c r="AX158" s="700"/>
      <c r="AY158" s="700"/>
      <c r="AZ158" s="700"/>
      <c r="BA158" s="700"/>
      <c r="BB158" s="700"/>
      <c r="BC158" s="700"/>
      <c r="BD158" s="700"/>
      <c r="BE158" s="700"/>
      <c r="BF158" s="700"/>
      <c r="BG158" s="700"/>
      <c r="BH158" s="700"/>
      <c r="BI158" s="700"/>
      <c r="BJ158" s="700"/>
      <c r="BK158" s="700"/>
      <c r="BL158" s="700"/>
      <c r="BM158" s="700"/>
      <c r="BN158" s="700"/>
      <c r="BO158" s="700"/>
      <c r="BP158" s="700"/>
      <c r="BQ158" s="700"/>
      <c r="BR158" s="700"/>
      <c r="BS158" s="700"/>
      <c r="BT158" s="700"/>
      <c r="BU158" s="700"/>
      <c r="BV158" s="700"/>
      <c r="BW158" s="700"/>
      <c r="BX158" s="700"/>
      <c r="BY158" s="700"/>
      <c r="BZ158" s="700"/>
      <c r="CA158" s="700"/>
      <c r="CB158" s="700"/>
      <c r="CC158" s="700"/>
      <c r="CD158" s="700"/>
      <c r="CE158" s="700"/>
      <c r="CF158" s="700"/>
      <c r="CG158" s="700"/>
      <c r="CH158" s="700"/>
      <c r="CI158" s="700"/>
      <c r="CJ158" s="700"/>
      <c r="CK158" s="700"/>
      <c r="CL158" s="700"/>
      <c r="CM158" s="700"/>
      <c r="CN158" s="700"/>
      <c r="CO158" s="700"/>
      <c r="CP158" s="700"/>
      <c r="CQ158" s="700"/>
      <c r="CR158" s="700"/>
      <c r="CS158" s="700"/>
      <c r="CT158" s="700"/>
      <c r="CU158" s="700"/>
      <c r="CV158" s="700"/>
      <c r="CW158" s="700"/>
      <c r="CX158" s="700"/>
      <c r="CY158" s="700"/>
      <c r="CZ158" s="700"/>
      <c r="DA158" s="700"/>
      <c r="DB158" s="700"/>
      <c r="DC158" s="700"/>
      <c r="DD158" s="700"/>
      <c r="DE158" s="700"/>
      <c r="DF158" s="700"/>
      <c r="DG158" s="700"/>
      <c r="DH158" s="700"/>
      <c r="DI158" s="700"/>
      <c r="DJ158" s="700"/>
      <c r="DK158" s="700"/>
      <c r="DL158" s="700"/>
      <c r="DM158" s="700"/>
      <c r="DN158" s="700"/>
      <c r="DO158" s="700"/>
      <c r="DP158" s="700"/>
      <c r="DQ158" s="700"/>
      <c r="DR158" s="700"/>
      <c r="DS158" s="700"/>
      <c r="DT158" s="700"/>
      <c r="DU158" s="700"/>
      <c r="DV158" s="700"/>
      <c r="DW158" s="700"/>
      <c r="DX158" s="700"/>
      <c r="DY158" s="700"/>
      <c r="DZ158" s="700"/>
      <c r="EA158" s="700"/>
      <c r="EB158" s="700"/>
      <c r="EC158" s="700"/>
      <c r="ED158" s="700"/>
      <c r="EE158" s="700"/>
      <c r="EF158" s="700"/>
      <c r="EG158" s="700"/>
      <c r="EH158" s="700"/>
      <c r="EI158" s="700"/>
      <c r="EJ158" s="700"/>
      <c r="EK158" s="700"/>
      <c r="EL158" s="700"/>
      <c r="EM158" s="700"/>
      <c r="EN158" s="700"/>
      <c r="EO158" s="700"/>
      <c r="EP158" s="700"/>
      <c r="EQ158" s="700"/>
      <c r="ER158" s="700"/>
      <c r="ES158" s="700"/>
      <c r="ET158" s="700"/>
      <c r="EU158" s="700"/>
      <c r="EV158" s="700"/>
      <c r="EW158" s="700"/>
      <c r="EX158" s="700"/>
      <c r="EY158" s="700"/>
      <c r="EZ158" s="700"/>
      <c r="FA158" s="700"/>
      <c r="FB158" s="700"/>
      <c r="FC158" s="700"/>
      <c r="FD158" s="700"/>
      <c r="FE158" s="700"/>
      <c r="FF158" s="700"/>
      <c r="FG158" s="700"/>
      <c r="FH158" s="700"/>
      <c r="FI158" s="700"/>
      <c r="FJ158" s="700"/>
      <c r="FK158" s="700"/>
      <c r="FL158" s="700"/>
      <c r="FM158" s="700"/>
      <c r="FN158" s="700"/>
      <c r="FO158" s="700"/>
      <c r="FP158" s="700"/>
      <c r="FQ158" s="700"/>
      <c r="FR158" s="700"/>
      <c r="FS158" s="700"/>
      <c r="FT158" s="700"/>
      <c r="FU158" s="700"/>
      <c r="FV158" s="700"/>
      <c r="FW158" s="700"/>
      <c r="FX158" s="700"/>
      <c r="FY158" s="700"/>
      <c r="FZ158" s="700"/>
      <c r="GA158" s="700"/>
      <c r="GB158" s="700"/>
      <c r="GC158" s="700"/>
      <c r="GD158" s="700"/>
      <c r="GE158" s="700"/>
      <c r="GF158" s="700"/>
      <c r="GG158" s="700"/>
      <c r="GH158" s="700"/>
      <c r="GI158" s="700"/>
      <c r="GJ158" s="700"/>
      <c r="GK158" s="700"/>
      <c r="GL158" s="700"/>
      <c r="GM158" s="700"/>
      <c r="GN158" s="700"/>
      <c r="GO158" s="700"/>
      <c r="GP158" s="700"/>
      <c r="GQ158" s="700"/>
      <c r="GR158" s="700"/>
      <c r="GS158" s="700"/>
      <c r="GT158" s="700"/>
      <c r="GU158" s="700"/>
      <c r="GV158" s="700"/>
      <c r="GW158" s="700"/>
      <c r="GX158" s="700"/>
      <c r="GY158" s="700"/>
      <c r="GZ158" s="700"/>
      <c r="HA158" s="700"/>
      <c r="HB158" s="700"/>
      <c r="HC158" s="700"/>
      <c r="HD158" s="700"/>
      <c r="HE158" s="700"/>
      <c r="HF158" s="700"/>
      <c r="HG158" s="700"/>
      <c r="HH158" s="700"/>
      <c r="HI158" s="700"/>
      <c r="HJ158" s="700"/>
      <c r="HK158" s="700"/>
      <c r="HL158" s="700"/>
      <c r="HM158" s="700"/>
      <c r="HN158" s="700"/>
      <c r="HO158" s="700"/>
      <c r="HP158" s="700"/>
      <c r="HQ158" s="700"/>
      <c r="HR158" s="700"/>
      <c r="HS158" s="700"/>
      <c r="HT158" s="700"/>
      <c r="HU158" s="700"/>
      <c r="HV158" s="700"/>
      <c r="HW158" s="700"/>
      <c r="HX158" s="700"/>
      <c r="HY158" s="700"/>
      <c r="HZ158" s="700"/>
      <c r="IA158" s="700"/>
      <c r="IB158" s="700"/>
      <c r="IC158" s="700"/>
      <c r="ID158" s="700"/>
      <c r="IE158" s="700"/>
      <c r="IF158" s="700"/>
      <c r="IG158" s="700"/>
      <c r="IH158" s="700"/>
      <c r="II158" s="700"/>
      <c r="IJ158" s="700"/>
      <c r="IK158" s="700"/>
      <c r="IL158" s="700"/>
      <c r="IM158" s="700"/>
      <c r="IN158" s="700"/>
      <c r="IO158" s="700"/>
      <c r="IP158" s="700"/>
      <c r="IQ158" s="700"/>
      <c r="IR158" s="700"/>
      <c r="IS158" s="700"/>
      <c r="IT158" s="700"/>
      <c r="IU158" s="700"/>
      <c r="IV158" s="700"/>
      <c r="IW158" s="700"/>
      <c r="IX158" s="700"/>
      <c r="IY158" s="700"/>
      <c r="IZ158" s="700"/>
      <c r="JA158" s="700"/>
      <c r="JB158" s="700"/>
      <c r="JC158" s="700"/>
      <c r="JD158" s="700"/>
      <c r="JE158" s="700"/>
      <c r="JF158" s="700"/>
      <c r="JG158" s="700"/>
      <c r="JH158" s="700"/>
      <c r="JI158" s="700"/>
      <c r="JJ158" s="700"/>
      <c r="JK158" s="700"/>
      <c r="JL158" s="700"/>
      <c r="JM158" s="700"/>
      <c r="JN158" s="700"/>
      <c r="JO158" s="700"/>
      <c r="JP158" s="700"/>
      <c r="JQ158" s="700"/>
      <c r="JR158" s="700"/>
      <c r="JS158" s="700"/>
      <c r="JT158" s="700"/>
      <c r="JU158" s="700"/>
      <c r="JV158" s="700"/>
      <c r="JW158" s="700"/>
      <c r="JX158" s="700"/>
      <c r="JY158" s="700"/>
      <c r="JZ158" s="700"/>
      <c r="KA158" s="700"/>
      <c r="KB158" s="700"/>
      <c r="KC158" s="700"/>
      <c r="KD158" s="700"/>
      <c r="KE158" s="700"/>
      <c r="KF158" s="700"/>
      <c r="KG158" s="700"/>
      <c r="KH158" s="700"/>
      <c r="KI158" s="700"/>
      <c r="KJ158" s="700"/>
      <c r="KK158" s="700"/>
      <c r="KL158" s="700"/>
      <c r="KM158" s="700"/>
      <c r="KN158" s="700"/>
      <c r="KO158" s="700"/>
      <c r="KP158" s="700"/>
      <c r="KQ158" s="700"/>
      <c r="KR158" s="700"/>
      <c r="KS158" s="700"/>
      <c r="KT158" s="700"/>
      <c r="KU158" s="700"/>
      <c r="KV158" s="700"/>
      <c r="KW158" s="700"/>
      <c r="KX158" s="700"/>
      <c r="KY158" s="700"/>
      <c r="KZ158" s="700"/>
      <c r="LA158" s="700"/>
      <c r="LB158" s="700"/>
      <c r="LC158" s="700"/>
      <c r="LD158" s="700"/>
      <c r="LE158" s="700"/>
      <c r="LF158" s="700"/>
      <c r="LG158" s="700"/>
      <c r="LH158" s="700"/>
      <c r="LI158" s="700"/>
      <c r="LJ158" s="700"/>
      <c r="LK158" s="700"/>
      <c r="LL158" s="700"/>
      <c r="LM158" s="700"/>
      <c r="LN158" s="700"/>
      <c r="LO158" s="700"/>
      <c r="LP158" s="700"/>
      <c r="LQ158" s="700"/>
      <c r="LR158" s="700"/>
      <c r="LS158" s="700"/>
      <c r="LT158" s="700"/>
      <c r="LU158" s="700"/>
      <c r="LV158" s="700"/>
      <c r="LW158" s="700"/>
      <c r="LX158" s="700"/>
      <c r="LY158" s="700"/>
      <c r="LZ158" s="700"/>
      <c r="MA158" s="700"/>
      <c r="MB158" s="700"/>
      <c r="MC158" s="700"/>
      <c r="MD158" s="700"/>
      <c r="ME158" s="700"/>
      <c r="MF158" s="700"/>
      <c r="MG158" s="700"/>
      <c r="MH158" s="700"/>
      <c r="MI158" s="700"/>
      <c r="MJ158" s="700"/>
      <c r="MK158" s="700"/>
      <c r="ML158" s="700"/>
      <c r="MM158" s="700"/>
      <c r="MN158" s="700"/>
      <c r="MO158" s="700"/>
      <c r="MP158" s="700"/>
      <c r="MQ158" s="700"/>
      <c r="MR158" s="700"/>
      <c r="MS158" s="700"/>
      <c r="MT158" s="700"/>
      <c r="MU158" s="700"/>
      <c r="MV158" s="700"/>
      <c r="MW158" s="700"/>
      <c r="MX158" s="700"/>
      <c r="MY158" s="700"/>
      <c r="MZ158" s="700"/>
      <c r="NA158" s="700"/>
      <c r="NB158" s="700"/>
      <c r="NC158" s="700"/>
      <c r="ND158" s="700"/>
      <c r="NE158" s="700"/>
      <c r="NF158" s="700"/>
      <c r="NG158" s="700"/>
      <c r="NH158" s="700"/>
      <c r="NI158" s="700"/>
      <c r="NJ158" s="700"/>
      <c r="NK158" s="700"/>
      <c r="NL158" s="700"/>
      <c r="NM158" s="700"/>
      <c r="NN158" s="700"/>
      <c r="NO158" s="700"/>
      <c r="NP158" s="700"/>
      <c r="NQ158" s="700"/>
      <c r="NR158" s="700"/>
      <c r="NS158" s="700"/>
      <c r="NT158" s="700"/>
      <c r="NU158" s="700"/>
      <c r="NV158" s="700"/>
      <c r="NW158" s="700"/>
      <c r="NX158" s="700"/>
      <c r="NY158" s="700"/>
      <c r="NZ158" s="700"/>
      <c r="OA158" s="700"/>
      <c r="OB158" s="700"/>
      <c r="OC158" s="700"/>
      <c r="OD158" s="700"/>
      <c r="OE158" s="700"/>
      <c r="OF158" s="700"/>
      <c r="OG158" s="700"/>
      <c r="OH158" s="700"/>
      <c r="OI158" s="700"/>
      <c r="OJ158" s="700"/>
      <c r="OK158" s="700"/>
      <c r="OL158" s="700"/>
      <c r="OM158" s="700"/>
      <c r="ON158" s="700"/>
      <c r="OO158" s="700"/>
      <c r="OP158" s="700"/>
      <c r="OQ158" s="700"/>
      <c r="OR158" s="700"/>
      <c r="OS158" s="700"/>
      <c r="OT158" s="700"/>
      <c r="OU158" s="700"/>
      <c r="OV158" s="700"/>
      <c r="OW158" s="700"/>
      <c r="OX158" s="700"/>
      <c r="OY158" s="700"/>
      <c r="OZ158" s="700"/>
      <c r="PA158" s="700"/>
      <c r="PB158" s="700"/>
      <c r="PC158" s="700"/>
      <c r="PD158" s="700"/>
      <c r="PE158" s="700"/>
      <c r="PF158" s="700"/>
      <c r="PG158" s="700"/>
      <c r="PH158" s="700"/>
      <c r="PI158" s="700"/>
      <c r="PJ158" s="700"/>
      <c r="PK158" s="700"/>
      <c r="PL158" s="700"/>
      <c r="PM158" s="700"/>
      <c r="PN158" s="700"/>
      <c r="PO158" s="700"/>
      <c r="PP158" s="700"/>
      <c r="PQ158" s="700"/>
      <c r="PR158" s="700"/>
      <c r="PS158" s="700"/>
      <c r="PT158" s="700"/>
      <c r="PU158" s="700"/>
      <c r="PV158" s="700"/>
      <c r="PW158" s="700"/>
      <c r="PX158" s="700"/>
      <c r="PY158" s="700"/>
      <c r="PZ158" s="700"/>
      <c r="QA158" s="700"/>
      <c r="QB158" s="700"/>
      <c r="QC158" s="700"/>
      <c r="QD158" s="700"/>
      <c r="QE158" s="700"/>
      <c r="QF158" s="700"/>
      <c r="QG158" s="700"/>
      <c r="QH158" s="700"/>
      <c r="QI158" s="700"/>
      <c r="QJ158" s="700"/>
      <c r="QK158" s="700"/>
      <c r="QL158" s="700"/>
      <c r="QM158" s="700"/>
      <c r="QN158" s="700"/>
      <c r="QO158" s="700"/>
      <c r="QP158" s="700"/>
      <c r="QQ158" s="700"/>
      <c r="QR158" s="700"/>
      <c r="QS158" s="700"/>
      <c r="QT158" s="700"/>
      <c r="QU158" s="700"/>
      <c r="QV158" s="700"/>
      <c r="QW158" s="700"/>
      <c r="QX158" s="700"/>
      <c r="QY158" s="700"/>
      <c r="QZ158" s="700"/>
      <c r="RA158" s="700"/>
      <c r="RB158" s="700"/>
      <c r="RC158" s="700"/>
      <c r="RD158" s="700"/>
      <c r="RE158" s="700"/>
      <c r="RF158" s="700"/>
      <c r="RG158" s="700"/>
      <c r="RH158" s="700"/>
      <c r="RI158" s="700"/>
      <c r="RJ158" s="700"/>
      <c r="RK158" s="700"/>
      <c r="RL158" s="700"/>
      <c r="RM158" s="700"/>
      <c r="RN158" s="700"/>
      <c r="RO158" s="700"/>
      <c r="RP158" s="700"/>
      <c r="RQ158" s="700"/>
      <c r="RR158" s="700"/>
      <c r="RS158" s="700"/>
      <c r="RT158" s="700"/>
      <c r="RU158" s="700"/>
      <c r="RV158" s="700"/>
      <c r="RW158" s="700"/>
      <c r="RX158" s="700"/>
      <c r="RY158" s="700"/>
      <c r="RZ158" s="700"/>
      <c r="SA158" s="700"/>
      <c r="SB158" s="700"/>
      <c r="SC158" s="700"/>
      <c r="SD158" s="700"/>
      <c r="SE158" s="700"/>
      <c r="SF158" s="700"/>
      <c r="SG158" s="700"/>
      <c r="SH158" s="700"/>
      <c r="SI158" s="700"/>
      <c r="SJ158" s="700"/>
      <c r="SK158" s="700"/>
      <c r="SL158" s="700"/>
      <c r="SM158" s="700"/>
      <c r="SN158" s="700"/>
      <c r="SO158" s="700"/>
      <c r="SP158" s="700"/>
      <c r="SQ158" s="700"/>
      <c r="SR158" s="700"/>
      <c r="SS158" s="700"/>
      <c r="ST158" s="700"/>
      <c r="SU158" s="700"/>
      <c r="SV158" s="700"/>
      <c r="SW158" s="700"/>
      <c r="SX158" s="700"/>
      <c r="SY158" s="700"/>
      <c r="SZ158" s="700"/>
      <c r="TA158" s="700"/>
      <c r="TB158" s="700"/>
      <c r="TC158" s="700"/>
      <c r="TD158" s="700"/>
      <c r="TE158" s="700"/>
      <c r="TF158" s="700"/>
      <c r="TG158" s="700"/>
      <c r="TH158" s="700"/>
      <c r="TI158" s="700"/>
      <c r="TJ158" s="700"/>
      <c r="TK158" s="700"/>
      <c r="TL158" s="700"/>
      <c r="TM158" s="700"/>
      <c r="TN158" s="700"/>
      <c r="TO158" s="700"/>
      <c r="TP158" s="700"/>
      <c r="TQ158" s="700"/>
      <c r="TR158" s="700"/>
      <c r="TS158" s="700"/>
      <c r="TT158" s="700"/>
      <c r="TU158" s="700"/>
      <c r="TV158" s="700"/>
      <c r="TW158" s="700"/>
      <c r="TX158" s="700"/>
      <c r="TY158" s="700"/>
      <c r="TZ158" s="700"/>
      <c r="UA158" s="700"/>
      <c r="UB158" s="700"/>
      <c r="UC158" s="700"/>
      <c r="UD158" s="700"/>
      <c r="UE158" s="700"/>
      <c r="UF158" s="700"/>
      <c r="UG158" s="700"/>
      <c r="UH158" s="700"/>
      <c r="UI158" s="700"/>
      <c r="UJ158" s="700"/>
      <c r="UK158" s="700"/>
      <c r="UL158" s="700"/>
      <c r="UM158" s="700"/>
      <c r="UN158" s="700"/>
      <c r="UO158" s="700"/>
      <c r="UP158" s="700"/>
      <c r="UQ158" s="700"/>
      <c r="UR158" s="700"/>
      <c r="US158" s="700"/>
      <c r="UT158" s="700"/>
      <c r="UU158" s="700"/>
      <c r="UV158" s="700"/>
      <c r="UW158" s="700"/>
      <c r="UX158" s="700"/>
      <c r="UY158" s="700"/>
      <c r="UZ158" s="700"/>
      <c r="VA158" s="700"/>
      <c r="VB158" s="700"/>
      <c r="VC158" s="700"/>
      <c r="VD158" s="700"/>
      <c r="VE158" s="700"/>
      <c r="VF158" s="700"/>
      <c r="VG158" s="700"/>
      <c r="VH158" s="700"/>
      <c r="VI158" s="700"/>
      <c r="VJ158" s="700"/>
      <c r="VK158" s="700"/>
      <c r="VL158" s="700"/>
      <c r="VM158" s="700"/>
      <c r="VN158" s="700"/>
      <c r="VO158" s="700"/>
      <c r="VP158" s="700"/>
      <c r="VQ158" s="700"/>
      <c r="VR158" s="700"/>
      <c r="VS158" s="700"/>
      <c r="VT158" s="700"/>
      <c r="VU158" s="700"/>
      <c r="VV158" s="700"/>
      <c r="VW158" s="700"/>
      <c r="VX158" s="700"/>
      <c r="VY158" s="700"/>
      <c r="VZ158" s="700"/>
      <c r="WA158" s="700"/>
      <c r="WB158" s="700"/>
      <c r="WC158" s="700"/>
      <c r="WD158" s="700"/>
      <c r="WE158" s="700"/>
      <c r="WF158" s="700"/>
      <c r="WG158" s="700"/>
      <c r="WH158" s="700"/>
      <c r="WI158" s="700"/>
      <c r="WJ158" s="700"/>
      <c r="WK158" s="700"/>
      <c r="WL158" s="700"/>
      <c r="WM158" s="700"/>
      <c r="WN158" s="700"/>
      <c r="WO158" s="700"/>
      <c r="WP158" s="700"/>
      <c r="WQ158" s="700"/>
      <c r="WR158" s="700"/>
      <c r="WS158" s="700"/>
      <c r="WT158" s="700"/>
      <c r="WU158" s="700"/>
      <c r="WV158" s="700"/>
      <c r="WW158" s="700"/>
      <c r="WX158" s="700"/>
      <c r="WY158" s="700"/>
      <c r="WZ158" s="700"/>
      <c r="XA158" s="700"/>
      <c r="XB158" s="700"/>
      <c r="XC158" s="700"/>
      <c r="XD158" s="700"/>
      <c r="XE158" s="700"/>
      <c r="XF158" s="700"/>
      <c r="XG158" s="700"/>
      <c r="XH158" s="700"/>
      <c r="XI158" s="700"/>
      <c r="XJ158" s="700"/>
      <c r="XK158" s="700"/>
      <c r="XL158" s="700"/>
      <c r="XM158" s="700"/>
      <c r="XN158" s="700"/>
      <c r="XO158" s="700"/>
      <c r="XP158" s="700"/>
      <c r="XQ158" s="700"/>
      <c r="XR158" s="700"/>
      <c r="XS158" s="700"/>
      <c r="XT158" s="700"/>
      <c r="XU158" s="700"/>
      <c r="XV158" s="700"/>
      <c r="XW158" s="700"/>
      <c r="XX158" s="700"/>
      <c r="XY158" s="700"/>
      <c r="XZ158" s="700"/>
      <c r="YA158" s="700"/>
      <c r="YB158" s="700"/>
      <c r="YC158" s="700"/>
      <c r="YD158" s="700"/>
      <c r="YE158" s="700"/>
      <c r="YF158" s="700"/>
      <c r="YG158" s="700"/>
      <c r="YH158" s="700"/>
      <c r="YI158" s="700"/>
      <c r="YJ158" s="700"/>
      <c r="YK158" s="700"/>
      <c r="YL158" s="700"/>
      <c r="YM158" s="700"/>
      <c r="YN158" s="700"/>
      <c r="YO158" s="700"/>
      <c r="YP158" s="700"/>
      <c r="YQ158" s="700"/>
      <c r="YR158" s="700"/>
      <c r="YS158" s="700"/>
      <c r="YT158" s="700"/>
      <c r="YU158" s="700"/>
      <c r="YV158" s="700"/>
      <c r="YW158" s="700"/>
      <c r="YX158" s="700"/>
      <c r="YY158" s="700"/>
      <c r="YZ158" s="700"/>
      <c r="ZA158" s="700"/>
      <c r="ZB158" s="700"/>
      <c r="ZC158" s="700"/>
      <c r="ZD158" s="700"/>
      <c r="ZE158" s="700"/>
      <c r="ZF158" s="700"/>
      <c r="ZG158" s="700"/>
      <c r="ZH158" s="700"/>
      <c r="ZI158" s="700"/>
      <c r="ZJ158" s="700"/>
      <c r="ZK158" s="700"/>
      <c r="ZL158" s="700"/>
      <c r="ZM158" s="700"/>
      <c r="ZN158" s="700"/>
      <c r="ZO158" s="700"/>
      <c r="ZP158" s="700"/>
      <c r="ZQ158" s="700"/>
      <c r="ZR158" s="700"/>
      <c r="ZS158" s="700"/>
      <c r="ZT158" s="700"/>
      <c r="ZU158" s="700"/>
      <c r="ZV158" s="700"/>
      <c r="ZW158" s="700"/>
      <c r="ZX158" s="700"/>
      <c r="ZY158" s="700"/>
      <c r="ZZ158" s="700"/>
      <c r="AAA158" s="700"/>
      <c r="AAB158" s="700"/>
      <c r="AAC158" s="700"/>
      <c r="AAD158" s="700"/>
      <c r="AAE158" s="700"/>
      <c r="AAF158" s="700"/>
      <c r="AAG158" s="700"/>
      <c r="AAH158" s="700"/>
      <c r="AAI158" s="700"/>
      <c r="AAJ158" s="700"/>
      <c r="AAK158" s="700"/>
      <c r="AAL158" s="700"/>
      <c r="AAM158" s="700"/>
      <c r="AAN158" s="700"/>
      <c r="AAO158" s="700"/>
      <c r="AAP158" s="700"/>
      <c r="AAQ158" s="700"/>
      <c r="AAR158" s="700"/>
      <c r="AAS158" s="700"/>
      <c r="AAT158" s="700"/>
      <c r="AAU158" s="700"/>
      <c r="AAV158" s="700"/>
      <c r="AAW158" s="700"/>
      <c r="AAX158" s="700"/>
      <c r="AAY158" s="700"/>
      <c r="AAZ158" s="700"/>
      <c r="ABA158" s="700"/>
      <c r="ABB158" s="700"/>
      <c r="ABC158" s="700"/>
      <c r="ABD158" s="700"/>
      <c r="ABE158" s="700"/>
      <c r="ABF158" s="700"/>
      <c r="ABG158" s="700"/>
      <c r="ABH158" s="700"/>
      <c r="ABI158" s="700"/>
      <c r="ABJ158" s="700"/>
      <c r="ABK158" s="700"/>
      <c r="ABL158" s="700"/>
      <c r="ABM158" s="700"/>
      <c r="ABN158" s="700"/>
      <c r="ABO158" s="700"/>
      <c r="ABP158" s="700"/>
      <c r="ABQ158" s="700"/>
      <c r="ABR158" s="700"/>
      <c r="ABS158" s="700"/>
      <c r="ABT158" s="700"/>
      <c r="ABU158" s="700"/>
      <c r="ABV158" s="700"/>
      <c r="ABW158" s="700"/>
      <c r="ABX158" s="700"/>
      <c r="ABY158" s="700"/>
      <c r="ABZ158" s="700"/>
      <c r="ACA158" s="700"/>
      <c r="ACB158" s="700"/>
      <c r="ACC158" s="700"/>
      <c r="ACD158" s="700"/>
      <c r="ACE158" s="700"/>
      <c r="ACF158" s="700"/>
      <c r="ACG158" s="700"/>
      <c r="ACH158" s="700"/>
      <c r="ACI158" s="700"/>
      <c r="ACJ158" s="700"/>
      <c r="ACK158" s="700"/>
      <c r="ACL158" s="700"/>
      <c r="ACM158" s="700"/>
      <c r="ACN158" s="700"/>
      <c r="ACO158" s="700"/>
      <c r="ACP158" s="700"/>
      <c r="ACQ158" s="700"/>
      <c r="ACR158" s="700"/>
      <c r="ACS158" s="700"/>
      <c r="ACT158" s="700"/>
      <c r="ACU158" s="700"/>
      <c r="ACV158" s="700"/>
      <c r="ACW158" s="700"/>
      <c r="ACX158" s="700"/>
      <c r="ACY158" s="700"/>
      <c r="ACZ158" s="700"/>
      <c r="ADA158" s="700"/>
      <c r="ADB158" s="700"/>
      <c r="ADC158" s="700"/>
      <c r="ADD158" s="700"/>
      <c r="ADE158" s="700"/>
      <c r="ADF158" s="700"/>
      <c r="ADG158" s="700"/>
      <c r="ADH158" s="700"/>
      <c r="ADI158" s="700"/>
      <c r="ADJ158" s="700"/>
      <c r="ADK158" s="700"/>
      <c r="ADL158" s="700"/>
      <c r="ADM158" s="700"/>
      <c r="ADN158" s="700"/>
      <c r="ADO158" s="700"/>
      <c r="ADP158" s="700"/>
      <c r="ADQ158" s="700"/>
      <c r="ADR158" s="700"/>
      <c r="ADS158" s="700"/>
      <c r="ADT158" s="700"/>
      <c r="ADU158" s="700"/>
      <c r="ADV158" s="700"/>
      <c r="ADW158" s="700"/>
      <c r="ADX158" s="700"/>
      <c r="ADY158" s="700"/>
      <c r="ADZ158" s="700"/>
      <c r="AEA158" s="700"/>
      <c r="AEB158" s="700"/>
      <c r="AEC158" s="700"/>
      <c r="AED158" s="700"/>
      <c r="AEE158" s="700"/>
      <c r="AEF158" s="700"/>
      <c r="AEG158" s="700"/>
      <c r="AEH158" s="700"/>
      <c r="AEI158" s="700"/>
      <c r="AEJ158" s="700"/>
      <c r="AEK158" s="700"/>
      <c r="AEL158" s="700"/>
      <c r="AEM158" s="700"/>
      <c r="AEN158" s="700"/>
      <c r="AEO158" s="700"/>
      <c r="AEP158" s="700"/>
      <c r="AEQ158" s="700"/>
      <c r="AER158" s="700"/>
      <c r="AES158" s="700"/>
      <c r="AET158" s="700"/>
      <c r="AEU158" s="700"/>
      <c r="AEV158" s="700"/>
      <c r="AEW158" s="700"/>
      <c r="AEX158" s="700"/>
      <c r="AEY158" s="700"/>
      <c r="AEZ158" s="700"/>
      <c r="AFA158" s="700"/>
      <c r="AFB158" s="700"/>
      <c r="AFC158" s="700"/>
      <c r="AFD158" s="700"/>
      <c r="AFE158" s="700"/>
      <c r="AFF158" s="700"/>
      <c r="AFG158" s="700"/>
      <c r="AFH158" s="700"/>
      <c r="AFI158" s="700"/>
      <c r="AFJ158" s="700"/>
      <c r="AFK158" s="700"/>
      <c r="AFL158" s="700"/>
      <c r="AFM158" s="700"/>
      <c r="AFN158" s="700"/>
      <c r="AFO158" s="700"/>
      <c r="AFP158" s="700"/>
      <c r="AFQ158" s="700"/>
      <c r="AFR158" s="700"/>
      <c r="AFS158" s="700"/>
      <c r="AFT158" s="700"/>
      <c r="AFU158" s="700"/>
      <c r="AFV158" s="700"/>
      <c r="AFW158" s="700"/>
      <c r="AFX158" s="700"/>
      <c r="AFY158" s="700"/>
      <c r="AFZ158" s="700"/>
      <c r="AGA158" s="700"/>
      <c r="AGB158" s="700"/>
      <c r="AGC158" s="700"/>
      <c r="AGD158" s="700"/>
      <c r="AGE158" s="700"/>
      <c r="AGF158" s="700"/>
      <c r="AGG158" s="700"/>
      <c r="AGH158" s="700"/>
      <c r="AGI158" s="700"/>
      <c r="AGJ158" s="700"/>
      <c r="AGK158" s="700"/>
      <c r="AGL158" s="700"/>
      <c r="AGM158" s="700"/>
      <c r="AGN158" s="700"/>
      <c r="AGO158" s="700"/>
      <c r="AGP158" s="700"/>
      <c r="AGQ158" s="700"/>
      <c r="AGR158" s="700"/>
      <c r="AGS158" s="700"/>
      <c r="AGT158" s="700"/>
      <c r="AGU158" s="700"/>
      <c r="AGV158" s="700"/>
      <c r="AGW158" s="700"/>
      <c r="AGX158" s="700"/>
      <c r="AGY158" s="700"/>
      <c r="AGZ158" s="700"/>
      <c r="AHA158" s="700"/>
      <c r="AHB158" s="700"/>
      <c r="AHC158" s="700"/>
      <c r="AHD158" s="700"/>
      <c r="AHE158" s="700"/>
      <c r="AHF158" s="700"/>
      <c r="AHG158" s="700"/>
      <c r="AHH158" s="700"/>
      <c r="AHI158" s="700"/>
      <c r="AHJ158" s="700"/>
      <c r="AHK158" s="700"/>
      <c r="AHL158" s="700"/>
      <c r="AHM158" s="700"/>
      <c r="AHN158" s="700"/>
      <c r="AHO158" s="700"/>
      <c r="AHP158" s="700"/>
      <c r="AHQ158" s="700"/>
      <c r="AHR158" s="700"/>
      <c r="AHS158" s="700"/>
      <c r="AHT158" s="700"/>
      <c r="AHU158" s="700"/>
      <c r="AHV158" s="700"/>
      <c r="AHW158" s="700"/>
      <c r="AHX158" s="700"/>
      <c r="AHY158" s="700"/>
      <c r="AHZ158" s="700"/>
      <c r="AIA158" s="700"/>
      <c r="AIB158" s="700"/>
      <c r="AIC158" s="700"/>
      <c r="AID158" s="700"/>
      <c r="AIE158" s="700"/>
      <c r="AIF158" s="700"/>
      <c r="AIG158" s="700"/>
      <c r="AIH158" s="700"/>
      <c r="AII158" s="700"/>
      <c r="AIJ158" s="700"/>
      <c r="AIK158" s="700"/>
      <c r="AIL158" s="700"/>
      <c r="AIM158" s="700"/>
      <c r="AIN158" s="700"/>
      <c r="AIO158" s="700"/>
      <c r="AIP158" s="700"/>
      <c r="AIQ158" s="700"/>
      <c r="AIR158" s="700"/>
      <c r="AIS158" s="700"/>
      <c r="AIT158" s="700"/>
      <c r="AIU158" s="700"/>
      <c r="AIV158" s="700"/>
      <c r="AIW158" s="700"/>
      <c r="AIX158" s="700"/>
      <c r="AIY158" s="700"/>
      <c r="AIZ158" s="700"/>
      <c r="AJA158" s="700"/>
      <c r="AJB158" s="700"/>
      <c r="AJC158" s="700"/>
      <c r="AJD158" s="700"/>
      <c r="AJE158" s="700"/>
      <c r="AJF158" s="700"/>
      <c r="AJG158" s="700"/>
      <c r="AJH158" s="700"/>
      <c r="AJI158" s="700"/>
      <c r="AJJ158" s="700"/>
      <c r="AJK158" s="700"/>
      <c r="AJL158" s="700"/>
      <c r="AJM158" s="700"/>
      <c r="AJN158" s="700"/>
      <c r="AJO158" s="700"/>
      <c r="AJP158" s="700"/>
      <c r="AJQ158" s="700"/>
      <c r="AJR158" s="700"/>
      <c r="AJS158" s="700"/>
      <c r="AJT158" s="700"/>
      <c r="AJU158" s="700"/>
      <c r="AJV158" s="700"/>
      <c r="AJW158" s="700"/>
      <c r="AJX158" s="700"/>
      <c r="AJY158" s="700"/>
      <c r="AJZ158" s="700"/>
      <c r="AKA158" s="700"/>
      <c r="AKB158" s="700"/>
      <c r="AKC158" s="700"/>
      <c r="AKD158" s="700"/>
      <c r="AKE158" s="700"/>
      <c r="AKF158" s="700"/>
      <c r="AKG158" s="700"/>
      <c r="AKH158" s="700"/>
      <c r="AKI158" s="700"/>
      <c r="AKJ158" s="700"/>
      <c r="AKK158" s="700"/>
      <c r="AKL158" s="700"/>
      <c r="AKM158" s="700"/>
      <c r="AKN158" s="700"/>
      <c r="AKO158" s="700"/>
      <c r="AKP158" s="700"/>
      <c r="AKQ158" s="700"/>
      <c r="AKR158" s="700"/>
      <c r="AKS158" s="700"/>
      <c r="AKT158" s="700"/>
      <c r="AKU158" s="700"/>
      <c r="AKV158" s="700"/>
      <c r="AKW158" s="700"/>
      <c r="AKX158" s="700"/>
      <c r="AKY158" s="700"/>
      <c r="AKZ158" s="700"/>
      <c r="ALA158" s="700"/>
      <c r="ALB158" s="700"/>
      <c r="ALC158" s="700"/>
      <c r="ALD158" s="700"/>
      <c r="ALE158" s="700"/>
      <c r="ALF158" s="700"/>
      <c r="ALG158" s="700"/>
      <c r="ALH158" s="700"/>
      <c r="ALI158" s="700"/>
      <c r="ALJ158" s="700"/>
      <c r="ALK158" s="700"/>
      <c r="ALL158" s="700"/>
      <c r="ALM158" s="700"/>
      <c r="ALN158" s="700"/>
      <c r="ALO158" s="700"/>
      <c r="ALP158" s="700"/>
      <c r="ALQ158" s="700"/>
      <c r="ALR158" s="700"/>
      <c r="ALS158" s="700"/>
      <c r="ALT158" s="700"/>
      <c r="ALU158" s="700"/>
      <c r="ALV158" s="700"/>
      <c r="ALW158" s="700"/>
      <c r="ALX158" s="700"/>
      <c r="ALY158" s="700"/>
      <c r="ALZ158" s="700"/>
      <c r="AMA158" s="700"/>
      <c r="AMB158" s="700"/>
      <c r="AMC158" s="700"/>
      <c r="AMD158" s="700"/>
      <c r="AME158" s="700"/>
      <c r="AMF158" s="700"/>
      <c r="AMG158" s="700"/>
      <c r="AMH158" s="700"/>
      <c r="AMI158" s="700"/>
      <c r="AMJ158" s="700"/>
      <c r="AMK158" s="700"/>
      <c r="AML158" s="700"/>
      <c r="AMM158" s="700"/>
      <c r="AMN158" s="700"/>
      <c r="AMO158" s="700"/>
      <c r="AMP158" s="700"/>
      <c r="AMQ158" s="700"/>
      <c r="AMR158" s="700"/>
      <c r="AMS158" s="700"/>
      <c r="AMT158" s="700"/>
      <c r="AMU158" s="700"/>
      <c r="AMV158" s="700"/>
      <c r="AMW158" s="700"/>
      <c r="AMX158" s="700"/>
      <c r="AMY158" s="700"/>
      <c r="AMZ158" s="700"/>
      <c r="ANA158" s="700"/>
      <c r="ANB158" s="700"/>
      <c r="ANC158" s="700"/>
      <c r="AND158" s="700"/>
      <c r="ANE158" s="700"/>
      <c r="ANF158" s="700"/>
      <c r="ANG158" s="700"/>
      <c r="ANH158" s="700"/>
      <c r="ANI158" s="700"/>
      <c r="ANJ158" s="700"/>
      <c r="ANK158" s="700"/>
      <c r="ANL158" s="700"/>
      <c r="ANM158" s="700"/>
      <c r="ANN158" s="700"/>
      <c r="ANO158" s="700"/>
      <c r="ANP158" s="700"/>
      <c r="ANQ158" s="700"/>
      <c r="ANR158" s="700"/>
      <c r="ANS158" s="700"/>
      <c r="ANT158" s="700"/>
      <c r="ANU158" s="700"/>
      <c r="ANV158" s="700"/>
      <c r="ANW158" s="700"/>
      <c r="ANX158" s="700"/>
      <c r="ANY158" s="700"/>
      <c r="ANZ158" s="700"/>
      <c r="AOA158" s="700"/>
      <c r="AOB158" s="700"/>
      <c r="AOC158" s="700"/>
      <c r="AOD158" s="700"/>
      <c r="AOE158" s="700"/>
      <c r="AOF158" s="700"/>
      <c r="AOG158" s="700"/>
      <c r="AOH158" s="700"/>
      <c r="AOI158" s="700"/>
      <c r="AOJ158" s="700"/>
      <c r="AOK158" s="700"/>
      <c r="AOL158" s="700"/>
      <c r="AOM158" s="700"/>
      <c r="AON158" s="700"/>
      <c r="AOO158" s="700"/>
      <c r="AOP158" s="700"/>
      <c r="AOQ158" s="700"/>
      <c r="AOR158" s="700"/>
      <c r="AOS158" s="700"/>
      <c r="AOT158" s="700"/>
      <c r="AOU158" s="700"/>
      <c r="AOV158" s="700"/>
      <c r="AOW158" s="700"/>
      <c r="AOX158" s="700"/>
      <c r="AOY158" s="700"/>
      <c r="AOZ158" s="700"/>
      <c r="APA158" s="700"/>
      <c r="APB158" s="700"/>
      <c r="APC158" s="700"/>
      <c r="APD158" s="700"/>
      <c r="APE158" s="700"/>
      <c r="APF158" s="700"/>
      <c r="APG158" s="700"/>
      <c r="APH158" s="700"/>
      <c r="API158" s="700"/>
      <c r="APJ158" s="700"/>
      <c r="APK158" s="700"/>
      <c r="APL158" s="700"/>
      <c r="APM158" s="700"/>
      <c r="APN158" s="700"/>
      <c r="APO158" s="700"/>
      <c r="APP158" s="700"/>
      <c r="APQ158" s="700"/>
      <c r="APR158" s="700"/>
      <c r="APS158" s="700"/>
      <c r="APT158" s="700"/>
      <c r="APU158" s="700"/>
      <c r="APV158" s="700"/>
      <c r="APW158" s="700"/>
      <c r="APX158" s="700"/>
      <c r="APY158" s="700"/>
      <c r="APZ158" s="700"/>
      <c r="AQA158" s="700"/>
      <c r="AQB158" s="700"/>
      <c r="AQC158" s="700"/>
      <c r="AQD158" s="700"/>
      <c r="AQE158" s="700"/>
      <c r="AQF158" s="700"/>
      <c r="AQG158" s="700"/>
      <c r="AQH158" s="700"/>
      <c r="AQI158" s="700"/>
      <c r="AQJ158" s="700"/>
      <c r="AQK158" s="700"/>
      <c r="AQL158" s="700"/>
      <c r="AQM158" s="700"/>
      <c r="AQN158" s="700"/>
      <c r="AQO158" s="700"/>
      <c r="AQP158" s="700"/>
      <c r="AQQ158" s="700"/>
      <c r="AQR158" s="700"/>
      <c r="AQS158" s="700"/>
      <c r="AQT158" s="700"/>
      <c r="AQU158" s="700"/>
      <c r="AQV158" s="700"/>
      <c r="AQW158" s="700"/>
      <c r="AQX158" s="700"/>
      <c r="AQY158" s="700"/>
      <c r="AQZ158" s="700"/>
      <c r="ARA158" s="700"/>
      <c r="ARB158" s="700"/>
      <c r="ARC158" s="700"/>
      <c r="ARD158" s="700"/>
      <c r="ARE158" s="700"/>
      <c r="ARF158" s="700"/>
      <c r="ARG158" s="700"/>
      <c r="ARH158" s="700"/>
      <c r="ARI158" s="700"/>
      <c r="ARJ158" s="700"/>
      <c r="ARK158" s="700"/>
      <c r="ARL158" s="700"/>
      <c r="ARM158" s="700"/>
      <c r="ARN158" s="700"/>
      <c r="ARO158" s="700"/>
      <c r="ARP158" s="700"/>
      <c r="ARQ158" s="700"/>
      <c r="ARR158" s="700"/>
      <c r="ARS158" s="700"/>
      <c r="ART158" s="700"/>
      <c r="ARU158" s="700"/>
      <c r="ARV158" s="700"/>
      <c r="ARW158" s="700"/>
      <c r="ARX158" s="700"/>
      <c r="ARY158" s="700"/>
      <c r="ARZ158" s="700"/>
      <c r="ASA158" s="700"/>
      <c r="ASB158" s="700"/>
      <c r="ASC158" s="700"/>
      <c r="ASD158" s="700"/>
      <c r="ASE158" s="700"/>
      <c r="ASF158" s="700"/>
      <c r="ASG158" s="700"/>
      <c r="ASH158" s="700"/>
      <c r="ASI158" s="700"/>
      <c r="ASJ158" s="700"/>
      <c r="ASK158" s="700"/>
      <c r="ASL158" s="700"/>
      <c r="ASM158" s="700"/>
      <c r="ASN158" s="700"/>
      <c r="ASO158" s="700"/>
      <c r="ASP158" s="700"/>
      <c r="ASQ158" s="700"/>
      <c r="ASR158" s="700"/>
      <c r="ASS158" s="700"/>
      <c r="AST158" s="700"/>
      <c r="ASU158" s="700"/>
      <c r="ASV158" s="700"/>
      <c r="ASW158" s="700"/>
      <c r="ASX158" s="700"/>
      <c r="ASY158" s="700"/>
      <c r="ASZ158" s="700"/>
      <c r="ATA158" s="700"/>
      <c r="ATB158" s="700"/>
      <c r="ATC158" s="700"/>
      <c r="ATD158" s="700"/>
      <c r="ATE158" s="700"/>
      <c r="ATF158" s="700"/>
      <c r="ATG158" s="700"/>
      <c r="ATH158" s="700"/>
      <c r="ATI158" s="700"/>
      <c r="ATJ158" s="700"/>
      <c r="ATK158" s="700"/>
      <c r="ATL158" s="700"/>
      <c r="ATM158" s="700"/>
      <c r="ATN158" s="700"/>
      <c r="ATO158" s="700"/>
      <c r="ATP158" s="700"/>
      <c r="ATQ158" s="700"/>
      <c r="ATR158" s="700"/>
      <c r="ATS158" s="700"/>
      <c r="ATT158" s="700"/>
      <c r="ATU158" s="700"/>
      <c r="ATV158" s="700"/>
      <c r="ATW158" s="700"/>
      <c r="ATX158" s="700"/>
      <c r="ATY158" s="700"/>
      <c r="ATZ158" s="700"/>
      <c r="AUA158" s="700"/>
      <c r="AUB158" s="700"/>
      <c r="AUC158" s="700"/>
      <c r="AUD158" s="700"/>
      <c r="AUE158" s="700"/>
      <c r="AUF158" s="700"/>
      <c r="AUG158" s="700"/>
      <c r="AUH158" s="700"/>
      <c r="AUI158" s="700"/>
      <c r="AUJ158" s="700"/>
      <c r="AUK158" s="700"/>
      <c r="AUL158" s="700"/>
      <c r="AUM158" s="700"/>
      <c r="AUN158" s="700"/>
      <c r="AUO158" s="700"/>
      <c r="AUP158" s="700"/>
      <c r="AUQ158" s="700"/>
      <c r="AUR158" s="700"/>
      <c r="AUS158" s="700"/>
      <c r="AUT158" s="700"/>
      <c r="AUU158" s="700"/>
      <c r="AUV158" s="700"/>
      <c r="AUW158" s="700"/>
      <c r="AUX158" s="700"/>
      <c r="AUY158" s="700"/>
      <c r="AUZ158" s="700"/>
      <c r="AVA158" s="700"/>
      <c r="AVB158" s="700"/>
      <c r="AVC158" s="700"/>
      <c r="AVD158" s="700"/>
      <c r="AVE158" s="700"/>
      <c r="AVF158" s="700"/>
      <c r="AVG158" s="700"/>
      <c r="AVH158" s="700"/>
      <c r="AVI158" s="700"/>
      <c r="AVJ158" s="700"/>
      <c r="AVK158" s="700"/>
      <c r="AVL158" s="700"/>
      <c r="AVM158" s="700"/>
      <c r="AVN158" s="700"/>
      <c r="AVO158" s="700"/>
      <c r="AVP158" s="700"/>
      <c r="AVQ158" s="700"/>
      <c r="AVR158" s="700"/>
      <c r="AVS158" s="700"/>
      <c r="AVT158" s="700"/>
      <c r="AVU158" s="700"/>
      <c r="AVV158" s="700"/>
      <c r="AVW158" s="700"/>
      <c r="AVX158" s="700"/>
      <c r="AVY158" s="700"/>
      <c r="AVZ158" s="700"/>
      <c r="AWA158" s="700"/>
      <c r="AWB158" s="700"/>
      <c r="AWC158" s="700"/>
      <c r="AWD158" s="700"/>
      <c r="AWE158" s="700"/>
      <c r="AWF158" s="700"/>
      <c r="AWG158" s="700"/>
      <c r="AWH158" s="700"/>
      <c r="AWI158" s="700"/>
      <c r="AWJ158" s="700"/>
      <c r="AWK158" s="700"/>
      <c r="AWL158" s="700"/>
      <c r="AWM158" s="700"/>
      <c r="AWN158" s="700"/>
      <c r="AWO158" s="700"/>
      <c r="AWP158" s="700"/>
      <c r="AWQ158" s="700"/>
      <c r="AWR158" s="700"/>
      <c r="AWS158" s="700"/>
      <c r="AWT158" s="700"/>
      <c r="AWU158" s="700"/>
      <c r="AWV158" s="700"/>
      <c r="AWW158" s="700"/>
      <c r="AWX158" s="700"/>
      <c r="AWY158" s="700"/>
      <c r="AWZ158" s="700"/>
      <c r="AXA158" s="700"/>
      <c r="AXB158" s="700"/>
      <c r="AXC158" s="700"/>
      <c r="AXD158" s="700"/>
      <c r="AXE158" s="700"/>
      <c r="AXF158" s="700"/>
      <c r="AXG158" s="700"/>
      <c r="AXH158" s="700"/>
      <c r="AXI158" s="700"/>
      <c r="AXJ158" s="700"/>
      <c r="AXK158" s="700"/>
      <c r="AXL158" s="700"/>
      <c r="AXM158" s="700"/>
      <c r="AXN158" s="700"/>
      <c r="AXO158" s="700"/>
      <c r="AXP158" s="700"/>
      <c r="AXQ158" s="700"/>
      <c r="AXR158" s="700"/>
      <c r="AXS158" s="700"/>
      <c r="AXT158" s="700"/>
      <c r="AXU158" s="700"/>
      <c r="AXV158" s="700"/>
      <c r="AXW158" s="700"/>
      <c r="AXX158" s="700"/>
      <c r="AXY158" s="700"/>
      <c r="AXZ158" s="700"/>
      <c r="AYA158" s="700"/>
      <c r="AYB158" s="700"/>
      <c r="AYC158" s="700"/>
      <c r="AYD158" s="700"/>
      <c r="AYE158" s="700"/>
      <c r="AYF158" s="700"/>
      <c r="AYG158" s="700"/>
      <c r="AYH158" s="700"/>
      <c r="AYI158" s="700"/>
      <c r="AYJ158" s="700"/>
      <c r="AYK158" s="700"/>
      <c r="AYL158" s="700"/>
      <c r="AYM158" s="700"/>
      <c r="AYN158" s="700"/>
      <c r="AYO158" s="700"/>
      <c r="AYP158" s="700"/>
      <c r="AYQ158" s="700"/>
      <c r="AYR158" s="700"/>
      <c r="AYS158" s="700"/>
      <c r="AYT158" s="700"/>
      <c r="AYU158" s="700"/>
      <c r="AYV158" s="700"/>
      <c r="AYW158" s="700"/>
      <c r="AYX158" s="700"/>
      <c r="AYY158" s="700"/>
      <c r="AYZ158" s="700"/>
      <c r="AZA158" s="700"/>
      <c r="AZB158" s="700"/>
      <c r="AZC158" s="700"/>
      <c r="AZD158" s="700"/>
      <c r="AZE158" s="700"/>
      <c r="AZF158" s="700"/>
      <c r="AZG158" s="700"/>
      <c r="AZH158" s="700"/>
      <c r="AZI158" s="700"/>
      <c r="AZJ158" s="700"/>
      <c r="AZK158" s="700"/>
      <c r="AZL158" s="700"/>
      <c r="AZM158" s="700"/>
      <c r="AZN158" s="700"/>
      <c r="AZO158" s="700"/>
      <c r="AZP158" s="700"/>
      <c r="AZQ158" s="700"/>
      <c r="AZR158" s="700"/>
      <c r="AZS158" s="700"/>
      <c r="AZT158" s="700"/>
      <c r="AZU158" s="700"/>
      <c r="AZV158" s="700"/>
      <c r="AZW158" s="700"/>
      <c r="AZX158" s="700"/>
      <c r="AZY158" s="700"/>
      <c r="AZZ158" s="700"/>
      <c r="BAA158" s="700"/>
      <c r="BAB158" s="700"/>
      <c r="BAC158" s="700"/>
      <c r="BAD158" s="700"/>
      <c r="BAE158" s="700"/>
      <c r="BAF158" s="700"/>
      <c r="BAG158" s="700"/>
      <c r="BAH158" s="700"/>
      <c r="BAI158" s="700"/>
      <c r="BAJ158" s="700"/>
      <c r="BAK158" s="700"/>
      <c r="BAL158" s="700"/>
      <c r="BAM158" s="700"/>
      <c r="BAN158" s="700"/>
      <c r="BAO158" s="700"/>
      <c r="BAP158" s="700"/>
      <c r="BAQ158" s="700"/>
      <c r="BAR158" s="700"/>
      <c r="BAS158" s="700"/>
      <c r="BAT158" s="700"/>
      <c r="BAU158" s="700"/>
      <c r="BAV158" s="700"/>
      <c r="BAW158" s="700"/>
      <c r="BAX158" s="700"/>
      <c r="BAY158" s="700"/>
      <c r="BAZ158" s="700"/>
      <c r="BBA158" s="700"/>
      <c r="BBB158" s="700"/>
      <c r="BBC158" s="700"/>
      <c r="BBD158" s="700"/>
      <c r="BBE158" s="700"/>
      <c r="BBF158" s="700"/>
      <c r="BBG158" s="700"/>
      <c r="BBH158" s="700"/>
      <c r="BBI158" s="700"/>
      <c r="BBJ158" s="700"/>
      <c r="BBK158" s="700"/>
      <c r="BBL158" s="700"/>
      <c r="BBM158" s="700"/>
      <c r="BBN158" s="700"/>
      <c r="BBO158" s="700"/>
      <c r="BBP158" s="700"/>
      <c r="BBQ158" s="700"/>
      <c r="BBR158" s="700"/>
      <c r="BBS158" s="700"/>
      <c r="BBT158" s="700"/>
      <c r="BBU158" s="700"/>
      <c r="BBV158" s="700"/>
      <c r="BBW158" s="700"/>
      <c r="BBX158" s="700"/>
      <c r="BBY158" s="700"/>
      <c r="BBZ158" s="700"/>
      <c r="BCA158" s="700"/>
      <c r="BCB158" s="700"/>
      <c r="BCC158" s="700"/>
      <c r="BCD158" s="700"/>
      <c r="BCE158" s="700"/>
      <c r="BCF158" s="700"/>
      <c r="BCG158" s="700"/>
      <c r="BCH158" s="700"/>
      <c r="BCI158" s="700"/>
      <c r="BCJ158" s="700"/>
      <c r="BCK158" s="700"/>
      <c r="BCL158" s="700"/>
      <c r="BCM158" s="700"/>
      <c r="BCN158" s="700"/>
      <c r="BCO158" s="700"/>
      <c r="BCP158" s="700"/>
      <c r="BCQ158" s="700"/>
      <c r="BCR158" s="700"/>
      <c r="BCS158" s="700"/>
      <c r="BCT158" s="700"/>
      <c r="BCU158" s="700"/>
      <c r="BCV158" s="700"/>
      <c r="BCW158" s="700"/>
      <c r="BCX158" s="700"/>
      <c r="BCY158" s="700"/>
      <c r="BCZ158" s="700"/>
      <c r="BDA158" s="700"/>
      <c r="BDB158" s="700"/>
      <c r="BDC158" s="700"/>
      <c r="BDD158" s="700"/>
      <c r="BDE158" s="700"/>
      <c r="BDF158" s="700"/>
      <c r="BDG158" s="700"/>
      <c r="BDH158" s="700"/>
      <c r="BDI158" s="700"/>
      <c r="BDJ158" s="700"/>
      <c r="BDK158" s="700"/>
      <c r="BDL158" s="700"/>
      <c r="BDM158" s="700"/>
      <c r="BDN158" s="700"/>
      <c r="BDO158" s="700"/>
      <c r="BDP158" s="700"/>
      <c r="BDQ158" s="700"/>
      <c r="BDR158" s="700"/>
      <c r="BDS158" s="700"/>
      <c r="BDT158" s="700"/>
      <c r="BDU158" s="700"/>
      <c r="BDV158" s="700"/>
      <c r="BDW158" s="700"/>
      <c r="BDX158" s="700"/>
      <c r="BDY158" s="700"/>
      <c r="BDZ158" s="700"/>
      <c r="BEA158" s="700"/>
      <c r="BEB158" s="700"/>
      <c r="BEC158" s="700"/>
      <c r="BED158" s="700"/>
      <c r="BEE158" s="700"/>
      <c r="BEF158" s="700"/>
      <c r="BEG158" s="700"/>
      <c r="BEH158" s="700"/>
      <c r="BEI158" s="700"/>
      <c r="BEJ158" s="700"/>
      <c r="BEK158" s="700"/>
      <c r="BEL158" s="700"/>
      <c r="BEM158" s="700"/>
      <c r="BEN158" s="700"/>
      <c r="BEO158" s="700"/>
      <c r="BEP158" s="700"/>
      <c r="BEQ158" s="700"/>
      <c r="BER158" s="700"/>
      <c r="BES158" s="700"/>
      <c r="BET158" s="700"/>
      <c r="BEU158" s="700"/>
      <c r="BEV158" s="700"/>
      <c r="BEW158" s="700"/>
      <c r="BEX158" s="700"/>
      <c r="BEY158" s="700"/>
      <c r="BEZ158" s="700"/>
      <c r="BFA158" s="700"/>
      <c r="BFB158" s="700"/>
      <c r="BFC158" s="700"/>
      <c r="BFD158" s="700"/>
      <c r="BFE158" s="700"/>
      <c r="BFF158" s="700"/>
      <c r="BFG158" s="700"/>
      <c r="BFH158" s="700"/>
      <c r="BFI158" s="700"/>
      <c r="BFJ158" s="700"/>
      <c r="BFK158" s="700"/>
      <c r="BFL158" s="700"/>
      <c r="BFM158" s="700"/>
      <c r="BFN158" s="700"/>
      <c r="BFO158" s="700"/>
      <c r="BFP158" s="700"/>
      <c r="BFQ158" s="700"/>
      <c r="BFR158" s="700"/>
      <c r="BFS158" s="700"/>
      <c r="BFT158" s="700"/>
      <c r="BFU158" s="700"/>
      <c r="BFV158" s="700"/>
      <c r="BFW158" s="700"/>
      <c r="BFX158" s="700"/>
      <c r="BFY158" s="700"/>
      <c r="BFZ158" s="700"/>
      <c r="BGA158" s="700"/>
      <c r="BGB158" s="700"/>
      <c r="BGC158" s="700"/>
      <c r="BGD158" s="700"/>
      <c r="BGE158" s="700"/>
      <c r="BGF158" s="700"/>
      <c r="BGG158" s="700"/>
      <c r="BGH158" s="700"/>
      <c r="BGI158" s="700"/>
      <c r="BGJ158" s="700"/>
      <c r="BGK158" s="700"/>
      <c r="BGL158" s="700"/>
      <c r="BGM158" s="700"/>
      <c r="BGN158" s="700"/>
      <c r="BGO158" s="700"/>
      <c r="BGP158" s="700"/>
      <c r="BGQ158" s="700"/>
      <c r="BGR158" s="700"/>
      <c r="BGS158" s="700"/>
      <c r="BGT158" s="700"/>
      <c r="BGU158" s="700"/>
      <c r="BGV158" s="700"/>
      <c r="BGW158" s="700"/>
      <c r="BGX158" s="700"/>
      <c r="BGY158" s="700"/>
      <c r="BGZ158" s="700"/>
      <c r="BHA158" s="700"/>
      <c r="BHB158" s="700"/>
      <c r="BHC158" s="700"/>
      <c r="BHD158" s="700"/>
      <c r="BHE158" s="700"/>
      <c r="BHF158" s="700"/>
      <c r="BHG158" s="700"/>
      <c r="BHH158" s="700"/>
      <c r="BHI158" s="700"/>
      <c r="BHJ158" s="700"/>
      <c r="BHK158" s="700"/>
      <c r="BHL158" s="700"/>
      <c r="BHM158" s="700"/>
      <c r="BHN158" s="700"/>
      <c r="BHO158" s="700"/>
      <c r="BHP158" s="700"/>
      <c r="BHQ158" s="700"/>
      <c r="BHR158" s="700"/>
      <c r="BHS158" s="700"/>
      <c r="BHT158" s="700"/>
      <c r="BHU158" s="700"/>
      <c r="BHV158" s="700"/>
      <c r="BHW158" s="700"/>
      <c r="BHX158" s="700"/>
      <c r="BHY158" s="700"/>
      <c r="BHZ158" s="700"/>
      <c r="BIA158" s="700"/>
      <c r="BIB158" s="700"/>
      <c r="BIC158" s="700"/>
      <c r="BID158" s="700"/>
      <c r="BIE158" s="700"/>
      <c r="BIF158" s="700"/>
      <c r="BIG158" s="700"/>
      <c r="BIH158" s="700"/>
      <c r="BII158" s="700"/>
      <c r="BIJ158" s="700"/>
      <c r="BIK158" s="700"/>
      <c r="BIL158" s="700"/>
      <c r="BIM158" s="700"/>
      <c r="BIN158" s="700"/>
      <c r="BIO158" s="700"/>
      <c r="BIP158" s="700"/>
      <c r="BIQ158" s="700"/>
      <c r="BIR158" s="700"/>
      <c r="BIS158" s="700"/>
      <c r="BIT158" s="700"/>
      <c r="BIU158" s="700"/>
      <c r="BIV158" s="700"/>
      <c r="BIW158" s="700"/>
      <c r="BIX158" s="700"/>
      <c r="BIY158" s="700"/>
      <c r="BIZ158" s="700"/>
      <c r="BJA158" s="700"/>
      <c r="BJB158" s="700"/>
      <c r="BJC158" s="700"/>
      <c r="BJD158" s="700"/>
      <c r="BJE158" s="700"/>
      <c r="BJF158" s="700"/>
      <c r="BJG158" s="700"/>
      <c r="BJH158" s="700"/>
      <c r="BJI158" s="700"/>
      <c r="BJJ158" s="700"/>
      <c r="BJK158" s="700"/>
      <c r="BJL158" s="700"/>
      <c r="BJM158" s="700"/>
      <c r="BJN158" s="700"/>
      <c r="BJO158" s="700"/>
      <c r="BJP158" s="700"/>
      <c r="BJQ158" s="700"/>
      <c r="BJR158" s="700"/>
      <c r="BJS158" s="700"/>
      <c r="BJT158" s="700"/>
      <c r="BJU158" s="700"/>
      <c r="BJV158" s="700"/>
      <c r="BJW158" s="700"/>
      <c r="BJX158" s="700"/>
      <c r="BJY158" s="700"/>
      <c r="BJZ158" s="700"/>
      <c r="BKA158" s="700"/>
      <c r="BKB158" s="700"/>
      <c r="BKC158" s="700"/>
      <c r="BKD158" s="700"/>
      <c r="BKE158" s="700"/>
      <c r="BKF158" s="700"/>
      <c r="BKG158" s="700"/>
      <c r="BKH158" s="700"/>
      <c r="BKI158" s="700"/>
      <c r="BKJ158" s="700"/>
      <c r="BKK158" s="700"/>
      <c r="BKL158" s="700"/>
      <c r="BKM158" s="700"/>
      <c r="BKN158" s="700"/>
      <c r="BKO158" s="700"/>
      <c r="BKP158" s="700"/>
      <c r="BKQ158" s="700"/>
      <c r="BKR158" s="700"/>
      <c r="BKS158" s="700"/>
      <c r="BKT158" s="700"/>
      <c r="BKU158" s="700"/>
      <c r="BKV158" s="700"/>
      <c r="BKW158" s="700"/>
      <c r="BKX158" s="700"/>
      <c r="BKY158" s="700"/>
      <c r="BKZ158" s="700"/>
      <c r="BLA158" s="700"/>
      <c r="BLB158" s="700"/>
      <c r="BLC158" s="700"/>
      <c r="BLD158" s="700"/>
      <c r="BLE158" s="700"/>
      <c r="BLF158" s="700"/>
      <c r="BLG158" s="700"/>
      <c r="BLH158" s="700"/>
      <c r="BLI158" s="700"/>
      <c r="BLJ158" s="700"/>
      <c r="BLK158" s="700"/>
      <c r="BLL158" s="700"/>
      <c r="BLM158" s="700"/>
      <c r="BLN158" s="700"/>
      <c r="BLO158" s="700"/>
      <c r="BLP158" s="700"/>
      <c r="BLQ158" s="700"/>
      <c r="BLR158" s="700"/>
      <c r="BLS158" s="700"/>
      <c r="BLT158" s="700"/>
      <c r="BLU158" s="700"/>
      <c r="BLV158" s="700"/>
      <c r="BLW158" s="700"/>
      <c r="BLX158" s="700"/>
      <c r="BLY158" s="700"/>
      <c r="BLZ158" s="700"/>
      <c r="BMA158" s="700"/>
      <c r="BMB158" s="700"/>
      <c r="BMC158" s="700"/>
      <c r="BMD158" s="700"/>
      <c r="BME158" s="700"/>
      <c r="BMF158" s="700"/>
      <c r="BMG158" s="700"/>
      <c r="BMH158" s="700"/>
      <c r="BMI158" s="700"/>
      <c r="BMJ158" s="700"/>
      <c r="BMK158" s="700"/>
      <c r="BML158" s="700"/>
      <c r="BMM158" s="700"/>
      <c r="BMN158" s="700"/>
      <c r="BMO158" s="700"/>
      <c r="BMP158" s="700"/>
      <c r="BMQ158" s="700"/>
      <c r="BMR158" s="700"/>
      <c r="BMS158" s="700"/>
      <c r="BMT158" s="700"/>
      <c r="BMU158" s="700"/>
      <c r="BMV158" s="700"/>
      <c r="BMW158" s="700"/>
      <c r="BMX158" s="700"/>
      <c r="BMY158" s="700"/>
      <c r="BMZ158" s="700"/>
      <c r="BNA158" s="700"/>
      <c r="BNB158" s="700"/>
      <c r="BNC158" s="700"/>
      <c r="BND158" s="700"/>
      <c r="BNE158" s="700"/>
      <c r="BNF158" s="700"/>
      <c r="BNG158" s="700"/>
      <c r="BNH158" s="700"/>
      <c r="BNI158" s="700"/>
      <c r="BNJ158" s="700"/>
      <c r="BNK158" s="700"/>
      <c r="BNL158" s="700"/>
      <c r="BNM158" s="700"/>
      <c r="BNN158" s="700"/>
      <c r="BNO158" s="700"/>
      <c r="BNP158" s="700"/>
      <c r="BNQ158" s="700"/>
      <c r="BNR158" s="700"/>
      <c r="BNS158" s="700"/>
      <c r="BNT158" s="700"/>
      <c r="BNU158" s="700"/>
      <c r="BNV158" s="700"/>
      <c r="BNW158" s="700"/>
      <c r="BNX158" s="700"/>
      <c r="BNY158" s="700"/>
      <c r="BNZ158" s="700"/>
      <c r="BOA158" s="700"/>
      <c r="BOB158" s="700"/>
      <c r="BOC158" s="700"/>
      <c r="BOD158" s="700"/>
      <c r="BOE158" s="700"/>
      <c r="BOF158" s="700"/>
      <c r="BOG158" s="700"/>
      <c r="BOH158" s="700"/>
      <c r="BOI158" s="700"/>
      <c r="BOJ158" s="700"/>
      <c r="BOK158" s="700"/>
      <c r="BOL158" s="700"/>
      <c r="BOM158" s="700"/>
      <c r="BON158" s="700"/>
      <c r="BOO158" s="700"/>
      <c r="BOP158" s="700"/>
      <c r="BOQ158" s="700"/>
      <c r="BOR158" s="700"/>
      <c r="BOS158" s="700"/>
      <c r="BOT158" s="700"/>
      <c r="BOU158" s="700"/>
      <c r="BOV158" s="700"/>
      <c r="BOW158" s="700"/>
      <c r="BOX158" s="700"/>
      <c r="BOY158" s="700"/>
      <c r="BOZ158" s="700"/>
      <c r="BPA158" s="700"/>
      <c r="BPB158" s="700"/>
      <c r="BPC158" s="700"/>
      <c r="BPD158" s="700"/>
      <c r="BPE158" s="700"/>
      <c r="BPF158" s="700"/>
      <c r="BPG158" s="700"/>
      <c r="BPH158" s="700"/>
      <c r="BPI158" s="700"/>
      <c r="BPJ158" s="700"/>
      <c r="BPK158" s="700"/>
      <c r="BPL158" s="700"/>
      <c r="BPM158" s="700"/>
      <c r="BPN158" s="700"/>
      <c r="BPO158" s="700"/>
      <c r="BPP158" s="700"/>
      <c r="BPQ158" s="700"/>
      <c r="BPR158" s="700"/>
      <c r="BPS158" s="700"/>
      <c r="BPT158" s="700"/>
      <c r="BPU158" s="700"/>
      <c r="BPV158" s="700"/>
    </row>
    <row r="159" spans="1:1790" ht="48.75">
      <c r="A159" s="700" t="s">
        <v>700</v>
      </c>
      <c r="B159" s="700" t="s">
        <v>1288</v>
      </c>
      <c r="C159" s="774" t="s">
        <v>1341</v>
      </c>
      <c r="D159" s="801" t="s">
        <v>1342</v>
      </c>
      <c r="E159" s="700" t="s">
        <v>897</v>
      </c>
      <c r="F159" s="770" t="s">
        <v>1335</v>
      </c>
      <c r="G159" s="793" t="s">
        <v>1335</v>
      </c>
      <c r="H159" s="347" t="s">
        <v>700</v>
      </c>
      <c r="I159" s="347" t="s">
        <v>897</v>
      </c>
    </row>
    <row r="160" spans="1:1790" ht="16.5">
      <c r="A160" s="700" t="s">
        <v>1343</v>
      </c>
      <c r="B160" s="700" t="s">
        <v>1288</v>
      </c>
      <c r="C160" s="774" t="s">
        <v>1289</v>
      </c>
      <c r="D160" s="801" t="s">
        <v>268</v>
      </c>
      <c r="E160" s="700" t="s">
        <v>1300</v>
      </c>
      <c r="F160" s="770"/>
      <c r="G160" s="793" t="s">
        <v>1344</v>
      </c>
      <c r="H160" s="347" t="s">
        <v>1345</v>
      </c>
      <c r="I160" s="347" t="s">
        <v>1174</v>
      </c>
    </row>
    <row r="161" spans="1:9" ht="16.5">
      <c r="A161" s="700" t="s">
        <v>417</v>
      </c>
      <c r="B161" s="700" t="s">
        <v>1288</v>
      </c>
      <c r="C161" s="774" t="s">
        <v>1289</v>
      </c>
      <c r="D161" s="801" t="s">
        <v>268</v>
      </c>
      <c r="E161" s="700" t="s">
        <v>1300</v>
      </c>
      <c r="F161" s="770"/>
      <c r="G161" s="793" t="s">
        <v>1344</v>
      </c>
      <c r="H161" s="347" t="s">
        <v>1346</v>
      </c>
      <c r="I161" s="347" t="s">
        <v>1174</v>
      </c>
    </row>
  </sheetData>
  <autoFilter ref="A1:I161" xr:uid="{6E47EFC6-D5AA-4431-9AD3-49AA4F0E921A}">
    <filterColumn colId="1">
      <filters>
        <filter val="2.Open"/>
      </filters>
    </filterColumn>
    <sortState xmlns:xlrd2="http://schemas.microsoft.com/office/spreadsheetml/2017/richdata2" ref="A2:I104">
      <sortCondition ref="D1:D104"/>
    </sortState>
  </autoFilter>
  <sortState xmlns:xlrd2="http://schemas.microsoft.com/office/spreadsheetml/2017/richdata2" ref="A2:XFD79">
    <sortCondition ref="A2:A79"/>
  </sortState>
  <hyperlinks>
    <hyperlink ref="G96" r:id="rId1" xr:uid="{74E7053B-B300-4DE8-B8D5-B6C0F9565CD6}"/>
    <hyperlink ref="G119" r:id="rId2" display="Please upload FTY03 Final IFC QC Drawings ​HERE​ by EOD 3/25/26." xr:uid="{D4C07136-DA35-41A1-B9AF-312DB599E401}"/>
  </hyperlinks>
  <pageMargins left="0.7" right="0.7" top="0.75" bottom="0.75" header="0.3" footer="0.3"/>
  <pageSetup orientation="landscape" horizontalDpi="300" verticalDpi="300" r:id="rId3"/>
  <legacyDrawing r:id="rId4"/>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8FAAE2-8203-4769-8390-8FD80FEB0CB4}">
  <sheetPr filterMode="1">
    <pageSetUpPr fitToPage="1"/>
  </sheetPr>
  <dimension ref="A1:XFC1300"/>
  <sheetViews>
    <sheetView zoomScale="115" zoomScaleNormal="115" workbookViewId="0">
      <pane ySplit="5" topLeftCell="A1119" activePane="bottomLeft" state="frozen"/>
      <selection pane="bottomLeft" activeCell="B1127" sqref="B1127"/>
    </sheetView>
  </sheetViews>
  <sheetFormatPr defaultRowHeight="15.75" customHeight="1"/>
  <cols>
    <col min="1" max="1" width="16" style="476" customWidth="1"/>
    <col min="2" max="2" width="16.28515625" style="8" customWidth="1"/>
    <col min="3" max="3" width="80.5703125" style="145" customWidth="1"/>
    <col min="4" max="4" width="13.5703125" style="286" customWidth="1"/>
    <col min="5" max="5" width="16.28515625" style="255" customWidth="1"/>
    <col min="6" max="6" width="16.28515625" style="286" customWidth="1"/>
    <col min="7" max="7" width="43" style="475" customWidth="1"/>
    <col min="8" max="16381" width="9.140625" style="145"/>
    <col min="16382" max="16383" width="9.140625" style="145" bestFit="1" customWidth="1"/>
    <col min="16384" max="16384" width="9.140625" style="145" customWidth="1"/>
  </cols>
  <sheetData>
    <row r="1" spans="1:7" s="475" customFormat="1" ht="41.45" customHeight="1">
      <c r="A1" s="474" t="s">
        <v>1347</v>
      </c>
      <c r="B1" s="199" t="s">
        <v>1348</v>
      </c>
      <c r="C1" s="357" t="s">
        <v>1349</v>
      </c>
      <c r="D1" s="347"/>
      <c r="E1" s="347"/>
      <c r="F1" s="470"/>
    </row>
    <row r="2" spans="1:7" s="478" customFormat="1" ht="13.9" customHeight="1">
      <c r="A2" s="476"/>
      <c r="B2" s="200" t="s">
        <v>1350</v>
      </c>
      <c r="C2" s="361" t="s">
        <v>1351</v>
      </c>
      <c r="D2" s="471"/>
      <c r="E2" s="471"/>
      <c r="F2" s="477"/>
      <c r="G2" s="475"/>
    </row>
    <row r="3" spans="1:7" s="478" customFormat="1" ht="13.9" customHeight="1">
      <c r="A3" s="476"/>
      <c r="B3" s="201" t="s">
        <v>115</v>
      </c>
      <c r="C3" s="360" t="s">
        <v>1352</v>
      </c>
      <c r="D3" s="472"/>
      <c r="E3" s="472"/>
      <c r="F3" s="479"/>
      <c r="G3" s="475"/>
    </row>
    <row r="4" spans="1:7" s="478" customFormat="1" ht="13.9" customHeight="1">
      <c r="A4" s="476"/>
      <c r="B4" s="201" t="s">
        <v>1164</v>
      </c>
      <c r="C4" s="480" t="s">
        <v>1353</v>
      </c>
      <c r="D4" s="472"/>
      <c r="E4" s="472"/>
      <c r="F4" s="479"/>
      <c r="G4" s="475"/>
    </row>
    <row r="5" spans="1:7" s="485" customFormat="1" ht="14.45">
      <c r="A5" s="481" t="s">
        <v>1354</v>
      </c>
      <c r="B5" s="202" t="s">
        <v>1355</v>
      </c>
      <c r="C5" s="482" t="s">
        <v>1356</v>
      </c>
      <c r="D5" s="253" t="s">
        <v>1357</v>
      </c>
      <c r="E5" s="253" t="s">
        <v>769</v>
      </c>
      <c r="F5" s="484" t="s">
        <v>1358</v>
      </c>
      <c r="G5" s="483" t="s">
        <v>73</v>
      </c>
    </row>
    <row r="6" spans="1:7" s="124" customFormat="1" ht="15.6" hidden="1">
      <c r="A6" s="238">
        <v>45314</v>
      </c>
      <c r="B6" s="238" t="s">
        <v>320</v>
      </c>
      <c r="C6" s="142" t="s">
        <v>1359</v>
      </c>
      <c r="D6" s="99">
        <v>45684</v>
      </c>
      <c r="E6" s="146" t="s">
        <v>783</v>
      </c>
      <c r="F6" s="99"/>
      <c r="G6" s="146" t="s">
        <v>1360</v>
      </c>
    </row>
    <row r="7" spans="1:7" s="124" customFormat="1" ht="28.9" hidden="1">
      <c r="A7" s="238">
        <v>45485</v>
      </c>
      <c r="B7" s="238" t="s">
        <v>1361</v>
      </c>
      <c r="C7" s="142" t="s">
        <v>1362</v>
      </c>
      <c r="D7" s="99">
        <v>45492</v>
      </c>
      <c r="E7" s="146" t="s">
        <v>1363</v>
      </c>
      <c r="F7" s="99"/>
      <c r="G7" s="146" t="s">
        <v>1364</v>
      </c>
    </row>
    <row r="8" spans="1:7" s="124" customFormat="1" ht="28.9" hidden="1">
      <c r="A8" s="238">
        <v>45485</v>
      </c>
      <c r="B8" s="238" t="s">
        <v>114</v>
      </c>
      <c r="C8" s="142" t="s">
        <v>1365</v>
      </c>
      <c r="D8" s="99">
        <v>45485</v>
      </c>
      <c r="E8" s="146" t="s">
        <v>1366</v>
      </c>
      <c r="F8" s="99"/>
      <c r="G8" s="146"/>
    </row>
    <row r="9" spans="1:7" s="124" customFormat="1" ht="15.6" hidden="1">
      <c r="A9" s="238">
        <v>45485</v>
      </c>
      <c r="B9" s="238" t="s">
        <v>1367</v>
      </c>
      <c r="C9" s="142" t="s">
        <v>1368</v>
      </c>
      <c r="D9" s="99">
        <v>45496</v>
      </c>
      <c r="E9" s="146" t="s">
        <v>1369</v>
      </c>
      <c r="F9" s="99"/>
      <c r="G9" s="146"/>
    </row>
    <row r="10" spans="1:7" s="124" customFormat="1" ht="28.9" hidden="1">
      <c r="A10" s="238">
        <v>45485</v>
      </c>
      <c r="B10" s="238" t="s">
        <v>614</v>
      </c>
      <c r="C10" s="142" t="s">
        <v>1370</v>
      </c>
      <c r="D10" s="99">
        <v>45489</v>
      </c>
      <c r="E10" s="146" t="s">
        <v>1366</v>
      </c>
      <c r="F10" s="99"/>
      <c r="G10" s="146"/>
    </row>
    <row r="11" spans="1:7" s="124" customFormat="1" ht="28.9" hidden="1">
      <c r="A11" s="238">
        <v>45485</v>
      </c>
      <c r="B11" s="238" t="s">
        <v>293</v>
      </c>
      <c r="C11" s="142" t="s">
        <v>1371</v>
      </c>
      <c r="D11" s="99">
        <v>45495</v>
      </c>
      <c r="E11" s="146" t="s">
        <v>1366</v>
      </c>
      <c r="F11" s="99"/>
      <c r="G11" s="146"/>
    </row>
    <row r="12" spans="1:7" s="478" customFormat="1" ht="28.9" hidden="1">
      <c r="A12" s="388">
        <v>45485</v>
      </c>
      <c r="B12" s="388" t="s">
        <v>1372</v>
      </c>
      <c r="C12" s="380" t="s">
        <v>1373</v>
      </c>
      <c r="D12" s="486">
        <v>45496</v>
      </c>
      <c r="E12" s="473" t="s">
        <v>1374</v>
      </c>
      <c r="F12" s="496"/>
      <c r="G12" s="487"/>
    </row>
    <row r="13" spans="1:7" s="478" customFormat="1" ht="28.9" hidden="1">
      <c r="A13" s="388">
        <v>45485</v>
      </c>
      <c r="B13" s="388" t="s">
        <v>1372</v>
      </c>
      <c r="C13" s="380" t="s">
        <v>1375</v>
      </c>
      <c r="D13" s="486">
        <v>45496</v>
      </c>
      <c r="E13" s="473" t="s">
        <v>1374</v>
      </c>
      <c r="F13" s="496"/>
      <c r="G13" s="487"/>
    </row>
    <row r="14" spans="1:7" s="124" customFormat="1" ht="28.9" hidden="1">
      <c r="A14" s="238">
        <v>45485</v>
      </c>
      <c r="B14" s="238" t="s">
        <v>1376</v>
      </c>
      <c r="C14" s="142" t="s">
        <v>1377</v>
      </c>
      <c r="D14" s="99" t="s">
        <v>672</v>
      </c>
      <c r="E14" s="146" t="s">
        <v>1366</v>
      </c>
      <c r="F14" s="99"/>
      <c r="G14" s="146"/>
    </row>
    <row r="15" spans="1:7" s="124" customFormat="1" ht="28.9" hidden="1">
      <c r="A15" s="238">
        <v>45485</v>
      </c>
      <c r="B15" s="238" t="s">
        <v>379</v>
      </c>
      <c r="C15" s="142" t="s">
        <v>1378</v>
      </c>
      <c r="D15" s="99">
        <v>45484</v>
      </c>
      <c r="E15" s="146" t="s">
        <v>1379</v>
      </c>
      <c r="F15" s="99"/>
      <c r="G15" s="146" t="s">
        <v>1380</v>
      </c>
    </row>
    <row r="16" spans="1:7" customFormat="1" ht="15.6" hidden="1">
      <c r="A16" s="238">
        <v>45485</v>
      </c>
      <c r="B16" s="238" t="s">
        <v>379</v>
      </c>
      <c r="C16" s="142" t="s">
        <v>1381</v>
      </c>
      <c r="D16" s="99" t="s">
        <v>672</v>
      </c>
      <c r="E16" s="146" t="s">
        <v>1366</v>
      </c>
      <c r="F16" s="99"/>
      <c r="G16" s="146"/>
    </row>
    <row r="17" spans="1:7" customFormat="1" ht="28.9" hidden="1">
      <c r="A17" s="238">
        <v>45495</v>
      </c>
      <c r="B17" s="238" t="s">
        <v>570</v>
      </c>
      <c r="C17" s="142" t="s">
        <v>1382</v>
      </c>
      <c r="D17" s="99">
        <v>45499</v>
      </c>
      <c r="E17" s="146" t="s">
        <v>1383</v>
      </c>
      <c r="F17" s="99"/>
      <c r="G17" s="146"/>
    </row>
    <row r="18" spans="1:7" customFormat="1" ht="14.25" hidden="1" customHeight="1">
      <c r="A18" s="238">
        <v>45495</v>
      </c>
      <c r="B18" s="238" t="s">
        <v>1384</v>
      </c>
      <c r="C18" s="142" t="s">
        <v>1385</v>
      </c>
      <c r="D18" s="778" t="s">
        <v>672</v>
      </c>
      <c r="E18" s="779" t="s">
        <v>783</v>
      </c>
      <c r="F18" s="99"/>
      <c r="G18" s="146" t="s">
        <v>1386</v>
      </c>
    </row>
    <row r="19" spans="1:7" customFormat="1" ht="14.25" hidden="1" customHeight="1">
      <c r="A19" s="238">
        <v>45496</v>
      </c>
      <c r="B19" s="238" t="s">
        <v>1361</v>
      </c>
      <c r="C19" s="142" t="s">
        <v>1387</v>
      </c>
      <c r="D19" s="99">
        <v>45503</v>
      </c>
      <c r="E19" s="146" t="s">
        <v>1363</v>
      </c>
      <c r="F19" s="99"/>
      <c r="G19" s="146" t="s">
        <v>1364</v>
      </c>
    </row>
    <row r="20" spans="1:7" customFormat="1" ht="14.25" hidden="1" customHeight="1">
      <c r="A20" s="238">
        <v>45496</v>
      </c>
      <c r="B20" s="238" t="s">
        <v>364</v>
      </c>
      <c r="C20" s="142" t="s">
        <v>1388</v>
      </c>
      <c r="D20" s="99">
        <v>45498</v>
      </c>
      <c r="E20" s="146" t="s">
        <v>1389</v>
      </c>
      <c r="F20" s="99"/>
      <c r="G20" s="146" t="s">
        <v>1390</v>
      </c>
    </row>
    <row r="21" spans="1:7" customFormat="1" ht="14.25" hidden="1" customHeight="1">
      <c r="A21" s="238">
        <v>45499</v>
      </c>
      <c r="B21" s="238" t="s">
        <v>1391</v>
      </c>
      <c r="C21" s="142" t="s">
        <v>1392</v>
      </c>
      <c r="D21" s="99">
        <v>45506</v>
      </c>
      <c r="E21" s="146" t="s">
        <v>1393</v>
      </c>
      <c r="F21" s="99"/>
      <c r="G21" s="146" t="s">
        <v>1394</v>
      </c>
    </row>
    <row r="22" spans="1:7" customFormat="1" ht="14.25" hidden="1" customHeight="1">
      <c r="A22" s="238">
        <v>45502</v>
      </c>
      <c r="B22" s="238" t="s">
        <v>379</v>
      </c>
      <c r="C22" s="142" t="s">
        <v>1395</v>
      </c>
      <c r="D22" s="99">
        <v>45504</v>
      </c>
      <c r="E22" s="146" t="s">
        <v>1396</v>
      </c>
      <c r="F22" s="99"/>
      <c r="G22" s="146" t="s">
        <v>1397</v>
      </c>
    </row>
    <row r="23" spans="1:7" customFormat="1" ht="14.25" hidden="1" customHeight="1">
      <c r="A23" s="238">
        <v>45503</v>
      </c>
      <c r="B23" s="238" t="s">
        <v>1391</v>
      </c>
      <c r="C23" s="142" t="s">
        <v>1398</v>
      </c>
      <c r="D23" s="99">
        <v>45503</v>
      </c>
      <c r="E23" s="146" t="s">
        <v>82</v>
      </c>
      <c r="F23" s="99"/>
      <c r="G23" s="146"/>
    </row>
    <row r="24" spans="1:7" customFormat="1" ht="14.25" hidden="1" customHeight="1">
      <c r="A24" s="238">
        <v>45503</v>
      </c>
      <c r="B24" s="238" t="s">
        <v>336</v>
      </c>
      <c r="C24" s="142" t="s">
        <v>1399</v>
      </c>
      <c r="D24" s="99">
        <v>45510</v>
      </c>
      <c r="E24" s="146" t="s">
        <v>783</v>
      </c>
      <c r="F24" s="99"/>
      <c r="G24" s="146" t="s">
        <v>1400</v>
      </c>
    </row>
    <row r="25" spans="1:7" customFormat="1" ht="14.25" hidden="1" customHeight="1">
      <c r="A25" s="238">
        <v>45503</v>
      </c>
      <c r="B25" s="238" t="s">
        <v>339</v>
      </c>
      <c r="C25" s="142" t="s">
        <v>1401</v>
      </c>
      <c r="D25" s="99">
        <v>45481</v>
      </c>
      <c r="E25" s="146" t="s">
        <v>783</v>
      </c>
      <c r="F25" s="99"/>
      <c r="G25" s="146" t="s">
        <v>1402</v>
      </c>
    </row>
    <row r="26" spans="1:7" customFormat="1" ht="14.25" hidden="1" customHeight="1">
      <c r="A26" s="238">
        <v>45504</v>
      </c>
      <c r="B26" s="238" t="s">
        <v>1391</v>
      </c>
      <c r="C26" s="142" t="s">
        <v>1403</v>
      </c>
      <c r="D26" s="99">
        <v>45506</v>
      </c>
      <c r="E26" s="146" t="s">
        <v>783</v>
      </c>
      <c r="F26" s="99"/>
      <c r="G26" s="146" t="s">
        <v>1402</v>
      </c>
    </row>
    <row r="27" spans="1:7" customFormat="1" ht="14.25" hidden="1" customHeight="1">
      <c r="A27" s="238">
        <v>45505</v>
      </c>
      <c r="B27" s="238" t="s">
        <v>951</v>
      </c>
      <c r="C27" s="142" t="s">
        <v>1404</v>
      </c>
      <c r="D27" s="99">
        <v>45519</v>
      </c>
      <c r="E27" s="146" t="s">
        <v>1405</v>
      </c>
      <c r="F27" s="99"/>
      <c r="G27" s="146"/>
    </row>
    <row r="28" spans="1:7" customFormat="1" ht="14.25" hidden="1" customHeight="1">
      <c r="A28" s="238">
        <v>45509</v>
      </c>
      <c r="B28" s="238" t="s">
        <v>320</v>
      </c>
      <c r="C28" s="142" t="s">
        <v>1406</v>
      </c>
      <c r="D28" s="99" t="s">
        <v>672</v>
      </c>
      <c r="E28" s="146" t="s">
        <v>82</v>
      </c>
      <c r="F28" s="99"/>
      <c r="G28" s="146"/>
    </row>
    <row r="29" spans="1:7" customFormat="1" ht="14.25" hidden="1" customHeight="1">
      <c r="A29" s="238">
        <v>45510</v>
      </c>
      <c r="B29" s="238" t="s">
        <v>1407</v>
      </c>
      <c r="C29" s="142" t="s">
        <v>1408</v>
      </c>
      <c r="D29" s="99">
        <v>45513</v>
      </c>
      <c r="E29" s="146" t="s">
        <v>1409</v>
      </c>
      <c r="F29" s="99"/>
      <c r="G29" s="146"/>
    </row>
    <row r="30" spans="1:7" customFormat="1" ht="14.25" hidden="1" customHeight="1">
      <c r="A30" s="238">
        <v>45510</v>
      </c>
      <c r="B30" s="238" t="s">
        <v>188</v>
      </c>
      <c r="C30" s="142" t="s">
        <v>1410</v>
      </c>
      <c r="D30" s="99">
        <v>45517</v>
      </c>
      <c r="E30" s="146" t="s">
        <v>783</v>
      </c>
      <c r="F30" s="99"/>
      <c r="G30" s="146" t="s">
        <v>1411</v>
      </c>
    </row>
    <row r="31" spans="1:7" customFormat="1" ht="14.25" hidden="1" customHeight="1">
      <c r="A31" s="238">
        <v>45510</v>
      </c>
      <c r="B31" s="238" t="s">
        <v>188</v>
      </c>
      <c r="C31" s="142" t="s">
        <v>1412</v>
      </c>
      <c r="D31" s="99">
        <v>45517</v>
      </c>
      <c r="E31" s="146" t="s">
        <v>783</v>
      </c>
      <c r="F31" s="99"/>
      <c r="G31" s="146" t="s">
        <v>1413</v>
      </c>
    </row>
    <row r="32" spans="1:7" customFormat="1" ht="14.25" hidden="1" customHeight="1">
      <c r="A32" s="238">
        <v>45510</v>
      </c>
      <c r="B32" s="238" t="s">
        <v>1367</v>
      </c>
      <c r="C32" s="142" t="s">
        <v>1414</v>
      </c>
      <c r="D32" s="99">
        <v>45517</v>
      </c>
      <c r="E32" s="146" t="s">
        <v>1415</v>
      </c>
      <c r="F32" s="99"/>
      <c r="G32" s="146"/>
    </row>
    <row r="33" spans="1:7" customFormat="1" ht="14.25" hidden="1" customHeight="1">
      <c r="A33" s="238">
        <v>45510</v>
      </c>
      <c r="B33" s="238" t="s">
        <v>364</v>
      </c>
      <c r="C33" s="142" t="s">
        <v>1416</v>
      </c>
      <c r="D33" s="99">
        <v>45512</v>
      </c>
      <c r="E33" s="146" t="s">
        <v>1415</v>
      </c>
      <c r="F33" s="99"/>
      <c r="G33" s="146"/>
    </row>
    <row r="34" spans="1:7" customFormat="1" ht="14.25" hidden="1" customHeight="1">
      <c r="A34" s="238">
        <v>45513</v>
      </c>
      <c r="B34" s="238" t="s">
        <v>951</v>
      </c>
      <c r="C34" s="142" t="s">
        <v>1417</v>
      </c>
      <c r="D34" s="99">
        <v>45527</v>
      </c>
      <c r="E34" s="146" t="s">
        <v>1366</v>
      </c>
      <c r="F34" s="99"/>
      <c r="G34" s="146"/>
    </row>
    <row r="35" spans="1:7" customFormat="1" ht="14.25" hidden="1" customHeight="1">
      <c r="A35" s="238">
        <v>45516</v>
      </c>
      <c r="B35" s="238" t="s">
        <v>1391</v>
      </c>
      <c r="C35" s="142" t="s">
        <v>1418</v>
      </c>
      <c r="D35" s="99">
        <v>45523</v>
      </c>
      <c r="E35" s="146" t="s">
        <v>1419</v>
      </c>
      <c r="F35" s="99"/>
      <c r="G35" s="146"/>
    </row>
    <row r="36" spans="1:7" customFormat="1" ht="14.25" hidden="1" customHeight="1">
      <c r="A36" s="238">
        <v>45516</v>
      </c>
      <c r="B36" s="238" t="s">
        <v>293</v>
      </c>
      <c r="C36" s="142" t="s">
        <v>1420</v>
      </c>
      <c r="D36" s="99">
        <v>45518</v>
      </c>
      <c r="E36" s="146" t="s">
        <v>1409</v>
      </c>
      <c r="F36" s="99"/>
      <c r="G36" s="146"/>
    </row>
    <row r="37" spans="1:7" customFormat="1" ht="14.25" hidden="1" customHeight="1">
      <c r="A37" s="238">
        <v>45517</v>
      </c>
      <c r="B37" s="238" t="s">
        <v>1421</v>
      </c>
      <c r="C37" s="142" t="s">
        <v>1422</v>
      </c>
      <c r="D37" s="99">
        <v>45512</v>
      </c>
      <c r="E37" s="146" t="s">
        <v>783</v>
      </c>
      <c r="F37" s="99"/>
      <c r="G37" s="146"/>
    </row>
    <row r="38" spans="1:7" customFormat="1" ht="14.25" hidden="1" customHeight="1">
      <c r="A38" s="238">
        <v>45518</v>
      </c>
      <c r="B38" s="238" t="s">
        <v>1198</v>
      </c>
      <c r="C38" s="142" t="s">
        <v>1423</v>
      </c>
      <c r="D38" s="99">
        <v>45528</v>
      </c>
      <c r="E38" s="146" t="s">
        <v>783</v>
      </c>
      <c r="F38" s="99"/>
      <c r="G38" s="146"/>
    </row>
    <row r="39" spans="1:7" customFormat="1" ht="14.25" hidden="1" customHeight="1">
      <c r="A39" s="238">
        <v>45519</v>
      </c>
      <c r="B39" s="238" t="s">
        <v>1424</v>
      </c>
      <c r="C39" s="142" t="s">
        <v>1425</v>
      </c>
      <c r="D39" s="99" t="s">
        <v>1245</v>
      </c>
      <c r="E39" s="146" t="s">
        <v>1426</v>
      </c>
      <c r="F39" s="99"/>
      <c r="G39" s="146"/>
    </row>
    <row r="40" spans="1:7" customFormat="1" ht="14.25" hidden="1" customHeight="1">
      <c r="A40" s="238">
        <v>45519</v>
      </c>
      <c r="B40" s="238" t="s">
        <v>1421</v>
      </c>
      <c r="C40" s="142" t="s">
        <v>1427</v>
      </c>
      <c r="D40" s="99">
        <v>45520</v>
      </c>
      <c r="E40" s="146" t="s">
        <v>783</v>
      </c>
      <c r="F40" s="99"/>
      <c r="G40" s="146"/>
    </row>
    <row r="41" spans="1:7" customFormat="1" ht="14.25" hidden="1" customHeight="1">
      <c r="A41" s="238">
        <v>45520</v>
      </c>
      <c r="B41" s="238" t="s">
        <v>114</v>
      </c>
      <c r="C41" s="142" t="s">
        <v>1428</v>
      </c>
      <c r="D41" s="99">
        <v>45524</v>
      </c>
      <c r="E41" s="146" t="s">
        <v>1426</v>
      </c>
      <c r="F41" s="99"/>
      <c r="G41" s="146"/>
    </row>
    <row r="42" spans="1:7" customFormat="1" ht="14.25" hidden="1" customHeight="1">
      <c r="A42" s="238">
        <v>45520</v>
      </c>
      <c r="B42" s="238" t="s">
        <v>114</v>
      </c>
      <c r="C42" s="142" t="s">
        <v>1429</v>
      </c>
      <c r="D42" s="99">
        <v>45524</v>
      </c>
      <c r="E42" s="146" t="s">
        <v>1426</v>
      </c>
      <c r="F42" s="99"/>
      <c r="G42" s="146"/>
    </row>
    <row r="43" spans="1:7" customFormat="1" ht="14.25" hidden="1" customHeight="1">
      <c r="A43" s="238">
        <v>45520</v>
      </c>
      <c r="B43" s="238" t="s">
        <v>379</v>
      </c>
      <c r="C43" s="142" t="s">
        <v>1430</v>
      </c>
      <c r="D43" s="99">
        <v>45524</v>
      </c>
      <c r="E43" s="146" t="s">
        <v>1426</v>
      </c>
      <c r="F43" s="99"/>
      <c r="G43" s="146" t="s">
        <v>1431</v>
      </c>
    </row>
    <row r="44" spans="1:7" customFormat="1" ht="14.25" hidden="1" customHeight="1">
      <c r="A44" s="238">
        <v>45523</v>
      </c>
      <c r="B44" s="238" t="s">
        <v>700</v>
      </c>
      <c r="C44" s="142" t="s">
        <v>1432</v>
      </c>
      <c r="D44" s="99" t="s">
        <v>1245</v>
      </c>
      <c r="E44" s="146" t="s">
        <v>783</v>
      </c>
      <c r="F44" s="99"/>
      <c r="G44" s="146" t="s">
        <v>1433</v>
      </c>
    </row>
    <row r="45" spans="1:7" customFormat="1" ht="14.25" hidden="1" customHeight="1">
      <c r="A45" s="238">
        <v>45526</v>
      </c>
      <c r="B45" s="238" t="s">
        <v>614</v>
      </c>
      <c r="C45" s="142" t="s">
        <v>1434</v>
      </c>
      <c r="D45" s="99" t="s">
        <v>672</v>
      </c>
      <c r="E45" s="146" t="s">
        <v>82</v>
      </c>
      <c r="F45" s="99"/>
      <c r="G45" s="146" t="s">
        <v>1435</v>
      </c>
    </row>
    <row r="46" spans="1:7" customFormat="1" ht="14.25" hidden="1" customHeight="1">
      <c r="A46" s="238">
        <v>45527</v>
      </c>
      <c r="B46" s="238" t="s">
        <v>379</v>
      </c>
      <c r="C46" s="142" t="s">
        <v>1436</v>
      </c>
      <c r="D46" s="99">
        <v>45532</v>
      </c>
      <c r="E46" s="146" t="s">
        <v>783</v>
      </c>
      <c r="F46" s="99"/>
      <c r="G46" s="146" t="s">
        <v>1437</v>
      </c>
    </row>
    <row r="47" spans="1:7" ht="14.25" hidden="1" customHeight="1">
      <c r="A47" s="388">
        <v>45530</v>
      </c>
      <c r="B47" s="388" t="s">
        <v>1314</v>
      </c>
      <c r="C47" s="380" t="s">
        <v>1438</v>
      </c>
      <c r="D47" s="486">
        <v>45534</v>
      </c>
      <c r="E47" s="473" t="s">
        <v>1439</v>
      </c>
      <c r="F47" s="496"/>
      <c r="G47" s="487" t="s">
        <v>844</v>
      </c>
    </row>
    <row r="48" spans="1:7" ht="14.25" hidden="1" customHeight="1">
      <c r="A48" s="388">
        <v>45530</v>
      </c>
      <c r="B48" s="388" t="s">
        <v>1314</v>
      </c>
      <c r="C48" s="380" t="s">
        <v>1440</v>
      </c>
      <c r="D48" s="486">
        <v>45534</v>
      </c>
      <c r="E48" s="473" t="s">
        <v>1439</v>
      </c>
      <c r="F48" s="496"/>
      <c r="G48" s="487" t="s">
        <v>844</v>
      </c>
    </row>
    <row r="49" spans="1:7" customFormat="1" ht="14.25" hidden="1" customHeight="1">
      <c r="A49" s="238">
        <v>45531</v>
      </c>
      <c r="B49" s="238" t="s">
        <v>281</v>
      </c>
      <c r="C49" s="142" t="s">
        <v>1441</v>
      </c>
      <c r="D49" s="99">
        <v>45533</v>
      </c>
      <c r="E49" s="146" t="s">
        <v>1439</v>
      </c>
      <c r="F49" s="99"/>
      <c r="G49" s="146" t="s">
        <v>844</v>
      </c>
    </row>
    <row r="50" spans="1:7" customFormat="1" ht="14.25" hidden="1" customHeight="1">
      <c r="A50" s="238">
        <v>45532</v>
      </c>
      <c r="B50" s="238" t="s">
        <v>468</v>
      </c>
      <c r="C50" s="142" t="s">
        <v>1442</v>
      </c>
      <c r="D50" s="99">
        <v>45541</v>
      </c>
      <c r="E50" s="146" t="s">
        <v>1443</v>
      </c>
      <c r="F50" s="99"/>
      <c r="G50" s="146" t="s">
        <v>1444</v>
      </c>
    </row>
    <row r="51" spans="1:7" customFormat="1" ht="14.25" hidden="1" customHeight="1">
      <c r="A51" s="238">
        <v>45532</v>
      </c>
      <c r="B51" s="238" t="s">
        <v>468</v>
      </c>
      <c r="C51" s="142" t="s">
        <v>1445</v>
      </c>
      <c r="D51" s="99">
        <v>45541</v>
      </c>
      <c r="E51" s="146" t="s">
        <v>1443</v>
      </c>
      <c r="F51" s="99"/>
      <c r="G51" s="146" t="s">
        <v>1444</v>
      </c>
    </row>
    <row r="52" spans="1:7" customFormat="1" ht="14.25" hidden="1" customHeight="1">
      <c r="A52" s="238">
        <v>45532</v>
      </c>
      <c r="B52" s="238" t="s">
        <v>468</v>
      </c>
      <c r="C52" s="142" t="s">
        <v>1446</v>
      </c>
      <c r="D52" s="99">
        <v>45541</v>
      </c>
      <c r="E52" s="146" t="s">
        <v>1443</v>
      </c>
      <c r="F52" s="99"/>
      <c r="G52" s="146" t="s">
        <v>1444</v>
      </c>
    </row>
    <row r="53" spans="1:7" customFormat="1" ht="14.25" hidden="1" customHeight="1">
      <c r="A53" s="238">
        <v>45532</v>
      </c>
      <c r="B53" s="238" t="s">
        <v>468</v>
      </c>
      <c r="C53" s="142" t="s">
        <v>1447</v>
      </c>
      <c r="D53" s="99">
        <v>45541</v>
      </c>
      <c r="E53" s="146" t="s">
        <v>1443</v>
      </c>
      <c r="F53" s="99"/>
      <c r="G53" s="146" t="s">
        <v>1444</v>
      </c>
    </row>
    <row r="54" spans="1:7" customFormat="1" ht="14.25" hidden="1" customHeight="1">
      <c r="A54" s="238">
        <v>45533</v>
      </c>
      <c r="B54" s="238" t="s">
        <v>468</v>
      </c>
      <c r="C54" s="142" t="s">
        <v>1448</v>
      </c>
      <c r="D54" s="99">
        <v>45541</v>
      </c>
      <c r="E54" s="146" t="s">
        <v>1443</v>
      </c>
      <c r="F54" s="99"/>
      <c r="G54" s="146"/>
    </row>
    <row r="55" spans="1:7" customFormat="1" ht="14.25" hidden="1" customHeight="1">
      <c r="A55" s="238">
        <v>45533</v>
      </c>
      <c r="B55" s="238" t="s">
        <v>468</v>
      </c>
      <c r="C55" s="142" t="s">
        <v>1449</v>
      </c>
      <c r="D55" s="99">
        <v>45541</v>
      </c>
      <c r="E55" s="146" t="s">
        <v>1443</v>
      </c>
      <c r="F55" s="99"/>
      <c r="G55" s="146"/>
    </row>
    <row r="56" spans="1:7" customFormat="1" ht="14.25" hidden="1" customHeight="1">
      <c r="A56" s="238">
        <v>45533</v>
      </c>
      <c r="B56" s="238" t="s">
        <v>468</v>
      </c>
      <c r="C56" s="142" t="s">
        <v>1450</v>
      </c>
      <c r="D56" s="99">
        <v>45541</v>
      </c>
      <c r="E56" s="146" t="s">
        <v>1443</v>
      </c>
      <c r="F56" s="99"/>
      <c r="G56" s="146" t="s">
        <v>1451</v>
      </c>
    </row>
    <row r="57" spans="1:7" customFormat="1" ht="14.25" hidden="1" customHeight="1">
      <c r="A57" s="238">
        <v>45533</v>
      </c>
      <c r="B57" s="238" t="s">
        <v>468</v>
      </c>
      <c r="C57" s="142" t="s">
        <v>1452</v>
      </c>
      <c r="D57" s="99">
        <v>45541</v>
      </c>
      <c r="E57" s="146" t="s">
        <v>1443</v>
      </c>
      <c r="F57" s="99"/>
      <c r="G57" s="146" t="s">
        <v>1451</v>
      </c>
    </row>
    <row r="58" spans="1:7" customFormat="1" ht="14.25" hidden="1" customHeight="1">
      <c r="A58" s="238">
        <v>45533</v>
      </c>
      <c r="B58" s="238" t="s">
        <v>468</v>
      </c>
      <c r="C58" s="142" t="s">
        <v>1453</v>
      </c>
      <c r="D58" s="99">
        <v>45541</v>
      </c>
      <c r="E58" s="146" t="s">
        <v>1443</v>
      </c>
      <c r="F58" s="99"/>
      <c r="G58" s="146" t="s">
        <v>1451</v>
      </c>
    </row>
    <row r="59" spans="1:7" customFormat="1" ht="14.25" hidden="1" customHeight="1">
      <c r="A59" s="238">
        <v>45533</v>
      </c>
      <c r="B59" s="238" t="s">
        <v>468</v>
      </c>
      <c r="C59" s="142" t="s">
        <v>1454</v>
      </c>
      <c r="D59" s="99">
        <v>45541</v>
      </c>
      <c r="E59" s="146" t="s">
        <v>1443</v>
      </c>
      <c r="F59" s="99"/>
      <c r="G59" s="146" t="s">
        <v>1451</v>
      </c>
    </row>
    <row r="60" spans="1:7" customFormat="1" ht="14.25" hidden="1" customHeight="1">
      <c r="A60" s="238">
        <v>45533</v>
      </c>
      <c r="B60" s="238" t="s">
        <v>468</v>
      </c>
      <c r="C60" s="142" t="s">
        <v>1455</v>
      </c>
      <c r="D60" s="99">
        <v>45541</v>
      </c>
      <c r="E60" s="146" t="s">
        <v>1443</v>
      </c>
      <c r="F60" s="99"/>
      <c r="G60" s="146" t="s">
        <v>1451</v>
      </c>
    </row>
    <row r="61" spans="1:7" customFormat="1" ht="14.25" hidden="1" customHeight="1">
      <c r="A61" s="238">
        <v>45533</v>
      </c>
      <c r="B61" s="238" t="s">
        <v>468</v>
      </c>
      <c r="C61" s="142" t="s">
        <v>1456</v>
      </c>
      <c r="D61" s="99">
        <v>45541</v>
      </c>
      <c r="E61" s="146" t="s">
        <v>1443</v>
      </c>
      <c r="F61" s="99"/>
      <c r="G61" s="146" t="s">
        <v>1451</v>
      </c>
    </row>
    <row r="62" spans="1:7" customFormat="1" ht="14.25" hidden="1" customHeight="1">
      <c r="A62" s="238">
        <v>45533</v>
      </c>
      <c r="B62" s="238" t="s">
        <v>468</v>
      </c>
      <c r="C62" s="142" t="s">
        <v>1457</v>
      </c>
      <c r="D62" s="99">
        <v>45541</v>
      </c>
      <c r="E62" s="146" t="s">
        <v>1443</v>
      </c>
      <c r="F62" s="99"/>
      <c r="G62" s="146" t="s">
        <v>1451</v>
      </c>
    </row>
    <row r="63" spans="1:7" customFormat="1" ht="14.25" hidden="1" customHeight="1">
      <c r="A63" s="238">
        <v>45533</v>
      </c>
      <c r="B63" s="238" t="s">
        <v>468</v>
      </c>
      <c r="C63" s="142" t="s">
        <v>1458</v>
      </c>
      <c r="D63" s="99">
        <v>45541</v>
      </c>
      <c r="E63" s="146" t="s">
        <v>1443</v>
      </c>
      <c r="F63" s="99"/>
      <c r="G63" s="146" t="s">
        <v>1451</v>
      </c>
    </row>
    <row r="64" spans="1:7" customFormat="1" ht="14.25" hidden="1" customHeight="1">
      <c r="A64" s="238">
        <v>45533</v>
      </c>
      <c r="B64" s="238" t="s">
        <v>468</v>
      </c>
      <c r="C64" s="142" t="s">
        <v>1459</v>
      </c>
      <c r="D64" s="99">
        <v>45541</v>
      </c>
      <c r="E64" s="146" t="s">
        <v>1443</v>
      </c>
      <c r="F64" s="99"/>
      <c r="G64" s="146" t="s">
        <v>1451</v>
      </c>
    </row>
    <row r="65" spans="1:7" customFormat="1" ht="14.25" hidden="1" customHeight="1">
      <c r="A65" s="238">
        <v>45533</v>
      </c>
      <c r="B65" s="238" t="s">
        <v>468</v>
      </c>
      <c r="C65" s="142" t="s">
        <v>1460</v>
      </c>
      <c r="D65" s="99">
        <v>45541</v>
      </c>
      <c r="E65" s="146" t="s">
        <v>1443</v>
      </c>
      <c r="F65" s="99"/>
      <c r="G65" s="146" t="s">
        <v>1451</v>
      </c>
    </row>
    <row r="66" spans="1:7" customFormat="1" ht="14.25" hidden="1" customHeight="1">
      <c r="A66" s="238">
        <v>45533</v>
      </c>
      <c r="B66" s="238" t="s">
        <v>468</v>
      </c>
      <c r="C66" s="142" t="s">
        <v>1461</v>
      </c>
      <c r="D66" s="99">
        <v>45541</v>
      </c>
      <c r="E66" s="146" t="s">
        <v>1443</v>
      </c>
      <c r="F66" s="99"/>
      <c r="G66" s="146" t="s">
        <v>1451</v>
      </c>
    </row>
    <row r="67" spans="1:7" customFormat="1" ht="14.25" hidden="1" customHeight="1">
      <c r="A67" s="238">
        <v>45533</v>
      </c>
      <c r="B67" s="238" t="s">
        <v>468</v>
      </c>
      <c r="C67" s="142" t="s">
        <v>1462</v>
      </c>
      <c r="D67" s="99">
        <v>45541</v>
      </c>
      <c r="E67" s="146" t="s">
        <v>1443</v>
      </c>
      <c r="F67" s="99"/>
      <c r="G67" s="146" t="s">
        <v>1451</v>
      </c>
    </row>
    <row r="68" spans="1:7" customFormat="1" ht="14.25" hidden="1" customHeight="1">
      <c r="A68" s="238">
        <v>45533</v>
      </c>
      <c r="B68" s="238" t="s">
        <v>468</v>
      </c>
      <c r="C68" s="142" t="s">
        <v>1463</v>
      </c>
      <c r="D68" s="99">
        <v>45541</v>
      </c>
      <c r="E68" s="146" t="s">
        <v>1443</v>
      </c>
      <c r="F68" s="99"/>
      <c r="G68" s="146" t="s">
        <v>1451</v>
      </c>
    </row>
    <row r="69" spans="1:7" customFormat="1" ht="14.25" hidden="1" customHeight="1">
      <c r="A69" s="238">
        <v>45533</v>
      </c>
      <c r="B69" s="238" t="s">
        <v>468</v>
      </c>
      <c r="C69" s="142" t="s">
        <v>1464</v>
      </c>
      <c r="D69" s="99">
        <v>45541</v>
      </c>
      <c r="E69" s="146" t="s">
        <v>1443</v>
      </c>
      <c r="F69" s="99"/>
      <c r="G69" s="146" t="s">
        <v>1451</v>
      </c>
    </row>
    <row r="70" spans="1:7" customFormat="1" ht="14.25" hidden="1" customHeight="1">
      <c r="A70" s="238">
        <v>45534</v>
      </c>
      <c r="B70" s="238" t="s">
        <v>951</v>
      </c>
      <c r="C70" s="142" t="s">
        <v>1465</v>
      </c>
      <c r="D70" s="99">
        <v>45547</v>
      </c>
      <c r="E70" s="146" t="s">
        <v>923</v>
      </c>
      <c r="F70" s="99"/>
      <c r="G70" s="146" t="s">
        <v>843</v>
      </c>
    </row>
    <row r="71" spans="1:7" customFormat="1" ht="14.25" hidden="1" customHeight="1">
      <c r="A71" s="238">
        <v>45539</v>
      </c>
      <c r="B71" s="238" t="s">
        <v>289</v>
      </c>
      <c r="C71" s="142" t="s">
        <v>1466</v>
      </c>
      <c r="D71" s="99">
        <v>45544</v>
      </c>
      <c r="E71" s="146" t="s">
        <v>82</v>
      </c>
      <c r="F71" s="99"/>
      <c r="G71" s="146"/>
    </row>
    <row r="72" spans="1:7" customFormat="1" ht="14.25" hidden="1" customHeight="1">
      <c r="A72" s="238">
        <v>45540</v>
      </c>
      <c r="B72" s="238" t="s">
        <v>330</v>
      </c>
      <c r="C72" s="142" t="s">
        <v>1467</v>
      </c>
      <c r="D72" s="99">
        <v>45546</v>
      </c>
      <c r="E72" s="146" t="s">
        <v>82</v>
      </c>
      <c r="F72" s="99"/>
      <c r="G72" s="146"/>
    </row>
    <row r="73" spans="1:7" customFormat="1" ht="14.25" hidden="1" customHeight="1">
      <c r="A73" s="238">
        <v>45540</v>
      </c>
      <c r="B73" s="238" t="s">
        <v>330</v>
      </c>
      <c r="C73" s="142" t="s">
        <v>1468</v>
      </c>
      <c r="D73" s="99">
        <v>45546</v>
      </c>
      <c r="E73" s="146" t="s">
        <v>82</v>
      </c>
      <c r="F73" s="99"/>
      <c r="G73" s="146"/>
    </row>
    <row r="74" spans="1:7" customFormat="1" ht="14.25" hidden="1" customHeight="1">
      <c r="A74" s="238">
        <v>45544</v>
      </c>
      <c r="B74" s="238" t="s">
        <v>992</v>
      </c>
      <c r="C74" s="142" t="s">
        <v>1469</v>
      </c>
      <c r="D74" s="99">
        <v>45545</v>
      </c>
      <c r="E74" s="146" t="s">
        <v>1470</v>
      </c>
      <c r="F74" s="99"/>
      <c r="G74" s="146" t="s">
        <v>1471</v>
      </c>
    </row>
    <row r="75" spans="1:7" customFormat="1" ht="14.25" hidden="1" customHeight="1">
      <c r="A75" s="238">
        <v>45545</v>
      </c>
      <c r="B75" s="238" t="s">
        <v>281</v>
      </c>
      <c r="C75" s="142" t="s">
        <v>1472</v>
      </c>
      <c r="D75" s="99">
        <v>45548</v>
      </c>
      <c r="E75" s="146" t="s">
        <v>82</v>
      </c>
      <c r="F75" s="99"/>
      <c r="G75" s="146"/>
    </row>
    <row r="76" spans="1:7" customFormat="1" ht="14.25" hidden="1" customHeight="1">
      <c r="A76" s="238">
        <v>45546</v>
      </c>
      <c r="B76" s="238" t="s">
        <v>114</v>
      </c>
      <c r="C76" s="142" t="s">
        <v>1473</v>
      </c>
      <c r="D76" s="99">
        <v>45548</v>
      </c>
      <c r="E76" s="146" t="s">
        <v>82</v>
      </c>
      <c r="F76" s="99"/>
      <c r="G76" s="146"/>
    </row>
    <row r="77" spans="1:7" customFormat="1" ht="14.25" hidden="1" customHeight="1">
      <c r="A77" s="238">
        <v>45546</v>
      </c>
      <c r="B77" s="238" t="s">
        <v>289</v>
      </c>
      <c r="C77" s="142" t="s">
        <v>1474</v>
      </c>
      <c r="D77" s="99">
        <v>45551</v>
      </c>
      <c r="E77" s="146" t="s">
        <v>82</v>
      </c>
      <c r="F77" s="99"/>
      <c r="G77" s="146"/>
    </row>
    <row r="78" spans="1:7" customFormat="1" ht="14.25" hidden="1" customHeight="1">
      <c r="A78" s="238">
        <v>45547</v>
      </c>
      <c r="B78" s="238" t="s">
        <v>293</v>
      </c>
      <c r="C78" s="142" t="s">
        <v>1475</v>
      </c>
      <c r="D78" s="99">
        <v>45561</v>
      </c>
      <c r="E78" s="146" t="s">
        <v>82</v>
      </c>
      <c r="F78" s="99"/>
      <c r="G78" s="146" t="s">
        <v>1476</v>
      </c>
    </row>
    <row r="79" spans="1:7" customFormat="1" ht="14.25" hidden="1" customHeight="1">
      <c r="A79" s="238">
        <v>45551</v>
      </c>
      <c r="B79" s="238" t="s">
        <v>834</v>
      </c>
      <c r="C79" s="142" t="s">
        <v>1477</v>
      </c>
      <c r="D79" s="99">
        <v>45553</v>
      </c>
      <c r="E79" s="146" t="s">
        <v>783</v>
      </c>
      <c r="F79" s="99"/>
      <c r="G79" s="146" t="s">
        <v>1402</v>
      </c>
    </row>
    <row r="80" spans="1:7" customFormat="1" ht="14.25" hidden="1" customHeight="1">
      <c r="A80" s="238">
        <v>45555</v>
      </c>
      <c r="B80" s="238" t="s">
        <v>166</v>
      </c>
      <c r="C80" s="142" t="s">
        <v>1478</v>
      </c>
      <c r="D80" s="99" t="s">
        <v>1245</v>
      </c>
      <c r="E80" s="146" t="s">
        <v>1479</v>
      </c>
      <c r="F80" s="99"/>
      <c r="G80" s="146"/>
    </row>
    <row r="81" spans="1:7" customFormat="1" ht="14.25" hidden="1" customHeight="1">
      <c r="A81" s="238">
        <v>45555</v>
      </c>
      <c r="B81" s="238" t="s">
        <v>166</v>
      </c>
      <c r="C81" s="142" t="s">
        <v>1480</v>
      </c>
      <c r="D81" s="99" t="s">
        <v>1245</v>
      </c>
      <c r="E81" s="146" t="s">
        <v>1479</v>
      </c>
      <c r="F81" s="99"/>
      <c r="G81" s="146"/>
    </row>
    <row r="82" spans="1:7" customFormat="1" ht="14.25" hidden="1" customHeight="1">
      <c r="A82" s="238">
        <v>45555</v>
      </c>
      <c r="B82" s="238" t="s">
        <v>166</v>
      </c>
      <c r="C82" s="142" t="s">
        <v>1481</v>
      </c>
      <c r="D82" s="99" t="s">
        <v>1245</v>
      </c>
      <c r="E82" s="146" t="s">
        <v>1479</v>
      </c>
      <c r="F82" s="99"/>
      <c r="G82" s="146"/>
    </row>
    <row r="83" spans="1:7" customFormat="1" ht="14.25" hidden="1" customHeight="1">
      <c r="A83" s="238">
        <v>45555</v>
      </c>
      <c r="B83" s="238" t="s">
        <v>166</v>
      </c>
      <c r="C83" s="142" t="s">
        <v>1482</v>
      </c>
      <c r="D83" s="99" t="s">
        <v>1245</v>
      </c>
      <c r="E83" s="146" t="s">
        <v>1479</v>
      </c>
      <c r="F83" s="99"/>
      <c r="G83" s="146"/>
    </row>
    <row r="84" spans="1:7" customFormat="1" ht="14.25" hidden="1" customHeight="1">
      <c r="A84" s="238">
        <v>45555</v>
      </c>
      <c r="B84" s="238" t="s">
        <v>700</v>
      </c>
      <c r="C84" s="142" t="s">
        <v>1483</v>
      </c>
      <c r="D84" s="99">
        <v>45555</v>
      </c>
      <c r="E84" s="146" t="s">
        <v>1484</v>
      </c>
      <c r="F84" s="99"/>
      <c r="G84" s="146"/>
    </row>
    <row r="85" spans="1:7" customFormat="1" ht="14.25" hidden="1" customHeight="1">
      <c r="A85" s="238">
        <v>45555</v>
      </c>
      <c r="B85" s="238" t="s">
        <v>364</v>
      </c>
      <c r="C85" s="142" t="s">
        <v>1485</v>
      </c>
      <c r="D85" s="99">
        <v>45562</v>
      </c>
      <c r="E85" s="146" t="s">
        <v>82</v>
      </c>
      <c r="F85" s="99"/>
      <c r="G85" s="146" t="s">
        <v>1486</v>
      </c>
    </row>
    <row r="86" spans="1:7" customFormat="1" ht="14.25" hidden="1" customHeight="1">
      <c r="A86" s="238">
        <v>45558</v>
      </c>
      <c r="B86" s="238" t="s">
        <v>114</v>
      </c>
      <c r="C86" s="142" t="s">
        <v>1487</v>
      </c>
      <c r="D86" s="99">
        <v>45561</v>
      </c>
      <c r="E86" s="146" t="s">
        <v>82</v>
      </c>
      <c r="F86" s="99"/>
      <c r="G86" s="146" t="s">
        <v>1488</v>
      </c>
    </row>
    <row r="87" spans="1:7" customFormat="1" ht="14.25" hidden="1" customHeight="1">
      <c r="A87" s="238">
        <v>45558</v>
      </c>
      <c r="B87" s="238" t="s">
        <v>700</v>
      </c>
      <c r="C87" s="142" t="s">
        <v>1489</v>
      </c>
      <c r="D87" s="99">
        <v>45562</v>
      </c>
      <c r="E87" s="146" t="s">
        <v>82</v>
      </c>
      <c r="F87" s="99"/>
      <c r="G87" s="146" t="s">
        <v>1490</v>
      </c>
    </row>
    <row r="88" spans="1:7" customFormat="1" ht="14.25" hidden="1" customHeight="1">
      <c r="A88" s="238">
        <v>45559</v>
      </c>
      <c r="B88" s="238" t="s">
        <v>630</v>
      </c>
      <c r="C88" s="142" t="s">
        <v>1491</v>
      </c>
      <c r="D88" s="99">
        <v>45560</v>
      </c>
      <c r="E88" s="146" t="s">
        <v>82</v>
      </c>
      <c r="F88" s="99"/>
      <c r="G88" s="146" t="s">
        <v>1492</v>
      </c>
    </row>
    <row r="89" spans="1:7" customFormat="1" ht="14.25" hidden="1" customHeight="1">
      <c r="A89" s="238">
        <v>45559</v>
      </c>
      <c r="B89" s="238" t="s">
        <v>293</v>
      </c>
      <c r="C89" s="142" t="s">
        <v>1493</v>
      </c>
      <c r="D89" s="99">
        <v>45561</v>
      </c>
      <c r="E89" s="146" t="s">
        <v>82</v>
      </c>
      <c r="F89" s="99"/>
      <c r="G89" s="146" t="s">
        <v>1494</v>
      </c>
    </row>
    <row r="90" spans="1:7" customFormat="1" ht="14.25" hidden="1" customHeight="1">
      <c r="A90" s="238">
        <v>45559</v>
      </c>
      <c r="B90" s="238" t="s">
        <v>293</v>
      </c>
      <c r="C90" s="142" t="s">
        <v>1495</v>
      </c>
      <c r="D90" s="99">
        <v>45561</v>
      </c>
      <c r="E90" s="146" t="s">
        <v>82</v>
      </c>
      <c r="F90" s="99"/>
      <c r="G90" s="146" t="s">
        <v>1496</v>
      </c>
    </row>
    <row r="91" spans="1:7" customFormat="1" ht="14.25" hidden="1" customHeight="1">
      <c r="A91" s="238">
        <v>45560</v>
      </c>
      <c r="B91" s="238" t="s">
        <v>114</v>
      </c>
      <c r="C91" s="142" t="s">
        <v>1497</v>
      </c>
      <c r="D91" s="99">
        <v>45560</v>
      </c>
      <c r="E91" s="146" t="s">
        <v>783</v>
      </c>
      <c r="F91" s="99"/>
      <c r="G91" s="146" t="s">
        <v>1498</v>
      </c>
    </row>
    <row r="92" spans="1:7" customFormat="1" ht="14.25" hidden="1" customHeight="1">
      <c r="A92" s="238">
        <v>45560</v>
      </c>
      <c r="B92" s="238" t="s">
        <v>252</v>
      </c>
      <c r="C92" s="142" t="s">
        <v>1499</v>
      </c>
      <c r="D92" s="99">
        <v>45560</v>
      </c>
      <c r="E92" s="146" t="s">
        <v>82</v>
      </c>
      <c r="F92" s="99"/>
      <c r="G92" s="146"/>
    </row>
    <row r="93" spans="1:7" customFormat="1" ht="14.25" hidden="1" customHeight="1">
      <c r="A93" s="238">
        <v>45560</v>
      </c>
      <c r="B93" s="238" t="s">
        <v>252</v>
      </c>
      <c r="C93" s="142" t="s">
        <v>1500</v>
      </c>
      <c r="D93" s="99">
        <v>45560</v>
      </c>
      <c r="E93" s="146" t="s">
        <v>82</v>
      </c>
      <c r="F93" s="99"/>
      <c r="G93" s="146"/>
    </row>
    <row r="94" spans="1:7" customFormat="1" ht="14.25" hidden="1" customHeight="1">
      <c r="A94" s="238">
        <v>45561</v>
      </c>
      <c r="B94" s="238" t="s">
        <v>133</v>
      </c>
      <c r="C94" s="142" t="s">
        <v>1501</v>
      </c>
      <c r="D94" s="99">
        <v>45569</v>
      </c>
      <c r="E94" s="146" t="s">
        <v>82</v>
      </c>
      <c r="F94" s="99"/>
      <c r="G94" s="146" t="s">
        <v>1502</v>
      </c>
    </row>
    <row r="95" spans="1:7" customFormat="1" ht="14.25" hidden="1" customHeight="1">
      <c r="A95" s="238">
        <v>45575</v>
      </c>
      <c r="B95" s="238" t="s">
        <v>951</v>
      </c>
      <c r="C95" s="142" t="s">
        <v>1503</v>
      </c>
      <c r="D95" s="99">
        <v>45589</v>
      </c>
      <c r="E95" s="146" t="s">
        <v>82</v>
      </c>
      <c r="F95" s="99"/>
      <c r="G95" s="146" t="s">
        <v>1504</v>
      </c>
    </row>
    <row r="96" spans="1:7" customFormat="1" ht="14.25" hidden="1" customHeight="1">
      <c r="A96" s="238">
        <v>45575</v>
      </c>
      <c r="B96" s="238" t="s">
        <v>700</v>
      </c>
      <c r="C96" s="142" t="s">
        <v>1505</v>
      </c>
      <c r="D96" s="99">
        <v>45582</v>
      </c>
      <c r="E96" s="146" t="s">
        <v>82</v>
      </c>
      <c r="F96" s="99"/>
      <c r="G96" s="146" t="s">
        <v>1506</v>
      </c>
    </row>
    <row r="97" spans="1:7" customFormat="1" ht="14.25" hidden="1" customHeight="1">
      <c r="A97" s="238">
        <v>45576</v>
      </c>
      <c r="B97" s="238" t="s">
        <v>281</v>
      </c>
      <c r="C97" s="142" t="s">
        <v>1507</v>
      </c>
      <c r="D97" s="99">
        <v>45581</v>
      </c>
      <c r="E97" s="146" t="s">
        <v>82</v>
      </c>
      <c r="F97" s="99"/>
      <c r="G97" s="146" t="s">
        <v>1508</v>
      </c>
    </row>
    <row r="98" spans="1:7" customFormat="1" ht="14.25" hidden="1" customHeight="1">
      <c r="A98" s="238">
        <v>45576</v>
      </c>
      <c r="B98" s="238" t="s">
        <v>951</v>
      </c>
      <c r="C98" s="142" t="s">
        <v>1509</v>
      </c>
      <c r="D98" s="99">
        <v>45589</v>
      </c>
      <c r="E98" s="146" t="s">
        <v>82</v>
      </c>
      <c r="F98" s="99"/>
      <c r="G98" s="146" t="s">
        <v>1510</v>
      </c>
    </row>
    <row r="99" spans="1:7" customFormat="1" ht="14.25" hidden="1" customHeight="1">
      <c r="A99" s="238">
        <v>45579</v>
      </c>
      <c r="B99" s="238" t="s">
        <v>133</v>
      </c>
      <c r="C99" s="142" t="s">
        <v>1511</v>
      </c>
      <c r="D99" s="99">
        <v>45586</v>
      </c>
      <c r="E99" s="146" t="s">
        <v>82</v>
      </c>
      <c r="F99" s="99"/>
      <c r="G99" s="146" t="s">
        <v>1512</v>
      </c>
    </row>
    <row r="100" spans="1:7" customFormat="1" ht="14.25" hidden="1" customHeight="1">
      <c r="A100" s="238">
        <v>45579</v>
      </c>
      <c r="B100" s="238" t="s">
        <v>133</v>
      </c>
      <c r="C100" s="142" t="s">
        <v>1513</v>
      </c>
      <c r="D100" s="99">
        <v>45586</v>
      </c>
      <c r="E100" s="146" t="s">
        <v>82</v>
      </c>
      <c r="F100" s="99"/>
      <c r="G100" s="146" t="s">
        <v>1512</v>
      </c>
    </row>
    <row r="101" spans="1:7" customFormat="1" ht="14.25" hidden="1" customHeight="1">
      <c r="A101" s="238">
        <v>45580</v>
      </c>
      <c r="B101" s="238" t="s">
        <v>293</v>
      </c>
      <c r="C101" s="142" t="s">
        <v>1514</v>
      </c>
      <c r="D101" s="99">
        <v>45583</v>
      </c>
      <c r="E101" s="146" t="s">
        <v>82</v>
      </c>
      <c r="F101" s="99"/>
      <c r="G101" s="146" t="s">
        <v>1515</v>
      </c>
    </row>
    <row r="102" spans="1:7" customFormat="1" ht="14.25" hidden="1" customHeight="1">
      <c r="A102" s="238">
        <v>45580</v>
      </c>
      <c r="B102" s="238" t="s">
        <v>364</v>
      </c>
      <c r="C102" s="142" t="s">
        <v>1516</v>
      </c>
      <c r="D102" s="99">
        <v>45587</v>
      </c>
      <c r="E102" s="146" t="s">
        <v>82</v>
      </c>
      <c r="F102" s="99"/>
      <c r="G102" s="146" t="s">
        <v>1517</v>
      </c>
    </row>
    <row r="103" spans="1:7" customFormat="1" ht="14.25" hidden="1" customHeight="1">
      <c r="A103" s="238">
        <v>45581</v>
      </c>
      <c r="B103" s="238" t="s">
        <v>834</v>
      </c>
      <c r="C103" s="142" t="s">
        <v>1518</v>
      </c>
      <c r="D103" s="99">
        <v>45583</v>
      </c>
      <c r="E103" s="146" t="s">
        <v>82</v>
      </c>
      <c r="F103" s="99"/>
      <c r="G103" s="146" t="s">
        <v>1519</v>
      </c>
    </row>
    <row r="104" spans="1:7" customFormat="1" ht="14.25" hidden="1" customHeight="1">
      <c r="A104" s="238">
        <v>45581</v>
      </c>
      <c r="B104" s="238" t="s">
        <v>951</v>
      </c>
      <c r="C104" s="142" t="s">
        <v>1520</v>
      </c>
      <c r="D104" s="99">
        <v>45595</v>
      </c>
      <c r="E104" s="146" t="s">
        <v>82</v>
      </c>
      <c r="F104" s="99"/>
      <c r="G104" s="146" t="s">
        <v>1521</v>
      </c>
    </row>
    <row r="105" spans="1:7" customFormat="1" ht="14.25" hidden="1" customHeight="1">
      <c r="A105" s="238">
        <v>45582</v>
      </c>
      <c r="B105" s="238" t="s">
        <v>293</v>
      </c>
      <c r="C105" s="142" t="s">
        <v>1522</v>
      </c>
      <c r="D105" s="99">
        <v>45596</v>
      </c>
      <c r="E105" s="146" t="s">
        <v>82</v>
      </c>
      <c r="F105" s="99"/>
      <c r="G105" s="146" t="s">
        <v>1523</v>
      </c>
    </row>
    <row r="106" spans="1:7" customFormat="1" ht="14.25" hidden="1" customHeight="1">
      <c r="A106" s="238">
        <v>45586</v>
      </c>
      <c r="B106" s="238" t="s">
        <v>133</v>
      </c>
      <c r="C106" s="142" t="s">
        <v>1524</v>
      </c>
      <c r="D106" s="99">
        <v>45593</v>
      </c>
      <c r="E106" s="146" t="s">
        <v>783</v>
      </c>
      <c r="F106" s="99"/>
      <c r="G106" s="146" t="s">
        <v>1525</v>
      </c>
    </row>
    <row r="107" spans="1:7" customFormat="1" ht="14.25" hidden="1" customHeight="1">
      <c r="A107" s="238">
        <v>45586</v>
      </c>
      <c r="B107" s="238" t="s">
        <v>133</v>
      </c>
      <c r="C107" s="142" t="s">
        <v>1526</v>
      </c>
      <c r="D107" s="99">
        <v>45593</v>
      </c>
      <c r="E107" s="146" t="s">
        <v>783</v>
      </c>
      <c r="F107" s="99"/>
      <c r="G107" s="146" t="s">
        <v>1525</v>
      </c>
    </row>
    <row r="108" spans="1:7" customFormat="1" ht="14.25" hidden="1" customHeight="1">
      <c r="A108" s="238">
        <v>45586</v>
      </c>
      <c r="B108" s="238" t="s">
        <v>133</v>
      </c>
      <c r="C108" s="142" t="s">
        <v>1527</v>
      </c>
      <c r="D108" s="99">
        <v>45593</v>
      </c>
      <c r="E108" s="146" t="s">
        <v>783</v>
      </c>
      <c r="F108" s="99"/>
      <c r="G108" s="146" t="s">
        <v>1525</v>
      </c>
    </row>
    <row r="109" spans="1:7" customFormat="1" ht="14.25" hidden="1" customHeight="1">
      <c r="A109" s="238">
        <v>45586</v>
      </c>
      <c r="B109" s="238" t="s">
        <v>951</v>
      </c>
      <c r="C109" s="142" t="s">
        <v>1528</v>
      </c>
      <c r="D109" s="99">
        <v>45588</v>
      </c>
      <c r="E109" s="146" t="s">
        <v>82</v>
      </c>
      <c r="F109" s="99"/>
      <c r="G109" s="146" t="s">
        <v>1529</v>
      </c>
    </row>
    <row r="110" spans="1:7" customFormat="1" ht="14.25" hidden="1" customHeight="1">
      <c r="A110" s="238">
        <v>45586</v>
      </c>
      <c r="B110" s="238" t="s">
        <v>293</v>
      </c>
      <c r="C110" s="142" t="s">
        <v>1530</v>
      </c>
      <c r="D110" s="99">
        <v>45588</v>
      </c>
      <c r="E110" s="146" t="s">
        <v>82</v>
      </c>
      <c r="F110" s="99"/>
      <c r="G110" s="146" t="s">
        <v>1523</v>
      </c>
    </row>
    <row r="111" spans="1:7" customFormat="1" ht="14.25" hidden="1" customHeight="1">
      <c r="A111" s="238">
        <v>45586</v>
      </c>
      <c r="B111" s="238" t="s">
        <v>435</v>
      </c>
      <c r="C111" s="142" t="s">
        <v>1531</v>
      </c>
      <c r="D111" s="99">
        <v>45588</v>
      </c>
      <c r="E111" s="146" t="s">
        <v>82</v>
      </c>
      <c r="F111" s="99"/>
      <c r="G111" s="146" t="s">
        <v>1532</v>
      </c>
    </row>
    <row r="112" spans="1:7" customFormat="1" ht="14.25" hidden="1" customHeight="1">
      <c r="A112" s="238">
        <v>45586</v>
      </c>
      <c r="B112" s="238" t="s">
        <v>435</v>
      </c>
      <c r="C112" s="142" t="s">
        <v>1533</v>
      </c>
      <c r="D112" s="99">
        <v>45588</v>
      </c>
      <c r="E112" s="146" t="s">
        <v>783</v>
      </c>
      <c r="F112" s="99"/>
      <c r="G112" s="146" t="s">
        <v>1532</v>
      </c>
    </row>
    <row r="113" spans="1:7" customFormat="1" ht="14.25" hidden="1" customHeight="1">
      <c r="A113" s="238">
        <v>45587</v>
      </c>
      <c r="B113" s="238" t="s">
        <v>320</v>
      </c>
      <c r="C113" s="142" t="s">
        <v>1534</v>
      </c>
      <c r="D113" s="99" t="s">
        <v>672</v>
      </c>
      <c r="E113" s="146" t="s">
        <v>783</v>
      </c>
      <c r="F113" s="99"/>
      <c r="G113" s="146" t="s">
        <v>1535</v>
      </c>
    </row>
    <row r="114" spans="1:7" customFormat="1" ht="14.25" hidden="1" customHeight="1">
      <c r="A114" s="238">
        <v>45587</v>
      </c>
      <c r="B114" s="238" t="s">
        <v>364</v>
      </c>
      <c r="C114" s="142" t="s">
        <v>1536</v>
      </c>
      <c r="D114" s="99">
        <v>45590</v>
      </c>
      <c r="E114" s="146" t="s">
        <v>783</v>
      </c>
      <c r="F114" s="99"/>
      <c r="G114" s="146" t="s">
        <v>1537</v>
      </c>
    </row>
    <row r="115" spans="1:7" customFormat="1" ht="14.25" hidden="1" customHeight="1">
      <c r="A115" s="238">
        <v>45587</v>
      </c>
      <c r="B115" s="238" t="s">
        <v>364</v>
      </c>
      <c r="C115" s="142" t="s">
        <v>1538</v>
      </c>
      <c r="D115" s="99">
        <v>45593</v>
      </c>
      <c r="E115" s="146" t="s">
        <v>783</v>
      </c>
      <c r="F115" s="99"/>
      <c r="G115" s="146" t="s">
        <v>1537</v>
      </c>
    </row>
    <row r="116" spans="1:7" customFormat="1" ht="14.25" hidden="1" customHeight="1">
      <c r="A116" s="238">
        <v>45588</v>
      </c>
      <c r="B116" s="238" t="s">
        <v>1539</v>
      </c>
      <c r="C116" s="142" t="s">
        <v>1540</v>
      </c>
      <c r="D116" s="99">
        <v>45593</v>
      </c>
      <c r="E116" s="146" t="s">
        <v>783</v>
      </c>
      <c r="F116" s="99"/>
      <c r="G116" s="146" t="s">
        <v>1541</v>
      </c>
    </row>
    <row r="117" spans="1:7" customFormat="1" ht="14.25" hidden="1" customHeight="1">
      <c r="A117" s="238">
        <v>45588</v>
      </c>
      <c r="B117" s="226" t="s">
        <v>1421</v>
      </c>
      <c r="C117" s="142" t="s">
        <v>1542</v>
      </c>
      <c r="D117" s="99">
        <v>45589</v>
      </c>
      <c r="E117" s="146" t="s">
        <v>783</v>
      </c>
      <c r="F117" s="99"/>
      <c r="G117" s="146" t="s">
        <v>1532</v>
      </c>
    </row>
    <row r="118" spans="1:7" customFormat="1" ht="14.25" hidden="1" customHeight="1">
      <c r="A118" s="238">
        <v>45589</v>
      </c>
      <c r="B118" s="238" t="s">
        <v>289</v>
      </c>
      <c r="C118" s="142" t="s">
        <v>1543</v>
      </c>
      <c r="D118" s="99">
        <v>45593</v>
      </c>
      <c r="E118" s="146" t="s">
        <v>783</v>
      </c>
      <c r="F118" s="99"/>
      <c r="G118" s="146" t="s">
        <v>1541</v>
      </c>
    </row>
    <row r="119" spans="1:7" customFormat="1" ht="14.25" hidden="1" customHeight="1">
      <c r="A119" s="238">
        <v>45589</v>
      </c>
      <c r="B119" s="238" t="s">
        <v>289</v>
      </c>
      <c r="C119" s="142" t="s">
        <v>1544</v>
      </c>
      <c r="D119" s="99">
        <v>45593</v>
      </c>
      <c r="E119" s="146" t="s">
        <v>783</v>
      </c>
      <c r="F119" s="99"/>
      <c r="G119" s="146" t="s">
        <v>1541</v>
      </c>
    </row>
    <row r="120" spans="1:7" customFormat="1" ht="14.25" hidden="1" customHeight="1">
      <c r="A120" s="238">
        <v>45589</v>
      </c>
      <c r="B120" s="238" t="s">
        <v>320</v>
      </c>
      <c r="C120" s="142" t="s">
        <v>1545</v>
      </c>
      <c r="D120" s="99">
        <v>45593</v>
      </c>
      <c r="E120" s="146" t="s">
        <v>783</v>
      </c>
      <c r="F120" s="99"/>
      <c r="G120" s="146" t="s">
        <v>1535</v>
      </c>
    </row>
    <row r="121" spans="1:7" customFormat="1" ht="14.25" hidden="1" customHeight="1">
      <c r="A121" s="238">
        <v>45589</v>
      </c>
      <c r="B121" s="238" t="s">
        <v>364</v>
      </c>
      <c r="C121" s="142" t="s">
        <v>1546</v>
      </c>
      <c r="D121" s="99">
        <v>45593</v>
      </c>
      <c r="E121" s="146" t="s">
        <v>783</v>
      </c>
      <c r="F121" s="99"/>
      <c r="G121" s="146" t="s">
        <v>1547</v>
      </c>
    </row>
    <row r="122" spans="1:7" customFormat="1" ht="14.25" hidden="1" customHeight="1">
      <c r="A122" s="238">
        <v>45594</v>
      </c>
      <c r="B122" s="238" t="s">
        <v>281</v>
      </c>
      <c r="C122" s="142" t="s">
        <v>1548</v>
      </c>
      <c r="D122" s="99">
        <v>45596</v>
      </c>
      <c r="E122" s="146" t="s">
        <v>783</v>
      </c>
      <c r="F122" s="99"/>
      <c r="G122" s="146" t="s">
        <v>1549</v>
      </c>
    </row>
    <row r="123" spans="1:7" customFormat="1" ht="14.25" hidden="1" customHeight="1">
      <c r="A123" s="238">
        <v>45595</v>
      </c>
      <c r="B123" s="238" t="s">
        <v>951</v>
      </c>
      <c r="C123" s="142" t="s">
        <v>1550</v>
      </c>
      <c r="D123" s="99">
        <v>45597</v>
      </c>
      <c r="E123" s="146" t="s">
        <v>783</v>
      </c>
      <c r="F123" s="99"/>
      <c r="G123" s="146" t="s">
        <v>1551</v>
      </c>
    </row>
    <row r="124" spans="1:7" customFormat="1" ht="14.25" hidden="1" customHeight="1">
      <c r="A124" s="238">
        <v>45595</v>
      </c>
      <c r="B124" s="238" t="s">
        <v>951</v>
      </c>
      <c r="C124" s="142" t="s">
        <v>1552</v>
      </c>
      <c r="D124" s="99">
        <v>45597</v>
      </c>
      <c r="E124" s="146" t="s">
        <v>783</v>
      </c>
      <c r="F124" s="99"/>
      <c r="G124" s="146" t="s">
        <v>1551</v>
      </c>
    </row>
    <row r="125" spans="1:7" customFormat="1" ht="14.25" hidden="1" customHeight="1">
      <c r="A125" s="238">
        <v>45596</v>
      </c>
      <c r="B125" s="238" t="s">
        <v>330</v>
      </c>
      <c r="C125" s="142" t="s">
        <v>1553</v>
      </c>
      <c r="D125" s="99">
        <v>45602</v>
      </c>
      <c r="E125" s="146" t="s">
        <v>783</v>
      </c>
      <c r="F125" s="99"/>
      <c r="G125" s="146" t="s">
        <v>1554</v>
      </c>
    </row>
    <row r="126" spans="1:7" customFormat="1" ht="14.25" hidden="1" customHeight="1">
      <c r="A126" s="238">
        <v>45596</v>
      </c>
      <c r="B126" s="238" t="s">
        <v>364</v>
      </c>
      <c r="C126" s="142" t="s">
        <v>1555</v>
      </c>
      <c r="D126" s="99">
        <v>45600</v>
      </c>
      <c r="E126" s="146" t="s">
        <v>783</v>
      </c>
      <c r="F126" s="99"/>
      <c r="G126" s="146" t="s">
        <v>1556</v>
      </c>
    </row>
    <row r="127" spans="1:7" customFormat="1" ht="14.25" hidden="1" customHeight="1">
      <c r="A127" s="238">
        <v>45600</v>
      </c>
      <c r="B127" s="238" t="s">
        <v>412</v>
      </c>
      <c r="C127" s="142" t="s">
        <v>1557</v>
      </c>
      <c r="D127" s="99">
        <v>45600</v>
      </c>
      <c r="E127" s="146" t="s">
        <v>783</v>
      </c>
      <c r="F127" s="99"/>
      <c r="G127" s="146"/>
    </row>
    <row r="128" spans="1:7" customFormat="1" ht="14.25" hidden="1" customHeight="1">
      <c r="A128" s="238">
        <v>45601</v>
      </c>
      <c r="B128" s="238" t="s">
        <v>289</v>
      </c>
      <c r="C128" s="142" t="s">
        <v>1558</v>
      </c>
      <c r="D128" s="99">
        <v>45603</v>
      </c>
      <c r="E128" s="146" t="s">
        <v>783</v>
      </c>
      <c r="F128" s="99"/>
      <c r="G128" s="146"/>
    </row>
    <row r="129" spans="1:7" customFormat="1" ht="14.25" hidden="1" customHeight="1">
      <c r="A129" s="238">
        <v>45602</v>
      </c>
      <c r="B129" s="238" t="s">
        <v>229</v>
      </c>
      <c r="C129" s="142" t="s">
        <v>1559</v>
      </c>
      <c r="D129" s="99">
        <v>45604</v>
      </c>
      <c r="E129" s="146" t="s">
        <v>783</v>
      </c>
      <c r="F129" s="99"/>
      <c r="G129" s="146" t="s">
        <v>1554</v>
      </c>
    </row>
    <row r="130" spans="1:7" customFormat="1" ht="14.25" hidden="1" customHeight="1">
      <c r="A130" s="238">
        <v>45602</v>
      </c>
      <c r="B130" s="238" t="s">
        <v>1560</v>
      </c>
      <c r="C130" s="142" t="s">
        <v>1561</v>
      </c>
      <c r="D130" s="99">
        <v>45604</v>
      </c>
      <c r="E130" s="146" t="s">
        <v>783</v>
      </c>
      <c r="F130" s="99"/>
      <c r="G130" s="146" t="s">
        <v>1554</v>
      </c>
    </row>
    <row r="131" spans="1:7" customFormat="1" ht="14.25" hidden="1" customHeight="1">
      <c r="A131" s="238">
        <v>45602</v>
      </c>
      <c r="B131" s="238" t="s">
        <v>951</v>
      </c>
      <c r="C131" s="142" t="s">
        <v>1562</v>
      </c>
      <c r="D131" s="99">
        <v>45604</v>
      </c>
      <c r="E131" s="146" t="s">
        <v>783</v>
      </c>
      <c r="F131" s="99"/>
      <c r="G131" s="146" t="s">
        <v>1563</v>
      </c>
    </row>
    <row r="132" spans="1:7" customFormat="1" ht="14.25" hidden="1" customHeight="1">
      <c r="A132" s="238">
        <v>45603</v>
      </c>
      <c r="B132" s="238" t="s">
        <v>796</v>
      </c>
      <c r="C132" s="142" t="s">
        <v>1564</v>
      </c>
      <c r="D132" s="99">
        <v>45603</v>
      </c>
      <c r="E132" s="146" t="s">
        <v>783</v>
      </c>
      <c r="F132" s="99"/>
      <c r="G132" s="146" t="s">
        <v>1565</v>
      </c>
    </row>
    <row r="133" spans="1:7" customFormat="1" ht="14.25" hidden="1" customHeight="1">
      <c r="A133" s="238">
        <v>45603</v>
      </c>
      <c r="B133" s="238" t="s">
        <v>834</v>
      </c>
      <c r="C133" s="142" t="s">
        <v>1566</v>
      </c>
      <c r="D133" s="99">
        <v>45603</v>
      </c>
      <c r="E133" s="146" t="s">
        <v>783</v>
      </c>
      <c r="F133" s="99"/>
      <c r="G133" s="146" t="s">
        <v>1554</v>
      </c>
    </row>
    <row r="134" spans="1:7" customFormat="1" ht="14.25" hidden="1" customHeight="1">
      <c r="A134" s="238">
        <v>45603</v>
      </c>
      <c r="B134" s="238" t="s">
        <v>281</v>
      </c>
      <c r="C134" s="142" t="s">
        <v>1567</v>
      </c>
      <c r="D134" s="99">
        <v>45608</v>
      </c>
      <c r="E134" s="146" t="s">
        <v>783</v>
      </c>
      <c r="F134" s="99"/>
      <c r="G134" s="146" t="s">
        <v>1565</v>
      </c>
    </row>
    <row r="135" spans="1:7" customFormat="1" ht="14.25" hidden="1" customHeight="1">
      <c r="A135" s="238">
        <v>45603</v>
      </c>
      <c r="B135" s="238" t="s">
        <v>435</v>
      </c>
      <c r="C135" s="142" t="s">
        <v>1568</v>
      </c>
      <c r="D135" s="99">
        <v>45608</v>
      </c>
      <c r="E135" s="146" t="s">
        <v>783</v>
      </c>
      <c r="F135" s="99"/>
      <c r="G135" s="146" t="s">
        <v>1565</v>
      </c>
    </row>
    <row r="136" spans="1:7" customFormat="1" ht="14.25" hidden="1" customHeight="1">
      <c r="A136" s="238">
        <v>45604</v>
      </c>
      <c r="B136" s="238" t="s">
        <v>281</v>
      </c>
      <c r="C136" s="142" t="s">
        <v>1569</v>
      </c>
      <c r="D136" s="99">
        <v>45604</v>
      </c>
      <c r="E136" s="146" t="s">
        <v>783</v>
      </c>
      <c r="F136" s="99"/>
      <c r="G136" s="146" t="s">
        <v>1570</v>
      </c>
    </row>
    <row r="137" spans="1:7" customFormat="1" ht="14.25" hidden="1" customHeight="1">
      <c r="A137" s="238">
        <v>45607</v>
      </c>
      <c r="B137" s="238" t="s">
        <v>289</v>
      </c>
      <c r="C137" s="142" t="s">
        <v>1571</v>
      </c>
      <c r="D137" s="99">
        <v>45610</v>
      </c>
      <c r="E137" s="146" t="s">
        <v>82</v>
      </c>
      <c r="F137" s="99"/>
      <c r="G137" s="146" t="s">
        <v>1572</v>
      </c>
    </row>
    <row r="138" spans="1:7" customFormat="1" ht="14.25" hidden="1" customHeight="1">
      <c r="A138" s="238">
        <v>45607</v>
      </c>
      <c r="B138" s="238" t="s">
        <v>435</v>
      </c>
      <c r="C138" s="142" t="s">
        <v>1573</v>
      </c>
      <c r="D138" s="99">
        <v>45614</v>
      </c>
      <c r="E138" s="146" t="s">
        <v>783</v>
      </c>
      <c r="F138" s="99"/>
      <c r="G138" s="146" t="s">
        <v>1574</v>
      </c>
    </row>
    <row r="139" spans="1:7" customFormat="1" ht="14.25" hidden="1" customHeight="1">
      <c r="A139" s="238">
        <v>45607</v>
      </c>
      <c r="B139" s="238" t="s">
        <v>435</v>
      </c>
      <c r="C139" s="142" t="s">
        <v>1575</v>
      </c>
      <c r="D139" s="99">
        <v>45614</v>
      </c>
      <c r="E139" s="146" t="s">
        <v>783</v>
      </c>
      <c r="F139" s="99"/>
      <c r="G139" s="146" t="s">
        <v>1576</v>
      </c>
    </row>
    <row r="140" spans="1:7" customFormat="1" ht="14.25" hidden="1" customHeight="1">
      <c r="A140" s="238">
        <v>45607</v>
      </c>
      <c r="B140" s="238" t="s">
        <v>435</v>
      </c>
      <c r="C140" s="142" t="s">
        <v>1577</v>
      </c>
      <c r="D140" s="99">
        <v>45614</v>
      </c>
      <c r="E140" s="146" t="s">
        <v>82</v>
      </c>
      <c r="F140" s="99"/>
      <c r="G140" s="146"/>
    </row>
    <row r="141" spans="1:7" customFormat="1" ht="14.25" hidden="1" customHeight="1">
      <c r="A141" s="238">
        <v>45607</v>
      </c>
      <c r="B141" s="238" t="s">
        <v>435</v>
      </c>
      <c r="C141" s="142" t="s">
        <v>1578</v>
      </c>
      <c r="D141" s="99">
        <v>45614</v>
      </c>
      <c r="E141" s="146" t="s">
        <v>82</v>
      </c>
      <c r="F141" s="99"/>
      <c r="G141" s="146" t="s">
        <v>1579</v>
      </c>
    </row>
    <row r="142" spans="1:7" customFormat="1" ht="14.25" hidden="1" customHeight="1">
      <c r="A142" s="238">
        <v>45609</v>
      </c>
      <c r="B142" s="238" t="s">
        <v>1384</v>
      </c>
      <c r="C142" s="142" t="s">
        <v>1580</v>
      </c>
      <c r="D142" s="778">
        <v>45611</v>
      </c>
      <c r="E142" s="779" t="s">
        <v>82</v>
      </c>
      <c r="F142" s="99"/>
      <c r="G142" s="146" t="s">
        <v>1572</v>
      </c>
    </row>
    <row r="143" spans="1:7" customFormat="1" ht="14.25" hidden="1" customHeight="1">
      <c r="A143" s="238">
        <v>45610</v>
      </c>
      <c r="B143" s="238" t="s">
        <v>133</v>
      </c>
      <c r="C143" s="142" t="s">
        <v>1581</v>
      </c>
      <c r="D143" s="99">
        <v>45617</v>
      </c>
      <c r="E143" s="146" t="s">
        <v>783</v>
      </c>
      <c r="F143" s="99"/>
      <c r="G143" s="146"/>
    </row>
    <row r="144" spans="1:7" customFormat="1" ht="14.25" hidden="1" customHeight="1">
      <c r="A144" s="238">
        <v>45610</v>
      </c>
      <c r="B144" s="238" t="s">
        <v>834</v>
      </c>
      <c r="C144" s="142" t="s">
        <v>1582</v>
      </c>
      <c r="D144" s="99">
        <v>45616</v>
      </c>
      <c r="E144" s="146" t="s">
        <v>783</v>
      </c>
      <c r="F144" s="99"/>
      <c r="G144" s="146"/>
    </row>
    <row r="145" spans="1:7" customFormat="1" ht="14.25" hidden="1" customHeight="1">
      <c r="A145" s="238">
        <v>45610</v>
      </c>
      <c r="B145" s="238" t="s">
        <v>1560</v>
      </c>
      <c r="C145" s="142" t="s">
        <v>1583</v>
      </c>
      <c r="D145" s="99">
        <v>45625</v>
      </c>
      <c r="E145" s="146" t="s">
        <v>783</v>
      </c>
      <c r="F145" s="99"/>
      <c r="G145" s="146" t="s">
        <v>1584</v>
      </c>
    </row>
    <row r="146" spans="1:7" customFormat="1" ht="14.25" hidden="1" customHeight="1">
      <c r="A146" s="238">
        <v>45610</v>
      </c>
      <c r="B146" s="238" t="s">
        <v>293</v>
      </c>
      <c r="C146" s="142" t="s">
        <v>1585</v>
      </c>
      <c r="D146" s="99">
        <v>45615</v>
      </c>
      <c r="E146" s="146" t="s">
        <v>82</v>
      </c>
      <c r="F146" s="99"/>
      <c r="G146" s="146" t="s">
        <v>1586</v>
      </c>
    </row>
    <row r="147" spans="1:7" customFormat="1" ht="14.25" hidden="1" customHeight="1">
      <c r="A147" s="238">
        <v>45610</v>
      </c>
      <c r="B147" s="238" t="s">
        <v>330</v>
      </c>
      <c r="C147" s="142" t="s">
        <v>1587</v>
      </c>
      <c r="D147" s="99">
        <v>45616</v>
      </c>
      <c r="E147" s="146" t="s">
        <v>783</v>
      </c>
      <c r="F147" s="99"/>
      <c r="G147" s="146" t="s">
        <v>1588</v>
      </c>
    </row>
    <row r="148" spans="1:7" customFormat="1" ht="14.25" hidden="1" customHeight="1">
      <c r="A148" s="238">
        <v>45614</v>
      </c>
      <c r="B148" s="238" t="s">
        <v>309</v>
      </c>
      <c r="C148" s="142" t="s">
        <v>1589</v>
      </c>
      <c r="D148" s="99">
        <v>45619</v>
      </c>
      <c r="E148" s="146" t="s">
        <v>783</v>
      </c>
      <c r="F148" s="99"/>
      <c r="G148" s="146" t="s">
        <v>1590</v>
      </c>
    </row>
    <row r="149" spans="1:7" customFormat="1" ht="14.25" hidden="1" customHeight="1">
      <c r="A149" s="238">
        <v>45614</v>
      </c>
      <c r="B149" s="238" t="s">
        <v>309</v>
      </c>
      <c r="C149" s="142" t="s">
        <v>1589</v>
      </c>
      <c r="D149" s="99">
        <v>45619</v>
      </c>
      <c r="E149" s="146" t="s">
        <v>783</v>
      </c>
      <c r="F149" s="99"/>
      <c r="G149" s="146" t="s">
        <v>1590</v>
      </c>
    </row>
    <row r="150" spans="1:7" customFormat="1" ht="14.25" hidden="1" customHeight="1">
      <c r="A150" s="238">
        <v>45617</v>
      </c>
      <c r="B150" s="238" t="s">
        <v>1391</v>
      </c>
      <c r="C150" s="142" t="s">
        <v>1591</v>
      </c>
      <c r="D150" s="99">
        <v>45621</v>
      </c>
      <c r="E150" s="146" t="s">
        <v>783</v>
      </c>
      <c r="F150" s="99"/>
      <c r="G150" s="146" t="s">
        <v>1592</v>
      </c>
    </row>
    <row r="151" spans="1:7" customFormat="1" ht="14.25" hidden="1" customHeight="1">
      <c r="A151" s="238">
        <v>45617</v>
      </c>
      <c r="B151" s="238" t="s">
        <v>435</v>
      </c>
      <c r="C151" s="142" t="s">
        <v>1593</v>
      </c>
      <c r="D151" s="99">
        <v>45617</v>
      </c>
      <c r="E151" s="146" t="s">
        <v>783</v>
      </c>
      <c r="F151" s="99"/>
      <c r="G151" s="146"/>
    </row>
    <row r="152" spans="1:7" customFormat="1" ht="14.25" hidden="1" customHeight="1">
      <c r="A152" s="238">
        <v>45618</v>
      </c>
      <c r="B152" s="238" t="s">
        <v>379</v>
      </c>
      <c r="C152" s="142" t="s">
        <v>1594</v>
      </c>
      <c r="D152" s="99">
        <v>45622</v>
      </c>
      <c r="E152" s="146" t="s">
        <v>82</v>
      </c>
      <c r="F152" s="99"/>
      <c r="G152" s="146" t="s">
        <v>1595</v>
      </c>
    </row>
    <row r="153" spans="1:7" customFormat="1" ht="14.25" hidden="1" customHeight="1">
      <c r="A153" s="238">
        <v>45618</v>
      </c>
      <c r="B153" s="238" t="s">
        <v>1384</v>
      </c>
      <c r="C153" s="142" t="s">
        <v>1596</v>
      </c>
      <c r="D153" s="778">
        <v>45622</v>
      </c>
      <c r="E153" s="779" t="s">
        <v>82</v>
      </c>
      <c r="F153" s="99"/>
      <c r="G153" s="146" t="s">
        <v>1595</v>
      </c>
    </row>
    <row r="154" spans="1:7" customFormat="1" ht="14.25" hidden="1" customHeight="1">
      <c r="A154" s="238">
        <v>45621</v>
      </c>
      <c r="B154" s="238" t="s">
        <v>1407</v>
      </c>
      <c r="C154" s="142" t="s">
        <v>1597</v>
      </c>
      <c r="D154" s="99">
        <v>45623</v>
      </c>
      <c r="E154" s="146" t="s">
        <v>82</v>
      </c>
      <c r="F154" s="99"/>
      <c r="G154" s="146"/>
    </row>
    <row r="155" spans="1:7" customFormat="1" ht="14.25" hidden="1" customHeight="1">
      <c r="A155" s="238">
        <v>45622</v>
      </c>
      <c r="B155" s="238" t="s">
        <v>671</v>
      </c>
      <c r="C155" s="142" t="s">
        <v>1598</v>
      </c>
      <c r="D155" s="99">
        <v>45630</v>
      </c>
      <c r="E155" s="146" t="s">
        <v>783</v>
      </c>
      <c r="F155" s="99"/>
      <c r="G155" s="146" t="s">
        <v>1599</v>
      </c>
    </row>
    <row r="156" spans="1:7" customFormat="1" ht="14.25" hidden="1" customHeight="1">
      <c r="A156" s="238">
        <v>45622</v>
      </c>
      <c r="B156" s="238" t="s">
        <v>339</v>
      </c>
      <c r="C156" s="142" t="s">
        <v>1600</v>
      </c>
      <c r="D156" s="99">
        <v>45630</v>
      </c>
      <c r="E156" s="146" t="s">
        <v>783</v>
      </c>
      <c r="F156" s="99"/>
      <c r="G156" s="146" t="s">
        <v>1601</v>
      </c>
    </row>
    <row r="157" spans="1:7" customFormat="1" ht="14.25" hidden="1" customHeight="1">
      <c r="A157" s="238">
        <v>45622</v>
      </c>
      <c r="B157" s="238" t="s">
        <v>339</v>
      </c>
      <c r="C157" s="142" t="s">
        <v>1602</v>
      </c>
      <c r="D157" s="99">
        <v>45630</v>
      </c>
      <c r="E157" s="146" t="s">
        <v>783</v>
      </c>
      <c r="F157" s="99"/>
      <c r="G157" s="146" t="s">
        <v>1601</v>
      </c>
    </row>
    <row r="158" spans="1:7" customFormat="1" ht="14.25" hidden="1" customHeight="1">
      <c r="A158" s="238">
        <v>45622</v>
      </c>
      <c r="B158" s="238" t="s">
        <v>412</v>
      </c>
      <c r="C158" s="142" t="s">
        <v>1603</v>
      </c>
      <c r="D158" s="99">
        <v>45625</v>
      </c>
      <c r="E158" s="146" t="s">
        <v>82</v>
      </c>
      <c r="F158" s="99"/>
      <c r="G158" s="146"/>
    </row>
    <row r="159" spans="1:7" customFormat="1" ht="14.25" hidden="1" customHeight="1">
      <c r="A159" s="238">
        <v>45622</v>
      </c>
      <c r="B159" s="238" t="s">
        <v>435</v>
      </c>
      <c r="C159" s="142" t="s">
        <v>1604</v>
      </c>
      <c r="D159" s="99">
        <v>45629</v>
      </c>
      <c r="E159" s="146" t="s">
        <v>783</v>
      </c>
      <c r="F159" s="99"/>
      <c r="G159" s="146"/>
    </row>
    <row r="160" spans="1:7" customFormat="1" ht="14.25" hidden="1" customHeight="1">
      <c r="A160" s="388">
        <v>45631</v>
      </c>
      <c r="B160" s="388" t="s">
        <v>126</v>
      </c>
      <c r="C160" s="380" t="s">
        <v>1605</v>
      </c>
      <c r="D160" s="99">
        <v>45638</v>
      </c>
      <c r="E160" s="146" t="s">
        <v>82</v>
      </c>
      <c r="F160" s="99"/>
      <c r="G160" s="146" t="s">
        <v>1606</v>
      </c>
    </row>
    <row r="161" spans="1:7" customFormat="1" ht="14.25" hidden="1" customHeight="1">
      <c r="A161" s="388">
        <v>45631</v>
      </c>
      <c r="B161" s="388" t="s">
        <v>126</v>
      </c>
      <c r="C161" s="380" t="s">
        <v>1607</v>
      </c>
      <c r="D161" s="99">
        <v>45638</v>
      </c>
      <c r="E161" s="146" t="s">
        <v>783</v>
      </c>
      <c r="F161" s="99"/>
      <c r="G161" s="146" t="s">
        <v>1608</v>
      </c>
    </row>
    <row r="162" spans="1:7" customFormat="1" ht="14.25" hidden="1" customHeight="1">
      <c r="A162" s="238">
        <v>45631</v>
      </c>
      <c r="B162" s="238" t="s">
        <v>796</v>
      </c>
      <c r="C162" s="142" t="s">
        <v>1609</v>
      </c>
      <c r="D162" s="99">
        <v>45638</v>
      </c>
      <c r="E162" s="146" t="s">
        <v>783</v>
      </c>
      <c r="F162" s="99"/>
      <c r="G162" s="146" t="s">
        <v>1402</v>
      </c>
    </row>
    <row r="163" spans="1:7" customFormat="1" ht="14.25" hidden="1" customHeight="1">
      <c r="A163" s="238">
        <v>45631</v>
      </c>
      <c r="B163" s="238" t="s">
        <v>834</v>
      </c>
      <c r="C163" s="142" t="s">
        <v>1610</v>
      </c>
      <c r="D163" s="99">
        <v>45635</v>
      </c>
      <c r="E163" s="146" t="s">
        <v>1366</v>
      </c>
      <c r="F163" s="99"/>
      <c r="G163" s="146" t="s">
        <v>1611</v>
      </c>
    </row>
    <row r="164" spans="1:7" customFormat="1" ht="14.25" hidden="1" customHeight="1">
      <c r="A164" s="238">
        <v>45631</v>
      </c>
      <c r="B164" s="238" t="s">
        <v>435</v>
      </c>
      <c r="C164" s="142" t="s">
        <v>1612</v>
      </c>
      <c r="D164" s="99">
        <v>45638</v>
      </c>
      <c r="E164" s="146" t="s">
        <v>783</v>
      </c>
      <c r="F164" s="99"/>
      <c r="G164" s="146" t="s">
        <v>1613</v>
      </c>
    </row>
    <row r="165" spans="1:7" customFormat="1" ht="14.25" hidden="1" customHeight="1">
      <c r="A165" s="238">
        <v>45631</v>
      </c>
      <c r="B165" s="238" t="s">
        <v>435</v>
      </c>
      <c r="C165" s="142" t="s">
        <v>1614</v>
      </c>
      <c r="D165" s="99">
        <v>45638</v>
      </c>
      <c r="E165" s="146" t="s">
        <v>783</v>
      </c>
      <c r="F165" s="99"/>
      <c r="G165" s="146" t="s">
        <v>1613</v>
      </c>
    </row>
    <row r="166" spans="1:7" customFormat="1" ht="14.25" hidden="1" customHeight="1">
      <c r="A166" s="238">
        <v>45631</v>
      </c>
      <c r="B166" s="238" t="s">
        <v>435</v>
      </c>
      <c r="C166" s="142" t="s">
        <v>1615</v>
      </c>
      <c r="D166" s="99">
        <v>45638</v>
      </c>
      <c r="E166" s="146" t="s">
        <v>783</v>
      </c>
      <c r="F166" s="99"/>
      <c r="G166" s="146" t="s">
        <v>1616</v>
      </c>
    </row>
    <row r="167" spans="1:7" customFormat="1" ht="14.25" hidden="1" customHeight="1">
      <c r="A167" s="238">
        <v>45635</v>
      </c>
      <c r="B167" s="238" t="s">
        <v>1198</v>
      </c>
      <c r="C167" s="142" t="s">
        <v>1617</v>
      </c>
      <c r="D167" s="99">
        <v>45638</v>
      </c>
      <c r="E167" s="146" t="s">
        <v>1366</v>
      </c>
      <c r="F167" s="99"/>
      <c r="G167" s="146" t="s">
        <v>1618</v>
      </c>
    </row>
    <row r="168" spans="1:7" customFormat="1" ht="14.25" hidden="1" customHeight="1">
      <c r="A168" s="238">
        <v>45636</v>
      </c>
      <c r="B168" s="238" t="s">
        <v>834</v>
      </c>
      <c r="C168" s="142" t="s">
        <v>1619</v>
      </c>
      <c r="D168" s="99">
        <v>45639</v>
      </c>
      <c r="E168" s="146" t="s">
        <v>82</v>
      </c>
      <c r="F168" s="99"/>
      <c r="G168" s="146" t="s">
        <v>1620</v>
      </c>
    </row>
    <row r="169" spans="1:7" customFormat="1" ht="14.25" hidden="1" customHeight="1">
      <c r="A169" s="238">
        <v>45636</v>
      </c>
      <c r="B169" s="238" t="s">
        <v>700</v>
      </c>
      <c r="C169" s="142" t="s">
        <v>1621</v>
      </c>
      <c r="D169" s="99" t="s">
        <v>672</v>
      </c>
      <c r="E169" s="146" t="s">
        <v>82</v>
      </c>
      <c r="F169" s="99"/>
      <c r="G169" s="146"/>
    </row>
    <row r="170" spans="1:7" customFormat="1" ht="14.25" hidden="1" customHeight="1">
      <c r="A170" s="238">
        <v>45636</v>
      </c>
      <c r="B170" s="238" t="s">
        <v>412</v>
      </c>
      <c r="C170" s="142" t="s">
        <v>1622</v>
      </c>
      <c r="D170" s="99">
        <v>45642</v>
      </c>
      <c r="E170" s="146" t="s">
        <v>82</v>
      </c>
      <c r="F170" s="99"/>
      <c r="G170" s="146"/>
    </row>
    <row r="171" spans="1:7" customFormat="1" ht="14.25" hidden="1" customHeight="1">
      <c r="A171" s="388">
        <v>45638</v>
      </c>
      <c r="B171" s="388" t="s">
        <v>126</v>
      </c>
      <c r="C171" s="380" t="s">
        <v>1623</v>
      </c>
      <c r="D171" s="99">
        <v>45639</v>
      </c>
      <c r="E171" s="146" t="s">
        <v>82</v>
      </c>
      <c r="F171" s="99"/>
      <c r="G171" s="146" t="s">
        <v>1624</v>
      </c>
    </row>
    <row r="172" spans="1:7" customFormat="1" ht="14.25" hidden="1" customHeight="1">
      <c r="A172" s="238">
        <v>45638</v>
      </c>
      <c r="B172" s="238" t="s">
        <v>229</v>
      </c>
      <c r="C172" s="142" t="s">
        <v>1625</v>
      </c>
      <c r="D172" s="99">
        <v>45639</v>
      </c>
      <c r="E172" s="146" t="s">
        <v>783</v>
      </c>
      <c r="F172" s="99"/>
      <c r="G172" s="146" t="s">
        <v>1626</v>
      </c>
    </row>
    <row r="173" spans="1:7" customFormat="1" ht="14.25" hidden="1" customHeight="1">
      <c r="A173" s="238">
        <v>45638</v>
      </c>
      <c r="B173" s="238" t="s">
        <v>289</v>
      </c>
      <c r="C173" s="142" t="s">
        <v>1627</v>
      </c>
      <c r="D173" s="99">
        <v>45643</v>
      </c>
      <c r="E173" s="146" t="s">
        <v>82</v>
      </c>
      <c r="F173" s="99"/>
      <c r="G173" s="146"/>
    </row>
    <row r="174" spans="1:7" customFormat="1" ht="14.25" hidden="1" customHeight="1">
      <c r="A174" s="238">
        <v>45639</v>
      </c>
      <c r="B174" s="238" t="s">
        <v>339</v>
      </c>
      <c r="C174" s="142" t="s">
        <v>1628</v>
      </c>
      <c r="D174" s="99">
        <v>45642</v>
      </c>
      <c r="E174" s="146" t="s">
        <v>783</v>
      </c>
      <c r="F174" s="99"/>
      <c r="G174" s="146" t="s">
        <v>1629</v>
      </c>
    </row>
    <row r="175" spans="1:7" customFormat="1" ht="14.25" hidden="1" customHeight="1">
      <c r="A175" s="238">
        <v>45642</v>
      </c>
      <c r="B175" s="238" t="s">
        <v>74</v>
      </c>
      <c r="C175" s="142" t="s">
        <v>1630</v>
      </c>
      <c r="D175" s="99">
        <v>45656</v>
      </c>
      <c r="E175" s="146" t="s">
        <v>783</v>
      </c>
      <c r="F175" s="99"/>
      <c r="G175" s="146" t="s">
        <v>1631</v>
      </c>
    </row>
    <row r="176" spans="1:7" customFormat="1" ht="14.25" hidden="1" customHeight="1">
      <c r="A176" s="238">
        <v>45642</v>
      </c>
      <c r="B176" s="238" t="s">
        <v>671</v>
      </c>
      <c r="C176" s="142" t="s">
        <v>1632</v>
      </c>
      <c r="D176" s="99">
        <v>45646</v>
      </c>
      <c r="E176" s="146" t="s">
        <v>82</v>
      </c>
      <c r="F176" s="99"/>
      <c r="G176" s="146"/>
    </row>
    <row r="177" spans="1:7" customFormat="1" ht="14.25" hidden="1" customHeight="1">
      <c r="A177" s="238">
        <v>45642</v>
      </c>
      <c r="B177" s="238" t="s">
        <v>671</v>
      </c>
      <c r="C177" s="142" t="s">
        <v>1633</v>
      </c>
      <c r="D177" s="99">
        <v>45646</v>
      </c>
      <c r="E177" s="146" t="s">
        <v>82</v>
      </c>
      <c r="F177" s="99"/>
      <c r="G177" s="146" t="s">
        <v>1634</v>
      </c>
    </row>
    <row r="178" spans="1:7" customFormat="1" ht="14.25" hidden="1" customHeight="1">
      <c r="A178" s="238">
        <v>45643</v>
      </c>
      <c r="B178" s="226" t="s">
        <v>1421</v>
      </c>
      <c r="C178" s="142" t="s">
        <v>1635</v>
      </c>
      <c r="D178" s="99">
        <v>45650</v>
      </c>
      <c r="E178" s="146" t="s">
        <v>82</v>
      </c>
      <c r="F178" s="99"/>
      <c r="G178" s="146" t="s">
        <v>1636</v>
      </c>
    </row>
    <row r="179" spans="1:7" customFormat="1" ht="14.25" hidden="1" customHeight="1">
      <c r="A179" s="238">
        <v>45645</v>
      </c>
      <c r="B179" s="238" t="s">
        <v>289</v>
      </c>
      <c r="C179" s="142" t="s">
        <v>1637</v>
      </c>
      <c r="D179" s="99" t="s">
        <v>672</v>
      </c>
      <c r="E179" s="146" t="s">
        <v>783</v>
      </c>
      <c r="F179" s="99"/>
      <c r="G179" s="146" t="s">
        <v>1638</v>
      </c>
    </row>
    <row r="180" spans="1:7" customFormat="1" ht="14.25" hidden="1" customHeight="1">
      <c r="A180" s="238">
        <v>45645</v>
      </c>
      <c r="B180" s="238" t="s">
        <v>289</v>
      </c>
      <c r="C180" s="142" t="s">
        <v>1639</v>
      </c>
      <c r="D180" s="99" t="s">
        <v>672</v>
      </c>
      <c r="E180" s="146" t="s">
        <v>783</v>
      </c>
      <c r="F180" s="99"/>
      <c r="G180" s="146" t="s">
        <v>1638</v>
      </c>
    </row>
    <row r="181" spans="1:7" customFormat="1" ht="14.25" hidden="1" customHeight="1">
      <c r="A181" s="238">
        <v>45645</v>
      </c>
      <c r="B181" s="238" t="s">
        <v>289</v>
      </c>
      <c r="C181" s="142" t="s">
        <v>1640</v>
      </c>
      <c r="D181" s="99" t="s">
        <v>672</v>
      </c>
      <c r="E181" s="146" t="s">
        <v>783</v>
      </c>
      <c r="F181" s="99"/>
      <c r="G181" s="146" t="s">
        <v>1638</v>
      </c>
    </row>
    <row r="182" spans="1:7" customFormat="1" ht="14.25" hidden="1" customHeight="1">
      <c r="A182" s="238">
        <v>45645</v>
      </c>
      <c r="B182" s="238" t="s">
        <v>700</v>
      </c>
      <c r="C182" s="142" t="s">
        <v>1641</v>
      </c>
      <c r="D182" s="99">
        <v>45659</v>
      </c>
      <c r="E182" s="146" t="s">
        <v>1366</v>
      </c>
      <c r="F182" s="99"/>
      <c r="G182" s="146" t="s">
        <v>1642</v>
      </c>
    </row>
    <row r="183" spans="1:7" customFormat="1" ht="14.25" hidden="1" customHeight="1">
      <c r="A183" s="238">
        <v>45645</v>
      </c>
      <c r="B183" s="238" t="s">
        <v>1384</v>
      </c>
      <c r="C183" s="142" t="s">
        <v>1643</v>
      </c>
      <c r="D183" s="778">
        <v>45643</v>
      </c>
      <c r="E183" s="779" t="s">
        <v>783</v>
      </c>
      <c r="F183" s="99"/>
      <c r="G183" s="146" t="s">
        <v>1642</v>
      </c>
    </row>
    <row r="184" spans="1:7" customFormat="1" ht="14.25" hidden="1" customHeight="1">
      <c r="A184" s="238">
        <v>45645</v>
      </c>
      <c r="B184" s="238" t="s">
        <v>1384</v>
      </c>
      <c r="C184" s="142" t="s">
        <v>1644</v>
      </c>
      <c r="D184" s="778">
        <v>45650</v>
      </c>
      <c r="E184" s="779" t="s">
        <v>783</v>
      </c>
      <c r="F184" s="99"/>
      <c r="G184" s="146" t="s">
        <v>1645</v>
      </c>
    </row>
    <row r="185" spans="1:7" customFormat="1" ht="14.25" hidden="1" customHeight="1">
      <c r="A185" s="238">
        <v>45645</v>
      </c>
      <c r="B185" s="238" t="s">
        <v>435</v>
      </c>
      <c r="C185" s="142" t="s">
        <v>1646</v>
      </c>
      <c r="D185" s="99">
        <v>45646</v>
      </c>
      <c r="E185" s="146" t="s">
        <v>1366</v>
      </c>
      <c r="F185" s="99"/>
      <c r="G185" s="146" t="s">
        <v>1647</v>
      </c>
    </row>
    <row r="186" spans="1:7" customFormat="1" ht="14.25" hidden="1" customHeight="1">
      <c r="A186" s="238">
        <v>45645</v>
      </c>
      <c r="B186" s="238" t="s">
        <v>435</v>
      </c>
      <c r="C186" s="142" t="s">
        <v>1648</v>
      </c>
      <c r="D186" s="99">
        <v>45646</v>
      </c>
      <c r="E186" s="146" t="s">
        <v>1366</v>
      </c>
      <c r="F186" s="99"/>
      <c r="G186" s="146" t="s">
        <v>1642</v>
      </c>
    </row>
    <row r="187" spans="1:7" customFormat="1" ht="14.25" hidden="1" customHeight="1">
      <c r="A187" s="238">
        <v>45646</v>
      </c>
      <c r="B187" s="238" t="s">
        <v>1391</v>
      </c>
      <c r="C187" s="142" t="s">
        <v>1649</v>
      </c>
      <c r="D187" s="99">
        <v>45650</v>
      </c>
      <c r="E187" s="146" t="s">
        <v>783</v>
      </c>
      <c r="F187" s="99"/>
      <c r="G187" s="146" t="s">
        <v>1650</v>
      </c>
    </row>
    <row r="188" spans="1:7" customFormat="1" ht="14.25" hidden="1" customHeight="1">
      <c r="A188" s="238">
        <v>45646</v>
      </c>
      <c r="B188" s="238" t="s">
        <v>339</v>
      </c>
      <c r="C188" s="142" t="s">
        <v>1651</v>
      </c>
      <c r="D188" s="99">
        <v>45649</v>
      </c>
      <c r="E188" s="146" t="s">
        <v>82</v>
      </c>
      <c r="F188" s="99"/>
      <c r="G188" s="146" t="s">
        <v>1652</v>
      </c>
    </row>
    <row r="189" spans="1:7" customFormat="1" ht="14.25" hidden="1" customHeight="1">
      <c r="A189" s="238">
        <v>45646</v>
      </c>
      <c r="B189" s="238" t="s">
        <v>352</v>
      </c>
      <c r="C189" s="142" t="s">
        <v>1653</v>
      </c>
      <c r="D189" s="99">
        <v>45657</v>
      </c>
      <c r="E189" s="146" t="s">
        <v>82</v>
      </c>
      <c r="F189" s="99"/>
      <c r="G189" s="146" t="s">
        <v>1654</v>
      </c>
    </row>
    <row r="190" spans="1:7" customFormat="1" ht="14.25" hidden="1" customHeight="1">
      <c r="A190" s="238">
        <v>45646</v>
      </c>
      <c r="B190" s="238" t="s">
        <v>352</v>
      </c>
      <c r="C190" s="142" t="s">
        <v>1655</v>
      </c>
      <c r="D190" s="99">
        <v>45657</v>
      </c>
      <c r="E190" s="146" t="s">
        <v>82</v>
      </c>
      <c r="F190" s="99"/>
      <c r="G190" s="146" t="s">
        <v>1654</v>
      </c>
    </row>
    <row r="191" spans="1:7" customFormat="1" ht="14.25" hidden="1" customHeight="1">
      <c r="A191" s="238">
        <v>45646</v>
      </c>
      <c r="B191" s="238" t="s">
        <v>435</v>
      </c>
      <c r="C191" s="142" t="s">
        <v>1656</v>
      </c>
      <c r="D191" s="99" t="s">
        <v>672</v>
      </c>
      <c r="E191" s="146" t="s">
        <v>82</v>
      </c>
      <c r="F191" s="99"/>
      <c r="G191" s="146" t="s">
        <v>1657</v>
      </c>
    </row>
    <row r="192" spans="1:7" customFormat="1" ht="14.25" hidden="1" customHeight="1">
      <c r="A192" s="238">
        <v>45649</v>
      </c>
      <c r="B192" s="238" t="s">
        <v>74</v>
      </c>
      <c r="C192" s="142" t="s">
        <v>1658</v>
      </c>
      <c r="D192" s="99">
        <v>45656</v>
      </c>
      <c r="E192" s="146" t="s">
        <v>82</v>
      </c>
      <c r="F192" s="99"/>
      <c r="G192" s="146" t="s">
        <v>1659</v>
      </c>
    </row>
    <row r="193" spans="1:7" customFormat="1" ht="14.25" hidden="1" customHeight="1">
      <c r="A193" s="238">
        <v>45649</v>
      </c>
      <c r="B193" s="238" t="s">
        <v>74</v>
      </c>
      <c r="C193" s="142" t="s">
        <v>1660</v>
      </c>
      <c r="D193" s="99">
        <v>45656</v>
      </c>
      <c r="E193" s="146" t="s">
        <v>82</v>
      </c>
      <c r="F193" s="99"/>
      <c r="G193" s="146" t="s">
        <v>1659</v>
      </c>
    </row>
    <row r="194" spans="1:7" customFormat="1" ht="14.25" hidden="1" customHeight="1">
      <c r="A194" s="238">
        <v>45649</v>
      </c>
      <c r="B194" s="238" t="s">
        <v>289</v>
      </c>
      <c r="C194" s="142" t="s">
        <v>1661</v>
      </c>
      <c r="D194" s="99">
        <v>45656</v>
      </c>
      <c r="E194" s="146" t="s">
        <v>82</v>
      </c>
      <c r="F194" s="99"/>
      <c r="G194" s="146" t="s">
        <v>1662</v>
      </c>
    </row>
    <row r="195" spans="1:7" customFormat="1" ht="14.25" hidden="1" customHeight="1">
      <c r="A195" s="238">
        <v>45649</v>
      </c>
      <c r="B195" s="238" t="s">
        <v>289</v>
      </c>
      <c r="C195" s="142" t="s">
        <v>1663</v>
      </c>
      <c r="D195" s="99">
        <v>45656</v>
      </c>
      <c r="E195" s="146" t="s">
        <v>82</v>
      </c>
      <c r="F195" s="99"/>
      <c r="G195" s="146" t="s">
        <v>1662</v>
      </c>
    </row>
    <row r="196" spans="1:7" customFormat="1" ht="14.25" hidden="1" customHeight="1">
      <c r="A196" s="238">
        <v>45649</v>
      </c>
      <c r="B196" s="238" t="s">
        <v>289</v>
      </c>
      <c r="C196" s="142" t="s">
        <v>1664</v>
      </c>
      <c r="D196" s="99">
        <v>45656</v>
      </c>
      <c r="E196" s="146" t="s">
        <v>82</v>
      </c>
      <c r="F196" s="99"/>
      <c r="G196" s="146" t="s">
        <v>1662</v>
      </c>
    </row>
    <row r="197" spans="1:7" customFormat="1" ht="14.25" hidden="1" customHeight="1">
      <c r="A197" s="238">
        <v>45649</v>
      </c>
      <c r="B197" s="238" t="s">
        <v>1665</v>
      </c>
      <c r="C197" s="142" t="s">
        <v>1666</v>
      </c>
      <c r="D197" s="778">
        <v>45653</v>
      </c>
      <c r="E197" s="779" t="s">
        <v>82</v>
      </c>
      <c r="F197" s="99"/>
      <c r="G197" s="146" t="s">
        <v>1667</v>
      </c>
    </row>
    <row r="198" spans="1:7" customFormat="1" ht="14.25" hidden="1" customHeight="1">
      <c r="A198" s="238">
        <v>45655</v>
      </c>
      <c r="B198" s="238" t="s">
        <v>830</v>
      </c>
      <c r="C198" s="142" t="s">
        <v>1668</v>
      </c>
      <c r="D198" s="99">
        <v>45656</v>
      </c>
      <c r="E198" s="146" t="s">
        <v>82</v>
      </c>
      <c r="F198" s="99"/>
      <c r="G198" s="146" t="s">
        <v>1669</v>
      </c>
    </row>
    <row r="199" spans="1:7" customFormat="1" ht="14.25" hidden="1" customHeight="1">
      <c r="A199" s="238">
        <v>45656</v>
      </c>
      <c r="B199" s="238" t="s">
        <v>1198</v>
      </c>
      <c r="C199" s="142" t="s">
        <v>1670</v>
      </c>
      <c r="D199" s="99" t="s">
        <v>672</v>
      </c>
      <c r="E199" s="146" t="s">
        <v>82</v>
      </c>
      <c r="F199" s="99"/>
      <c r="G199" s="146" t="s">
        <v>1671</v>
      </c>
    </row>
    <row r="200" spans="1:7" customFormat="1" ht="14.25" hidden="1" customHeight="1">
      <c r="A200" s="238">
        <v>45659</v>
      </c>
      <c r="B200" s="238" t="s">
        <v>435</v>
      </c>
      <c r="C200" s="142" t="s">
        <v>1672</v>
      </c>
      <c r="D200" s="99">
        <v>45661</v>
      </c>
      <c r="E200" s="146" t="s">
        <v>82</v>
      </c>
      <c r="F200" s="99"/>
      <c r="G200" s="146" t="s">
        <v>1673</v>
      </c>
    </row>
    <row r="201" spans="1:7" customFormat="1" ht="14.25" hidden="1" customHeight="1">
      <c r="A201" s="238">
        <v>45660</v>
      </c>
      <c r="B201" s="238" t="s">
        <v>1198</v>
      </c>
      <c r="C201" s="142" t="s">
        <v>1674</v>
      </c>
      <c r="D201" s="99">
        <v>45664</v>
      </c>
      <c r="E201" s="146" t="s">
        <v>1675</v>
      </c>
      <c r="F201" s="99"/>
      <c r="G201" s="146" t="s">
        <v>1676</v>
      </c>
    </row>
    <row r="202" spans="1:7" customFormat="1" ht="14.25" hidden="1" customHeight="1">
      <c r="A202" s="238">
        <v>45660</v>
      </c>
      <c r="B202" s="238" t="s">
        <v>1198</v>
      </c>
      <c r="C202" s="142" t="s">
        <v>1677</v>
      </c>
      <c r="D202" s="99">
        <v>45667</v>
      </c>
      <c r="E202" s="146" t="s">
        <v>783</v>
      </c>
      <c r="F202" s="99"/>
      <c r="G202" s="146" t="s">
        <v>1678</v>
      </c>
    </row>
    <row r="203" spans="1:7" customFormat="1" ht="14.25" hidden="1" customHeight="1">
      <c r="A203" s="238">
        <v>45660</v>
      </c>
      <c r="B203" s="238" t="s">
        <v>1198</v>
      </c>
      <c r="C203" s="142" t="s">
        <v>1679</v>
      </c>
      <c r="D203" s="99">
        <v>45667</v>
      </c>
      <c r="E203" s="146" t="s">
        <v>783</v>
      </c>
      <c r="F203" s="99"/>
      <c r="G203" s="146" t="s">
        <v>1678</v>
      </c>
    </row>
    <row r="204" spans="1:7" customFormat="1" ht="14.25" hidden="1" customHeight="1">
      <c r="A204" s="238">
        <v>45660</v>
      </c>
      <c r="B204" s="238" t="s">
        <v>293</v>
      </c>
      <c r="C204" s="142" t="s">
        <v>1680</v>
      </c>
      <c r="D204" s="99">
        <v>45664</v>
      </c>
      <c r="E204" s="146" t="s">
        <v>1675</v>
      </c>
      <c r="F204" s="99"/>
      <c r="G204" s="146" t="s">
        <v>1676</v>
      </c>
    </row>
    <row r="205" spans="1:7" customFormat="1" ht="14.25" hidden="1" customHeight="1">
      <c r="A205" s="238">
        <v>45660</v>
      </c>
      <c r="B205" s="238" t="s">
        <v>320</v>
      </c>
      <c r="C205" s="142" t="s">
        <v>1681</v>
      </c>
      <c r="D205" s="99" t="s">
        <v>672</v>
      </c>
      <c r="E205" s="146" t="s">
        <v>783</v>
      </c>
      <c r="F205" s="99"/>
      <c r="G205" s="146" t="s">
        <v>1682</v>
      </c>
    </row>
    <row r="206" spans="1:7" customFormat="1" ht="14.25" hidden="1" customHeight="1">
      <c r="A206" s="238">
        <v>45663</v>
      </c>
      <c r="B206" s="238" t="s">
        <v>293</v>
      </c>
      <c r="C206" s="142" t="s">
        <v>1683</v>
      </c>
      <c r="D206" s="99">
        <v>45665</v>
      </c>
      <c r="E206" s="146" t="s">
        <v>1675</v>
      </c>
      <c r="F206" s="99"/>
      <c r="G206" s="146" t="s">
        <v>1684</v>
      </c>
    </row>
    <row r="207" spans="1:7" customFormat="1" ht="14.25" hidden="1" customHeight="1">
      <c r="A207" s="238">
        <v>45664</v>
      </c>
      <c r="B207" s="238" t="s">
        <v>724</v>
      </c>
      <c r="C207" s="142" t="s">
        <v>1685</v>
      </c>
      <c r="D207" s="99">
        <v>45666</v>
      </c>
      <c r="E207" s="146" t="s">
        <v>783</v>
      </c>
      <c r="F207" s="99"/>
      <c r="G207" s="146" t="s">
        <v>1686</v>
      </c>
    </row>
    <row r="208" spans="1:7" customFormat="1" ht="14.25" hidden="1" customHeight="1">
      <c r="A208" s="238">
        <v>45665</v>
      </c>
      <c r="B208" s="238" t="s">
        <v>114</v>
      </c>
      <c r="C208" s="142" t="s">
        <v>1687</v>
      </c>
      <c r="D208" s="99">
        <v>45304</v>
      </c>
      <c r="E208" s="146" t="s">
        <v>783</v>
      </c>
      <c r="F208" s="99"/>
      <c r="G208" s="146" t="s">
        <v>1688</v>
      </c>
    </row>
    <row r="209" spans="1:7" customFormat="1" ht="14.25" hidden="1" customHeight="1">
      <c r="A209" s="238">
        <v>45665</v>
      </c>
      <c r="B209" s="238" t="s">
        <v>379</v>
      </c>
      <c r="C209" s="142" t="s">
        <v>1689</v>
      </c>
      <c r="D209" s="99">
        <v>45667</v>
      </c>
      <c r="E209" s="146" t="s">
        <v>1675</v>
      </c>
      <c r="F209" s="99"/>
      <c r="G209" s="146" t="s">
        <v>1690</v>
      </c>
    </row>
    <row r="210" spans="1:7" customFormat="1" ht="14.25" hidden="1" customHeight="1">
      <c r="A210" s="238">
        <v>45666</v>
      </c>
      <c r="B210" s="238" t="s">
        <v>1407</v>
      </c>
      <c r="C210" s="142" t="s">
        <v>1691</v>
      </c>
      <c r="D210" s="99">
        <v>45673</v>
      </c>
      <c r="E210" s="146" t="s">
        <v>82</v>
      </c>
      <c r="F210" s="99"/>
      <c r="G210" s="146" t="s">
        <v>1692</v>
      </c>
    </row>
    <row r="211" spans="1:7" customFormat="1" ht="14.25" hidden="1" customHeight="1">
      <c r="A211" s="238">
        <v>45666</v>
      </c>
      <c r="B211" s="238" t="s">
        <v>1407</v>
      </c>
      <c r="C211" s="142" t="s">
        <v>1693</v>
      </c>
      <c r="D211" s="99">
        <v>45673</v>
      </c>
      <c r="E211" s="146" t="s">
        <v>82</v>
      </c>
      <c r="F211" s="99"/>
      <c r="G211" s="146" t="s">
        <v>1694</v>
      </c>
    </row>
    <row r="212" spans="1:7" customFormat="1" ht="14.25" hidden="1" customHeight="1">
      <c r="A212" s="238">
        <v>45666</v>
      </c>
      <c r="B212" s="238" t="s">
        <v>1198</v>
      </c>
      <c r="C212" s="142" t="s">
        <v>1695</v>
      </c>
      <c r="D212" s="99">
        <v>45671</v>
      </c>
      <c r="E212" s="146" t="s">
        <v>783</v>
      </c>
      <c r="F212" s="99"/>
      <c r="G212" s="146" t="s">
        <v>1696</v>
      </c>
    </row>
    <row r="213" spans="1:7" customFormat="1" ht="14.25" hidden="1" customHeight="1">
      <c r="A213" s="238">
        <v>45666</v>
      </c>
      <c r="B213" s="238" t="s">
        <v>671</v>
      </c>
      <c r="C213" s="142" t="s">
        <v>1697</v>
      </c>
      <c r="D213" s="99">
        <v>45672</v>
      </c>
      <c r="E213" s="146" t="s">
        <v>783</v>
      </c>
      <c r="F213" s="99"/>
      <c r="G213" s="146" t="s">
        <v>1698</v>
      </c>
    </row>
    <row r="214" spans="1:7" customFormat="1" ht="14.25" hidden="1" customHeight="1">
      <c r="A214" s="238">
        <v>45666</v>
      </c>
      <c r="B214" s="238" t="s">
        <v>412</v>
      </c>
      <c r="C214" s="142" t="s">
        <v>1699</v>
      </c>
      <c r="D214" s="99">
        <v>45670</v>
      </c>
      <c r="E214" s="146" t="s">
        <v>783</v>
      </c>
      <c r="F214" s="99"/>
      <c r="G214" s="146" t="s">
        <v>1700</v>
      </c>
    </row>
    <row r="215" spans="1:7" customFormat="1" ht="14.25" hidden="1" customHeight="1">
      <c r="A215" s="238">
        <v>45666</v>
      </c>
      <c r="B215" s="238" t="s">
        <v>435</v>
      </c>
      <c r="C215" s="142" t="s">
        <v>1701</v>
      </c>
      <c r="D215" s="99">
        <v>45673</v>
      </c>
      <c r="E215" s="146" t="s">
        <v>82</v>
      </c>
      <c r="F215" s="99"/>
      <c r="G215" s="146" t="s">
        <v>1702</v>
      </c>
    </row>
    <row r="216" spans="1:7" customFormat="1" ht="14.25" hidden="1" customHeight="1">
      <c r="A216" s="238">
        <v>45667</v>
      </c>
      <c r="B216" s="238" t="s">
        <v>74</v>
      </c>
      <c r="C216" s="142" t="s">
        <v>1703</v>
      </c>
      <c r="D216" s="99">
        <v>45672</v>
      </c>
      <c r="E216" s="146" t="s">
        <v>783</v>
      </c>
      <c r="F216" s="99"/>
      <c r="G216" s="146" t="s">
        <v>1704</v>
      </c>
    </row>
    <row r="217" spans="1:7" customFormat="1" ht="14.25" hidden="1" customHeight="1">
      <c r="A217" s="238">
        <v>45670</v>
      </c>
      <c r="B217" s="238" t="s">
        <v>289</v>
      </c>
      <c r="C217" s="142" t="s">
        <v>1705</v>
      </c>
      <c r="D217" s="99">
        <v>45673</v>
      </c>
      <c r="E217" s="146" t="s">
        <v>783</v>
      </c>
      <c r="F217" s="99"/>
      <c r="G217" s="146" t="s">
        <v>1706</v>
      </c>
    </row>
    <row r="218" spans="1:7" customFormat="1" ht="14.25" hidden="1" customHeight="1">
      <c r="A218" s="238">
        <v>45670</v>
      </c>
      <c r="B218" s="238" t="s">
        <v>320</v>
      </c>
      <c r="C218" s="142" t="s">
        <v>1707</v>
      </c>
      <c r="D218" s="99">
        <v>45678</v>
      </c>
      <c r="E218" s="146" t="s">
        <v>1675</v>
      </c>
      <c r="F218" s="99"/>
      <c r="G218" s="146" t="s">
        <v>1708</v>
      </c>
    </row>
    <row r="219" spans="1:7" customFormat="1" ht="14.25" hidden="1" customHeight="1">
      <c r="A219" s="238">
        <v>45670</v>
      </c>
      <c r="B219" s="238" t="s">
        <v>343</v>
      </c>
      <c r="C219" s="142" t="s">
        <v>1709</v>
      </c>
      <c r="D219" s="99">
        <v>45674</v>
      </c>
      <c r="E219" s="146" t="s">
        <v>1675</v>
      </c>
      <c r="F219" s="99"/>
      <c r="G219" s="146" t="s">
        <v>1710</v>
      </c>
    </row>
    <row r="220" spans="1:7" customFormat="1" ht="14.25" hidden="1" customHeight="1">
      <c r="A220" s="238">
        <v>45670</v>
      </c>
      <c r="B220" s="238" t="s">
        <v>343</v>
      </c>
      <c r="C220" s="142" t="s">
        <v>1711</v>
      </c>
      <c r="D220" s="99">
        <v>45674</v>
      </c>
      <c r="E220" s="146" t="s">
        <v>783</v>
      </c>
      <c r="F220" s="99"/>
      <c r="G220" s="146" t="s">
        <v>1712</v>
      </c>
    </row>
    <row r="221" spans="1:7" customFormat="1" ht="14.25" hidden="1" customHeight="1">
      <c r="A221" s="238">
        <v>45670</v>
      </c>
      <c r="B221" s="238" t="s">
        <v>385</v>
      </c>
      <c r="C221" s="142" t="s">
        <v>1713</v>
      </c>
      <c r="D221" s="778">
        <v>45671</v>
      </c>
      <c r="E221" s="779" t="s">
        <v>783</v>
      </c>
      <c r="F221" s="99"/>
      <c r="G221" s="146" t="s">
        <v>1714</v>
      </c>
    </row>
    <row r="222" spans="1:7" customFormat="1" ht="14.25" hidden="1" customHeight="1">
      <c r="A222" s="238">
        <v>45670</v>
      </c>
      <c r="B222" s="238" t="s">
        <v>412</v>
      </c>
      <c r="C222" s="142" t="s">
        <v>1715</v>
      </c>
      <c r="D222" s="99">
        <v>45670</v>
      </c>
      <c r="E222" s="146" t="s">
        <v>783</v>
      </c>
      <c r="F222" s="99"/>
      <c r="G222" s="146" t="s">
        <v>1716</v>
      </c>
    </row>
    <row r="223" spans="1:7" customFormat="1" ht="14.25" hidden="1" customHeight="1">
      <c r="A223" s="238">
        <v>45671</v>
      </c>
      <c r="B223" s="238" t="s">
        <v>114</v>
      </c>
      <c r="C223" s="142" t="s">
        <v>1717</v>
      </c>
      <c r="D223" s="99">
        <v>45673</v>
      </c>
      <c r="E223" s="146" t="s">
        <v>783</v>
      </c>
      <c r="F223" s="99"/>
      <c r="G223" s="146" t="s">
        <v>1718</v>
      </c>
    </row>
    <row r="224" spans="1:7" customFormat="1" ht="14.25" hidden="1" customHeight="1">
      <c r="A224" s="238">
        <v>45671</v>
      </c>
      <c r="B224" s="238" t="s">
        <v>114</v>
      </c>
      <c r="C224" s="142" t="s">
        <v>1719</v>
      </c>
      <c r="D224" s="99">
        <v>45673</v>
      </c>
      <c r="E224" s="146" t="s">
        <v>783</v>
      </c>
      <c r="F224" s="99"/>
      <c r="G224" s="146" t="s">
        <v>1718</v>
      </c>
    </row>
    <row r="225" spans="1:7" customFormat="1" ht="14.25" hidden="1" customHeight="1">
      <c r="A225" s="238">
        <v>45671</v>
      </c>
      <c r="B225" s="238" t="s">
        <v>114</v>
      </c>
      <c r="C225" s="142" t="s">
        <v>1720</v>
      </c>
      <c r="D225" s="99">
        <v>45673</v>
      </c>
      <c r="E225" s="146" t="s">
        <v>783</v>
      </c>
      <c r="F225" s="99"/>
      <c r="G225" s="146" t="s">
        <v>1718</v>
      </c>
    </row>
    <row r="226" spans="1:7" customFormat="1" ht="14.25" hidden="1" customHeight="1">
      <c r="A226" s="238">
        <v>45671</v>
      </c>
      <c r="B226" s="238" t="s">
        <v>435</v>
      </c>
      <c r="C226" s="142" t="s">
        <v>1721</v>
      </c>
      <c r="D226" s="99">
        <v>45673</v>
      </c>
      <c r="E226" s="146" t="s">
        <v>82</v>
      </c>
      <c r="F226" s="99"/>
      <c r="G226" s="146" t="s">
        <v>1722</v>
      </c>
    </row>
    <row r="227" spans="1:7" customFormat="1" ht="14.25" hidden="1" customHeight="1">
      <c r="A227" s="238">
        <v>45672</v>
      </c>
      <c r="B227" s="238" t="s">
        <v>435</v>
      </c>
      <c r="C227" s="142" t="s">
        <v>1723</v>
      </c>
      <c r="D227" s="99">
        <v>45673</v>
      </c>
      <c r="E227" s="146" t="s">
        <v>82</v>
      </c>
      <c r="F227" s="99"/>
      <c r="G227" s="146" t="s">
        <v>1722</v>
      </c>
    </row>
    <row r="228" spans="1:7" customFormat="1" ht="14.25" hidden="1" customHeight="1">
      <c r="A228" s="238">
        <v>45673</v>
      </c>
      <c r="B228" s="238" t="s">
        <v>830</v>
      </c>
      <c r="C228" s="142" t="s">
        <v>1724</v>
      </c>
      <c r="D228" s="99">
        <v>45678</v>
      </c>
      <c r="E228" s="146" t="s">
        <v>783</v>
      </c>
      <c r="F228" s="99"/>
      <c r="G228" s="146" t="s">
        <v>1725</v>
      </c>
    </row>
    <row r="229" spans="1:7" customFormat="1" ht="14.25" hidden="1" customHeight="1">
      <c r="A229" s="238">
        <v>45674</v>
      </c>
      <c r="B229" s="238" t="s">
        <v>289</v>
      </c>
      <c r="C229" s="142" t="s">
        <v>1726</v>
      </c>
      <c r="D229" s="99">
        <v>45679</v>
      </c>
      <c r="E229" s="146" t="s">
        <v>783</v>
      </c>
      <c r="F229" s="99"/>
      <c r="G229" s="146" t="s">
        <v>1727</v>
      </c>
    </row>
    <row r="230" spans="1:7" customFormat="1" ht="14.25" hidden="1" customHeight="1">
      <c r="A230" s="238">
        <v>45674</v>
      </c>
      <c r="B230" s="238" t="s">
        <v>385</v>
      </c>
      <c r="C230" s="142" t="s">
        <v>1728</v>
      </c>
      <c r="D230" s="778">
        <v>45679</v>
      </c>
      <c r="E230" s="779" t="s">
        <v>82</v>
      </c>
      <c r="F230" s="99"/>
      <c r="G230" s="146" t="s">
        <v>1729</v>
      </c>
    </row>
    <row r="231" spans="1:7" customFormat="1" ht="14.25" hidden="1" customHeight="1">
      <c r="A231" s="238">
        <v>45679</v>
      </c>
      <c r="B231" s="238" t="s">
        <v>830</v>
      </c>
      <c r="C231" s="142" t="s">
        <v>1730</v>
      </c>
      <c r="D231" s="99">
        <v>45681</v>
      </c>
      <c r="E231" s="146" t="s">
        <v>783</v>
      </c>
      <c r="F231" s="99"/>
      <c r="G231" s="146" t="s">
        <v>1731</v>
      </c>
    </row>
    <row r="232" spans="1:7" customFormat="1" ht="14.25" hidden="1" customHeight="1">
      <c r="A232" s="238">
        <v>45679</v>
      </c>
      <c r="B232" s="238" t="s">
        <v>435</v>
      </c>
      <c r="C232" s="142" t="s">
        <v>1732</v>
      </c>
      <c r="D232" s="99">
        <v>45681</v>
      </c>
      <c r="E232" s="146" t="s">
        <v>82</v>
      </c>
      <c r="F232" s="99"/>
      <c r="G232" s="146" t="s">
        <v>1733</v>
      </c>
    </row>
    <row r="233" spans="1:7" customFormat="1" ht="14.25" hidden="1" customHeight="1">
      <c r="A233" s="238">
        <v>45680</v>
      </c>
      <c r="B233" s="238" t="s">
        <v>830</v>
      </c>
      <c r="C233" s="142" t="s">
        <v>1734</v>
      </c>
      <c r="D233" s="99">
        <v>45680</v>
      </c>
      <c r="E233" s="146" t="s">
        <v>783</v>
      </c>
      <c r="F233" s="99"/>
      <c r="G233" s="146" t="s">
        <v>1735</v>
      </c>
    </row>
    <row r="234" spans="1:7" customFormat="1" ht="14.25" hidden="1" customHeight="1">
      <c r="A234" s="238">
        <v>45680</v>
      </c>
      <c r="B234" s="238" t="s">
        <v>149</v>
      </c>
      <c r="C234" s="142" t="s">
        <v>1736</v>
      </c>
      <c r="D234" s="99">
        <v>45682</v>
      </c>
      <c r="E234" s="146" t="s">
        <v>82</v>
      </c>
      <c r="F234" s="99"/>
      <c r="G234" s="146" t="s">
        <v>1737</v>
      </c>
    </row>
    <row r="235" spans="1:7" customFormat="1" ht="14.25" hidden="1" customHeight="1">
      <c r="A235" s="238">
        <v>45680</v>
      </c>
      <c r="B235" s="238" t="s">
        <v>614</v>
      </c>
      <c r="C235" s="142" t="s">
        <v>1738</v>
      </c>
      <c r="D235" s="99" t="s">
        <v>672</v>
      </c>
      <c r="E235" s="146" t="s">
        <v>1675</v>
      </c>
      <c r="F235" s="99"/>
      <c r="G235" s="146" t="s">
        <v>1739</v>
      </c>
    </row>
    <row r="236" spans="1:7" customFormat="1" ht="14.25" hidden="1" customHeight="1">
      <c r="A236" s="238">
        <v>45680</v>
      </c>
      <c r="B236" s="238" t="s">
        <v>320</v>
      </c>
      <c r="C236" s="142" t="s">
        <v>1740</v>
      </c>
      <c r="D236" s="99">
        <v>45686</v>
      </c>
      <c r="E236" s="146" t="s">
        <v>783</v>
      </c>
      <c r="F236" s="99"/>
      <c r="G236" s="146" t="s">
        <v>1741</v>
      </c>
    </row>
    <row r="237" spans="1:7" customFormat="1" ht="14.25" hidden="1" customHeight="1">
      <c r="A237" s="238">
        <v>45680</v>
      </c>
      <c r="B237" s="238" t="s">
        <v>364</v>
      </c>
      <c r="C237" s="142" t="s">
        <v>1742</v>
      </c>
      <c r="D237" s="99">
        <v>45684</v>
      </c>
      <c r="E237" s="146" t="s">
        <v>82</v>
      </c>
      <c r="F237" s="99"/>
      <c r="G237" s="146" t="s">
        <v>1743</v>
      </c>
    </row>
    <row r="238" spans="1:7" customFormat="1" ht="14.25" hidden="1" customHeight="1">
      <c r="A238" s="238">
        <v>45681</v>
      </c>
      <c r="B238" s="238" t="s">
        <v>133</v>
      </c>
      <c r="C238" s="142" t="s">
        <v>1744</v>
      </c>
      <c r="D238" s="99">
        <v>45688</v>
      </c>
      <c r="E238" s="146" t="s">
        <v>783</v>
      </c>
      <c r="F238" s="99"/>
      <c r="G238" s="146" t="s">
        <v>1745</v>
      </c>
    </row>
    <row r="239" spans="1:7" customFormat="1" ht="14.25" hidden="1" customHeight="1">
      <c r="A239" s="238">
        <v>45681</v>
      </c>
      <c r="B239" s="238" t="s">
        <v>293</v>
      </c>
      <c r="C239" s="142" t="s">
        <v>1746</v>
      </c>
      <c r="D239" s="99">
        <v>45688</v>
      </c>
      <c r="E239" s="146" t="s">
        <v>783</v>
      </c>
      <c r="F239" s="99"/>
      <c r="G239" s="146" t="s">
        <v>1747</v>
      </c>
    </row>
    <row r="240" spans="1:7" customFormat="1" ht="14.25" hidden="1" customHeight="1">
      <c r="A240" s="238">
        <v>45687</v>
      </c>
      <c r="B240" s="238" t="s">
        <v>1748</v>
      </c>
      <c r="C240" s="142" t="s">
        <v>1749</v>
      </c>
      <c r="D240" s="99">
        <v>45694</v>
      </c>
      <c r="E240" s="146" t="s">
        <v>783</v>
      </c>
      <c r="F240" s="99"/>
      <c r="G240" s="146" t="s">
        <v>1750</v>
      </c>
    </row>
    <row r="241" spans="1:7" customFormat="1" ht="14.25" hidden="1" customHeight="1">
      <c r="A241" s="238">
        <v>45687</v>
      </c>
      <c r="B241" s="238" t="s">
        <v>1665</v>
      </c>
      <c r="C241" s="142" t="s">
        <v>1751</v>
      </c>
      <c r="D241" s="778">
        <v>45692</v>
      </c>
      <c r="E241" s="779" t="s">
        <v>783</v>
      </c>
      <c r="F241" s="99"/>
      <c r="G241" s="146" t="s">
        <v>1752</v>
      </c>
    </row>
    <row r="242" spans="1:7" customFormat="1" ht="14.25" hidden="1" customHeight="1">
      <c r="A242" s="238">
        <v>45688</v>
      </c>
      <c r="B242" s="238" t="s">
        <v>289</v>
      </c>
      <c r="C242" s="142" t="s">
        <v>1753</v>
      </c>
      <c r="D242" s="99">
        <v>45695</v>
      </c>
      <c r="E242" s="146" t="s">
        <v>783</v>
      </c>
      <c r="F242" s="99"/>
      <c r="G242" s="146" t="s">
        <v>1754</v>
      </c>
    </row>
    <row r="243" spans="1:7" customFormat="1" ht="14.25" hidden="1" customHeight="1">
      <c r="A243" s="238">
        <v>45688</v>
      </c>
      <c r="B243" s="238" t="s">
        <v>289</v>
      </c>
      <c r="C243" s="142" t="s">
        <v>1755</v>
      </c>
      <c r="D243" s="99">
        <v>45695</v>
      </c>
      <c r="E243" s="146" t="s">
        <v>783</v>
      </c>
      <c r="F243" s="99"/>
      <c r="G243" s="146" t="s">
        <v>1754</v>
      </c>
    </row>
    <row r="244" spans="1:7" customFormat="1" ht="14.25" hidden="1" customHeight="1">
      <c r="A244" s="238">
        <v>45691</v>
      </c>
      <c r="B244" s="238" t="s">
        <v>343</v>
      </c>
      <c r="C244" s="142" t="s">
        <v>1756</v>
      </c>
      <c r="D244" s="99">
        <v>45695</v>
      </c>
      <c r="E244" s="146" t="s">
        <v>783</v>
      </c>
      <c r="F244" s="99"/>
      <c r="G244" s="146" t="s">
        <v>1757</v>
      </c>
    </row>
    <row r="245" spans="1:7" customFormat="1" ht="14.25" hidden="1" customHeight="1">
      <c r="A245" s="238">
        <v>45692</v>
      </c>
      <c r="B245" s="238" t="s">
        <v>1758</v>
      </c>
      <c r="C245" s="142" t="s">
        <v>1759</v>
      </c>
      <c r="D245" s="99">
        <v>45699</v>
      </c>
      <c r="E245" s="146" t="s">
        <v>783</v>
      </c>
      <c r="F245" s="99"/>
      <c r="G245" s="146" t="s">
        <v>1760</v>
      </c>
    </row>
    <row r="246" spans="1:7" customFormat="1" ht="14.25" hidden="1" customHeight="1">
      <c r="A246" s="238">
        <v>45692</v>
      </c>
      <c r="B246" s="238" t="s">
        <v>1198</v>
      </c>
      <c r="C246" s="142" t="s">
        <v>1761</v>
      </c>
      <c r="D246" s="99">
        <v>45706</v>
      </c>
      <c r="E246" s="146" t="s">
        <v>783</v>
      </c>
      <c r="F246" s="99"/>
      <c r="G246" s="146" t="s">
        <v>1760</v>
      </c>
    </row>
    <row r="247" spans="1:7" customFormat="1" ht="14.25" hidden="1" customHeight="1">
      <c r="A247" s="238">
        <v>45693</v>
      </c>
      <c r="B247" s="238" t="s">
        <v>293</v>
      </c>
      <c r="C247" s="142" t="s">
        <v>1762</v>
      </c>
      <c r="D247" s="99">
        <v>45694</v>
      </c>
      <c r="E247" s="146" t="s">
        <v>783</v>
      </c>
      <c r="F247" s="99"/>
      <c r="G247" s="146" t="s">
        <v>1763</v>
      </c>
    </row>
    <row r="248" spans="1:7" customFormat="1" ht="14.25" hidden="1" customHeight="1">
      <c r="A248" s="238">
        <v>45694</v>
      </c>
      <c r="B248" s="238" t="s">
        <v>343</v>
      </c>
      <c r="C248" s="142" t="s">
        <v>1711</v>
      </c>
      <c r="D248" s="99">
        <v>45699</v>
      </c>
      <c r="E248" s="146" t="s">
        <v>783</v>
      </c>
      <c r="F248" s="99"/>
      <c r="G248" s="146" t="s">
        <v>1764</v>
      </c>
    </row>
    <row r="249" spans="1:7" customFormat="1" ht="14.25" hidden="1" customHeight="1">
      <c r="A249" s="238">
        <v>45695</v>
      </c>
      <c r="B249" s="238" t="s">
        <v>796</v>
      </c>
      <c r="C249" s="142" t="s">
        <v>1765</v>
      </c>
      <c r="D249" s="99">
        <v>45702</v>
      </c>
      <c r="E249" s="146" t="s">
        <v>82</v>
      </c>
      <c r="F249" s="99"/>
      <c r="G249" s="146" t="s">
        <v>1766</v>
      </c>
    </row>
    <row r="250" spans="1:7" customFormat="1" ht="14.25" hidden="1" customHeight="1">
      <c r="A250" s="238">
        <v>45695</v>
      </c>
      <c r="B250" s="238" t="s">
        <v>229</v>
      </c>
      <c r="C250" s="142" t="s">
        <v>1767</v>
      </c>
      <c r="D250" s="99" t="s">
        <v>672</v>
      </c>
      <c r="E250" s="146" t="s">
        <v>783</v>
      </c>
      <c r="F250" s="99"/>
      <c r="G250" s="146" t="s">
        <v>1768</v>
      </c>
    </row>
    <row r="251" spans="1:7" customFormat="1" ht="14.25" hidden="1" customHeight="1">
      <c r="A251" s="238">
        <v>45695</v>
      </c>
      <c r="B251" s="238" t="s">
        <v>289</v>
      </c>
      <c r="C251" s="142" t="s">
        <v>1769</v>
      </c>
      <c r="D251" s="99">
        <v>45700</v>
      </c>
      <c r="E251" s="146" t="s">
        <v>783</v>
      </c>
      <c r="F251" s="99"/>
      <c r="G251" s="146" t="s">
        <v>1770</v>
      </c>
    </row>
    <row r="252" spans="1:7" customFormat="1" ht="14.25" hidden="1" customHeight="1">
      <c r="A252" s="238">
        <v>45698</v>
      </c>
      <c r="B252" s="238" t="s">
        <v>320</v>
      </c>
      <c r="C252" s="142" t="s">
        <v>1771</v>
      </c>
      <c r="D252" s="99">
        <v>45705</v>
      </c>
      <c r="E252" s="146" t="s">
        <v>783</v>
      </c>
      <c r="F252" s="99"/>
      <c r="G252" s="146" t="s">
        <v>1772</v>
      </c>
    </row>
    <row r="253" spans="1:7" customFormat="1" ht="14.25" hidden="1" customHeight="1">
      <c r="A253" s="238">
        <v>45698</v>
      </c>
      <c r="B253" s="238" t="s">
        <v>1384</v>
      </c>
      <c r="C253" s="142" t="s">
        <v>1773</v>
      </c>
      <c r="D253" s="778">
        <v>45705</v>
      </c>
      <c r="E253" s="779" t="s">
        <v>783</v>
      </c>
      <c r="F253" s="99"/>
      <c r="G253" s="146" t="s">
        <v>1774</v>
      </c>
    </row>
    <row r="254" spans="1:7" customFormat="1" ht="14.25" hidden="1" customHeight="1">
      <c r="A254" s="238">
        <v>45698</v>
      </c>
      <c r="B254" s="238" t="s">
        <v>1384</v>
      </c>
      <c r="C254" s="142" t="s">
        <v>1775</v>
      </c>
      <c r="D254" s="778">
        <v>45705</v>
      </c>
      <c r="E254" s="779" t="s">
        <v>783</v>
      </c>
      <c r="F254" s="99"/>
      <c r="G254" s="146" t="s">
        <v>1776</v>
      </c>
    </row>
    <row r="255" spans="1:7" customFormat="1" ht="14.25" hidden="1" customHeight="1">
      <c r="A255" s="238">
        <v>45698</v>
      </c>
      <c r="B255" s="238" t="s">
        <v>1384</v>
      </c>
      <c r="C255" s="142" t="s">
        <v>1777</v>
      </c>
      <c r="D255" s="778">
        <v>45705</v>
      </c>
      <c r="E255" s="779" t="s">
        <v>783</v>
      </c>
      <c r="F255" s="99"/>
      <c r="G255" s="146" t="s">
        <v>1774</v>
      </c>
    </row>
    <row r="256" spans="1:7" customFormat="1" ht="14.25" hidden="1" customHeight="1">
      <c r="A256" s="238">
        <v>45698</v>
      </c>
      <c r="B256" s="238" t="s">
        <v>385</v>
      </c>
      <c r="C256" s="142" t="s">
        <v>1778</v>
      </c>
      <c r="D256" s="778">
        <v>45701</v>
      </c>
      <c r="E256" s="779" t="s">
        <v>783</v>
      </c>
      <c r="F256" s="99"/>
      <c r="G256" s="146" t="s">
        <v>1779</v>
      </c>
    </row>
    <row r="257" spans="1:7" customFormat="1" ht="14.25" hidden="1" customHeight="1">
      <c r="A257" s="238">
        <v>45699</v>
      </c>
      <c r="B257" s="238" t="s">
        <v>834</v>
      </c>
      <c r="C257" s="142" t="s">
        <v>1780</v>
      </c>
      <c r="D257" s="99">
        <v>45706</v>
      </c>
      <c r="E257" s="146" t="s">
        <v>783</v>
      </c>
      <c r="F257" s="99"/>
      <c r="G257" s="146" t="s">
        <v>1781</v>
      </c>
    </row>
    <row r="258" spans="1:7" customFormat="1" ht="14.25" hidden="1" customHeight="1">
      <c r="A258" s="238">
        <v>45700</v>
      </c>
      <c r="B258" s="381" t="s">
        <v>133</v>
      </c>
      <c r="C258" s="142" t="s">
        <v>1782</v>
      </c>
      <c r="D258" s="99">
        <v>45708</v>
      </c>
      <c r="E258" s="146" t="s">
        <v>82</v>
      </c>
      <c r="F258" s="99"/>
      <c r="G258" s="146" t="s">
        <v>1783</v>
      </c>
    </row>
    <row r="259" spans="1:7" ht="14.25" hidden="1" customHeight="1">
      <c r="A259" s="388">
        <v>45700</v>
      </c>
      <c r="B259" s="388" t="s">
        <v>1314</v>
      </c>
      <c r="C259" s="380" t="s">
        <v>1784</v>
      </c>
      <c r="D259" s="486">
        <v>45706</v>
      </c>
      <c r="E259" s="473" t="s">
        <v>82</v>
      </c>
      <c r="F259" s="496"/>
      <c r="G259" s="487" t="s">
        <v>1785</v>
      </c>
    </row>
    <row r="260" spans="1:7" ht="14.25" hidden="1" customHeight="1">
      <c r="A260" s="388">
        <v>45700</v>
      </c>
      <c r="B260" s="388" t="s">
        <v>1314</v>
      </c>
      <c r="C260" s="380" t="s">
        <v>1786</v>
      </c>
      <c r="D260" s="486">
        <v>45706</v>
      </c>
      <c r="E260" s="473" t="s">
        <v>82</v>
      </c>
      <c r="F260" s="496"/>
      <c r="G260" s="487" t="s">
        <v>1785</v>
      </c>
    </row>
    <row r="261" spans="1:7" ht="14.25" hidden="1" customHeight="1">
      <c r="A261" s="388">
        <v>45700</v>
      </c>
      <c r="B261" s="388" t="s">
        <v>1314</v>
      </c>
      <c r="C261" s="380" t="s">
        <v>1787</v>
      </c>
      <c r="D261" s="486">
        <v>45706</v>
      </c>
      <c r="E261" s="473" t="s">
        <v>82</v>
      </c>
      <c r="F261" s="496"/>
      <c r="G261" s="487" t="s">
        <v>1785</v>
      </c>
    </row>
    <row r="262" spans="1:7" customFormat="1" ht="14.25" hidden="1" customHeight="1">
      <c r="A262" s="238">
        <v>45700</v>
      </c>
      <c r="B262" s="238" t="s">
        <v>349</v>
      </c>
      <c r="C262" s="142" t="s">
        <v>1788</v>
      </c>
      <c r="D262" s="99">
        <v>45707</v>
      </c>
      <c r="E262" s="146" t="s">
        <v>783</v>
      </c>
      <c r="F262" s="99"/>
      <c r="G262" s="146" t="s">
        <v>1789</v>
      </c>
    </row>
    <row r="263" spans="1:7" customFormat="1" ht="14.25" hidden="1" customHeight="1">
      <c r="A263" s="238">
        <v>45700</v>
      </c>
      <c r="B263" s="239" t="s">
        <v>1421</v>
      </c>
      <c r="C263" s="142" t="s">
        <v>1790</v>
      </c>
      <c r="D263" s="99">
        <v>45706</v>
      </c>
      <c r="E263" s="146" t="s">
        <v>82</v>
      </c>
      <c r="F263" s="99"/>
      <c r="G263" s="146" t="s">
        <v>1791</v>
      </c>
    </row>
    <row r="264" spans="1:7" customFormat="1" ht="14.25" hidden="1" customHeight="1">
      <c r="A264" s="238">
        <v>45702</v>
      </c>
      <c r="B264" s="238" t="s">
        <v>121</v>
      </c>
      <c r="C264" s="142" t="s">
        <v>1792</v>
      </c>
      <c r="D264" s="99">
        <v>45706</v>
      </c>
      <c r="E264" s="146" t="s">
        <v>783</v>
      </c>
      <c r="F264" s="99"/>
      <c r="G264" s="146" t="s">
        <v>1793</v>
      </c>
    </row>
    <row r="265" spans="1:7" customFormat="1" ht="14.25" hidden="1" customHeight="1">
      <c r="A265" s="238">
        <v>45705</v>
      </c>
      <c r="B265" s="238" t="s">
        <v>385</v>
      </c>
      <c r="C265" s="142" t="s">
        <v>1794</v>
      </c>
      <c r="D265" s="778">
        <v>45707</v>
      </c>
      <c r="E265" s="779" t="s">
        <v>82</v>
      </c>
      <c r="F265" s="99"/>
      <c r="G265" s="146" t="s">
        <v>1783</v>
      </c>
    </row>
    <row r="266" spans="1:7" customFormat="1" ht="14.25" hidden="1" customHeight="1">
      <c r="A266" s="238">
        <v>45707</v>
      </c>
      <c r="B266" s="238" t="s">
        <v>74</v>
      </c>
      <c r="C266" s="142" t="s">
        <v>1795</v>
      </c>
      <c r="D266" s="99">
        <v>45714</v>
      </c>
      <c r="E266" s="146" t="s">
        <v>82</v>
      </c>
      <c r="F266" s="99"/>
      <c r="G266" s="146" t="s">
        <v>1796</v>
      </c>
    </row>
    <row r="267" spans="1:7" customFormat="1" ht="14.25" hidden="1" customHeight="1">
      <c r="A267" s="238">
        <v>45707</v>
      </c>
      <c r="B267" s="238" t="s">
        <v>74</v>
      </c>
      <c r="C267" s="142" t="s">
        <v>1797</v>
      </c>
      <c r="D267" s="99">
        <v>45714</v>
      </c>
      <c r="E267" s="146" t="s">
        <v>82</v>
      </c>
      <c r="F267" s="99"/>
      <c r="G267" s="146" t="s">
        <v>1798</v>
      </c>
    </row>
    <row r="268" spans="1:7" customFormat="1" ht="14.25" hidden="1" customHeight="1">
      <c r="A268" s="238">
        <v>45707</v>
      </c>
      <c r="B268" s="238" t="s">
        <v>133</v>
      </c>
      <c r="C268" s="142" t="s">
        <v>1799</v>
      </c>
      <c r="D268" s="99">
        <v>45713</v>
      </c>
      <c r="E268" s="146" t="s">
        <v>82</v>
      </c>
      <c r="F268" s="99"/>
      <c r="G268" s="146" t="s">
        <v>1800</v>
      </c>
    </row>
    <row r="269" spans="1:7" customFormat="1" ht="14.25" hidden="1" customHeight="1">
      <c r="A269" s="238">
        <v>45707</v>
      </c>
      <c r="B269" s="238" t="s">
        <v>714</v>
      </c>
      <c r="C269" s="142" t="s">
        <v>1801</v>
      </c>
      <c r="D269" s="99">
        <v>45709</v>
      </c>
      <c r="E269" s="146" t="s">
        <v>82</v>
      </c>
      <c r="F269" s="99"/>
      <c r="G269" s="146" t="s">
        <v>1798</v>
      </c>
    </row>
    <row r="270" spans="1:7" customFormat="1" ht="14.25" hidden="1" customHeight="1">
      <c r="A270" s="238">
        <v>45707</v>
      </c>
      <c r="B270" s="238" t="s">
        <v>435</v>
      </c>
      <c r="C270" s="142" t="s">
        <v>1802</v>
      </c>
      <c r="D270" s="99">
        <v>45714</v>
      </c>
      <c r="E270" s="146" t="s">
        <v>82</v>
      </c>
      <c r="F270" s="99"/>
      <c r="G270" s="146" t="s">
        <v>1798</v>
      </c>
    </row>
    <row r="271" spans="1:7" customFormat="1" ht="14.25" hidden="1" customHeight="1">
      <c r="A271" s="238">
        <v>45708</v>
      </c>
      <c r="B271" s="238" t="s">
        <v>281</v>
      </c>
      <c r="C271" s="142" t="s">
        <v>1803</v>
      </c>
      <c r="D271" s="99">
        <v>45715</v>
      </c>
      <c r="E271" s="146" t="s">
        <v>82</v>
      </c>
      <c r="F271" s="99"/>
      <c r="G271" s="146" t="s">
        <v>1804</v>
      </c>
    </row>
    <row r="272" spans="1:7" customFormat="1" ht="14.25" hidden="1" customHeight="1">
      <c r="A272" s="238">
        <v>45709</v>
      </c>
      <c r="B272" s="238" t="s">
        <v>700</v>
      </c>
      <c r="C272" s="142" t="s">
        <v>1805</v>
      </c>
      <c r="D272" s="99">
        <v>45716</v>
      </c>
      <c r="E272" s="146" t="s">
        <v>783</v>
      </c>
      <c r="F272" s="99"/>
      <c r="G272" s="146"/>
    </row>
    <row r="273" spans="1:7" customFormat="1" ht="14.25" hidden="1" customHeight="1">
      <c r="A273" s="238">
        <v>45712</v>
      </c>
      <c r="B273" s="238" t="s">
        <v>417</v>
      </c>
      <c r="C273" s="142" t="s">
        <v>1806</v>
      </c>
      <c r="D273" s="99">
        <v>45714</v>
      </c>
      <c r="E273" s="146" t="s">
        <v>783</v>
      </c>
      <c r="F273" s="99"/>
      <c r="G273" s="146" t="s">
        <v>1807</v>
      </c>
    </row>
    <row r="274" spans="1:7" customFormat="1" ht="14.25" hidden="1" customHeight="1">
      <c r="A274" s="238">
        <v>45714</v>
      </c>
      <c r="B274" s="238" t="s">
        <v>114</v>
      </c>
      <c r="C274" s="142" t="s">
        <v>1808</v>
      </c>
      <c r="D274" s="99">
        <v>45721</v>
      </c>
      <c r="E274" s="146" t="s">
        <v>783</v>
      </c>
      <c r="F274" s="99"/>
      <c r="G274" s="146" t="s">
        <v>1809</v>
      </c>
    </row>
    <row r="275" spans="1:7" customFormat="1" ht="14.25" hidden="1" customHeight="1">
      <c r="A275" s="238">
        <v>45715</v>
      </c>
      <c r="B275" s="238" t="s">
        <v>293</v>
      </c>
      <c r="C275" s="142" t="s">
        <v>1810</v>
      </c>
      <c r="D275" s="99">
        <v>45716</v>
      </c>
      <c r="E275" s="146" t="s">
        <v>783</v>
      </c>
      <c r="F275" s="99"/>
      <c r="G275" s="146" t="s">
        <v>1811</v>
      </c>
    </row>
    <row r="276" spans="1:7" customFormat="1" ht="14.25" hidden="1" customHeight="1">
      <c r="A276" s="238">
        <v>45716</v>
      </c>
      <c r="B276" s="238" t="s">
        <v>1812</v>
      </c>
      <c r="C276" s="142" t="s">
        <v>1813</v>
      </c>
      <c r="D276" s="99">
        <v>45720</v>
      </c>
      <c r="E276" s="146" t="s">
        <v>783</v>
      </c>
      <c r="F276" s="99"/>
      <c r="G276" s="146" t="s">
        <v>1814</v>
      </c>
    </row>
    <row r="277" spans="1:7" customFormat="1" ht="14.25" hidden="1" customHeight="1">
      <c r="A277" s="238">
        <v>45718</v>
      </c>
      <c r="B277" s="238" t="s">
        <v>281</v>
      </c>
      <c r="C277" s="142" t="s">
        <v>1815</v>
      </c>
      <c r="D277" s="99">
        <v>45720</v>
      </c>
      <c r="E277" s="146" t="s">
        <v>783</v>
      </c>
      <c r="F277" s="99"/>
      <c r="G277" s="146" t="s">
        <v>1816</v>
      </c>
    </row>
    <row r="278" spans="1:7" customFormat="1" ht="14.25" hidden="1" customHeight="1">
      <c r="A278" s="238">
        <v>45718</v>
      </c>
      <c r="B278" s="238" t="s">
        <v>281</v>
      </c>
      <c r="C278" s="142" t="s">
        <v>1817</v>
      </c>
      <c r="D278" s="99">
        <v>45720</v>
      </c>
      <c r="E278" s="146" t="s">
        <v>783</v>
      </c>
      <c r="F278" s="99"/>
      <c r="G278" s="146" t="s">
        <v>1816</v>
      </c>
    </row>
    <row r="279" spans="1:7" customFormat="1" ht="14.25" hidden="1" customHeight="1">
      <c r="A279" s="238">
        <v>45719</v>
      </c>
      <c r="B279" s="238" t="s">
        <v>320</v>
      </c>
      <c r="C279" s="142" t="s">
        <v>1818</v>
      </c>
      <c r="D279" s="99">
        <v>45721</v>
      </c>
      <c r="E279" s="146" t="s">
        <v>783</v>
      </c>
      <c r="F279" s="99"/>
      <c r="G279" s="146" t="s">
        <v>1819</v>
      </c>
    </row>
    <row r="280" spans="1:7" customFormat="1" ht="14.25" hidden="1" customHeight="1">
      <c r="A280" s="238">
        <v>45720</v>
      </c>
      <c r="B280" s="238" t="s">
        <v>364</v>
      </c>
      <c r="C280" s="142" t="s">
        <v>1820</v>
      </c>
      <c r="D280" s="99">
        <v>45722</v>
      </c>
      <c r="E280" s="146" t="s">
        <v>783</v>
      </c>
      <c r="F280" s="99"/>
      <c r="G280" s="146" t="s">
        <v>1821</v>
      </c>
    </row>
    <row r="281" spans="1:7" customFormat="1" ht="14.25" hidden="1" customHeight="1">
      <c r="A281" s="238">
        <v>45720</v>
      </c>
      <c r="B281" s="238" t="s">
        <v>379</v>
      </c>
      <c r="C281" s="142" t="s">
        <v>1822</v>
      </c>
      <c r="D281" s="99">
        <v>45726</v>
      </c>
      <c r="E281" s="146" t="s">
        <v>783</v>
      </c>
      <c r="F281" s="99"/>
      <c r="G281" s="146" t="s">
        <v>1823</v>
      </c>
    </row>
    <row r="282" spans="1:7" customFormat="1" ht="14.25" hidden="1" customHeight="1">
      <c r="A282" s="238">
        <v>45720</v>
      </c>
      <c r="B282" s="238" t="s">
        <v>379</v>
      </c>
      <c r="C282" s="142" t="s">
        <v>1824</v>
      </c>
      <c r="D282" s="99">
        <v>45723</v>
      </c>
      <c r="E282" s="146" t="s">
        <v>783</v>
      </c>
      <c r="F282" s="99"/>
      <c r="G282" s="146" t="s">
        <v>1682</v>
      </c>
    </row>
    <row r="283" spans="1:7" customFormat="1" ht="14.25" hidden="1" customHeight="1">
      <c r="A283" s="238">
        <v>45720</v>
      </c>
      <c r="B283" s="238" t="s">
        <v>385</v>
      </c>
      <c r="C283" s="142" t="s">
        <v>1825</v>
      </c>
      <c r="D283" s="778">
        <v>45726</v>
      </c>
      <c r="E283" s="779" t="s">
        <v>783</v>
      </c>
      <c r="F283" s="99"/>
      <c r="G283" s="146" t="s">
        <v>1826</v>
      </c>
    </row>
    <row r="284" spans="1:7" customFormat="1" ht="14.25" hidden="1" customHeight="1">
      <c r="A284" s="238">
        <v>45721</v>
      </c>
      <c r="B284" s="238" t="s">
        <v>1391</v>
      </c>
      <c r="C284" s="142" t="s">
        <v>1827</v>
      </c>
      <c r="D284" s="99">
        <v>45723</v>
      </c>
      <c r="E284" s="146" t="s">
        <v>783</v>
      </c>
      <c r="F284" s="99"/>
      <c r="G284" s="146" t="s">
        <v>1826</v>
      </c>
    </row>
    <row r="285" spans="1:7" customFormat="1" ht="14.25" hidden="1" customHeight="1">
      <c r="A285" s="238">
        <v>45722</v>
      </c>
      <c r="B285" s="238" t="s">
        <v>281</v>
      </c>
      <c r="C285" s="142" t="s">
        <v>1828</v>
      </c>
      <c r="D285" s="99" t="s">
        <v>1829</v>
      </c>
      <c r="E285" s="146" t="s">
        <v>783</v>
      </c>
      <c r="F285" s="99"/>
      <c r="G285" s="146" t="s">
        <v>1830</v>
      </c>
    </row>
    <row r="286" spans="1:7" customFormat="1" ht="14.25" hidden="1" customHeight="1">
      <c r="A286" s="238">
        <v>45722</v>
      </c>
      <c r="B286" s="238" t="s">
        <v>293</v>
      </c>
      <c r="C286" s="142" t="s">
        <v>1831</v>
      </c>
      <c r="D286" s="99">
        <v>45736</v>
      </c>
      <c r="E286" s="146" t="s">
        <v>783</v>
      </c>
      <c r="F286" s="99"/>
      <c r="G286" s="146" t="s">
        <v>1832</v>
      </c>
    </row>
    <row r="287" spans="1:7" customFormat="1" ht="14.25" hidden="1" customHeight="1">
      <c r="A287" s="238">
        <v>45722</v>
      </c>
      <c r="B287" s="238" t="s">
        <v>379</v>
      </c>
      <c r="C287" s="142" t="s">
        <v>1833</v>
      </c>
      <c r="D287" s="99">
        <v>45726</v>
      </c>
      <c r="E287" s="146" t="s">
        <v>783</v>
      </c>
      <c r="F287" s="99"/>
      <c r="G287" s="146" t="s">
        <v>1834</v>
      </c>
    </row>
    <row r="288" spans="1:7" customFormat="1" ht="14.25" hidden="1" customHeight="1">
      <c r="A288" s="238">
        <v>45722</v>
      </c>
      <c r="B288" s="238" t="s">
        <v>379</v>
      </c>
      <c r="C288" s="142" t="s">
        <v>1835</v>
      </c>
      <c r="D288" s="99">
        <v>45729</v>
      </c>
      <c r="E288" s="146" t="s">
        <v>783</v>
      </c>
      <c r="F288" s="99"/>
      <c r="G288" s="146" t="s">
        <v>1836</v>
      </c>
    </row>
    <row r="289" spans="1:7" customFormat="1" ht="14.25" hidden="1" customHeight="1">
      <c r="A289" s="238">
        <v>45722</v>
      </c>
      <c r="B289" s="238" t="s">
        <v>379</v>
      </c>
      <c r="C289" s="142" t="s">
        <v>1837</v>
      </c>
      <c r="D289" s="99">
        <v>45729</v>
      </c>
      <c r="E289" s="146" t="s">
        <v>783</v>
      </c>
      <c r="F289" s="99"/>
      <c r="G289" s="146" t="s">
        <v>1838</v>
      </c>
    </row>
    <row r="290" spans="1:7" customFormat="1" ht="14.25" hidden="1" customHeight="1">
      <c r="A290" s="238">
        <v>45722</v>
      </c>
      <c r="B290" s="238" t="s">
        <v>379</v>
      </c>
      <c r="C290" s="142" t="s">
        <v>1839</v>
      </c>
      <c r="D290" s="99">
        <v>45729</v>
      </c>
      <c r="E290" s="146" t="s">
        <v>783</v>
      </c>
      <c r="F290" s="99"/>
      <c r="G290" s="146" t="s">
        <v>1836</v>
      </c>
    </row>
    <row r="291" spans="1:7" customFormat="1" ht="14.25" hidden="1" customHeight="1">
      <c r="A291" s="238">
        <v>45722</v>
      </c>
      <c r="B291" s="238" t="s">
        <v>379</v>
      </c>
      <c r="C291" s="142" t="s">
        <v>1840</v>
      </c>
      <c r="D291" s="99">
        <v>45729</v>
      </c>
      <c r="E291" s="146" t="s">
        <v>783</v>
      </c>
      <c r="F291" s="99"/>
      <c r="G291" s="146" t="s">
        <v>1836</v>
      </c>
    </row>
    <row r="292" spans="1:7" customFormat="1" ht="14.25" hidden="1" customHeight="1">
      <c r="A292" s="238">
        <v>45722</v>
      </c>
      <c r="B292" s="238" t="s">
        <v>379</v>
      </c>
      <c r="C292" s="142" t="s">
        <v>1841</v>
      </c>
      <c r="D292" s="99">
        <v>45729</v>
      </c>
      <c r="E292" s="146" t="s">
        <v>783</v>
      </c>
      <c r="F292" s="99"/>
      <c r="G292" s="146" t="s">
        <v>1842</v>
      </c>
    </row>
    <row r="293" spans="1:7" customFormat="1" ht="14.25" hidden="1" customHeight="1">
      <c r="A293" s="238">
        <v>45722</v>
      </c>
      <c r="B293" s="238" t="s">
        <v>379</v>
      </c>
      <c r="C293" s="142" t="s">
        <v>1843</v>
      </c>
      <c r="D293" s="99">
        <v>45729</v>
      </c>
      <c r="E293" s="146" t="s">
        <v>783</v>
      </c>
      <c r="F293" s="99"/>
      <c r="G293" s="146" t="s">
        <v>1844</v>
      </c>
    </row>
    <row r="294" spans="1:7" customFormat="1" ht="14.25" hidden="1" customHeight="1">
      <c r="A294" s="238">
        <v>45722</v>
      </c>
      <c r="B294" s="238" t="s">
        <v>379</v>
      </c>
      <c r="C294" s="142" t="s">
        <v>1845</v>
      </c>
      <c r="D294" s="99">
        <v>45729</v>
      </c>
      <c r="E294" s="146" t="s">
        <v>783</v>
      </c>
      <c r="F294" s="99"/>
      <c r="G294" s="146" t="s">
        <v>1846</v>
      </c>
    </row>
    <row r="295" spans="1:7" customFormat="1" ht="14.25" hidden="1" customHeight="1">
      <c r="A295" s="238">
        <v>45722</v>
      </c>
      <c r="B295" s="238" t="s">
        <v>412</v>
      </c>
      <c r="C295" s="142" t="s">
        <v>1847</v>
      </c>
      <c r="D295" s="99">
        <v>45723</v>
      </c>
      <c r="E295" s="146" t="s">
        <v>783</v>
      </c>
      <c r="F295" s="99"/>
      <c r="G295" s="146" t="s">
        <v>1848</v>
      </c>
    </row>
    <row r="296" spans="1:7" customFormat="1" ht="14.25" hidden="1" customHeight="1">
      <c r="A296" s="238">
        <v>45722</v>
      </c>
      <c r="B296" s="238" t="s">
        <v>417</v>
      </c>
      <c r="C296" s="142" t="s">
        <v>1849</v>
      </c>
      <c r="D296" s="99">
        <v>45723</v>
      </c>
      <c r="E296" s="146" t="s">
        <v>783</v>
      </c>
      <c r="F296" s="99"/>
      <c r="G296" s="146" t="s">
        <v>1826</v>
      </c>
    </row>
    <row r="297" spans="1:7" customFormat="1" ht="14.25" hidden="1" customHeight="1">
      <c r="A297" s="238">
        <v>45722</v>
      </c>
      <c r="B297" s="238" t="s">
        <v>435</v>
      </c>
      <c r="C297" s="142" t="s">
        <v>1850</v>
      </c>
      <c r="D297" s="99">
        <v>45729</v>
      </c>
      <c r="E297" s="146" t="s">
        <v>1366</v>
      </c>
      <c r="F297" s="99"/>
      <c r="G297" s="146" t="s">
        <v>1832</v>
      </c>
    </row>
    <row r="298" spans="1:7" customFormat="1" ht="14.25" hidden="1" customHeight="1">
      <c r="A298" s="238">
        <v>45723</v>
      </c>
      <c r="B298" s="238" t="s">
        <v>114</v>
      </c>
      <c r="C298" s="142" t="s">
        <v>1851</v>
      </c>
      <c r="D298" s="99">
        <v>45730</v>
      </c>
      <c r="E298" s="146" t="s">
        <v>783</v>
      </c>
      <c r="F298" s="99"/>
      <c r="G298" s="146" t="s">
        <v>1852</v>
      </c>
    </row>
    <row r="299" spans="1:7" customFormat="1" ht="14.25" hidden="1" customHeight="1">
      <c r="A299" s="238">
        <v>45723</v>
      </c>
      <c r="B299" s="238" t="s">
        <v>114</v>
      </c>
      <c r="C299" s="142" t="s">
        <v>1853</v>
      </c>
      <c r="D299" s="99">
        <v>45726</v>
      </c>
      <c r="E299" s="146" t="s">
        <v>783</v>
      </c>
      <c r="F299" s="99"/>
      <c r="G299" s="146" t="s">
        <v>1852</v>
      </c>
    </row>
    <row r="300" spans="1:7" customFormat="1" ht="14.25" hidden="1" customHeight="1">
      <c r="A300" s="238">
        <v>45723</v>
      </c>
      <c r="B300" s="238" t="s">
        <v>830</v>
      </c>
      <c r="C300" s="142" t="s">
        <v>1854</v>
      </c>
      <c r="D300" s="99">
        <v>45733</v>
      </c>
      <c r="E300" s="146" t="s">
        <v>783</v>
      </c>
      <c r="F300" s="99"/>
      <c r="G300" s="146" t="s">
        <v>1855</v>
      </c>
    </row>
    <row r="301" spans="1:7" customFormat="1" ht="14.25" hidden="1" customHeight="1">
      <c r="A301" s="238">
        <v>45723</v>
      </c>
      <c r="B301" s="238" t="s">
        <v>714</v>
      </c>
      <c r="C301" s="142" t="s">
        <v>1856</v>
      </c>
      <c r="D301" s="99" t="s">
        <v>672</v>
      </c>
      <c r="E301" s="146" t="s">
        <v>783</v>
      </c>
      <c r="F301" s="99"/>
      <c r="G301" s="146" t="s">
        <v>1857</v>
      </c>
    </row>
    <row r="302" spans="1:7" customFormat="1" ht="14.25" hidden="1" customHeight="1">
      <c r="A302" s="238">
        <v>45726</v>
      </c>
      <c r="B302" s="238" t="s">
        <v>1391</v>
      </c>
      <c r="C302" s="142" t="s">
        <v>1858</v>
      </c>
      <c r="D302" s="99">
        <v>45729</v>
      </c>
      <c r="E302" s="146" t="s">
        <v>783</v>
      </c>
      <c r="F302" s="99"/>
      <c r="G302" s="146" t="s">
        <v>1859</v>
      </c>
    </row>
    <row r="303" spans="1:7" customFormat="1" ht="14.25" hidden="1" customHeight="1">
      <c r="A303" s="238">
        <v>45726</v>
      </c>
      <c r="B303" s="238" t="s">
        <v>1812</v>
      </c>
      <c r="C303" s="142" t="s">
        <v>1860</v>
      </c>
      <c r="D303" s="99">
        <v>45364</v>
      </c>
      <c r="E303" s="146" t="s">
        <v>783</v>
      </c>
      <c r="F303" s="99"/>
      <c r="G303" s="146" t="s">
        <v>1861</v>
      </c>
    </row>
    <row r="304" spans="1:7" customFormat="1" ht="14.25" hidden="1" customHeight="1">
      <c r="A304" s="238">
        <v>45726</v>
      </c>
      <c r="B304" s="238" t="s">
        <v>281</v>
      </c>
      <c r="C304" s="142" t="s">
        <v>1862</v>
      </c>
      <c r="D304" s="99" t="s">
        <v>48</v>
      </c>
      <c r="E304" s="146" t="s">
        <v>783</v>
      </c>
      <c r="F304" s="99"/>
      <c r="G304" s="146" t="s">
        <v>1836</v>
      </c>
    </row>
    <row r="305" spans="1:7" customFormat="1" ht="14.25" hidden="1" customHeight="1">
      <c r="A305" s="238">
        <v>45726</v>
      </c>
      <c r="B305" s="238" t="s">
        <v>281</v>
      </c>
      <c r="C305" s="142" t="s">
        <v>1863</v>
      </c>
      <c r="D305" s="99" t="s">
        <v>672</v>
      </c>
      <c r="E305" s="146" t="s">
        <v>783</v>
      </c>
      <c r="F305" s="99"/>
      <c r="G305" s="146" t="s">
        <v>1864</v>
      </c>
    </row>
    <row r="306" spans="1:7" customFormat="1" ht="14.25" hidden="1" customHeight="1">
      <c r="A306" s="238">
        <v>45726</v>
      </c>
      <c r="B306" s="238" t="s">
        <v>379</v>
      </c>
      <c r="C306" s="142" t="s">
        <v>1865</v>
      </c>
      <c r="D306" s="99">
        <v>45728</v>
      </c>
      <c r="E306" s="146" t="s">
        <v>783</v>
      </c>
      <c r="F306" s="99"/>
      <c r="G306" s="146" t="s">
        <v>1866</v>
      </c>
    </row>
    <row r="307" spans="1:7" customFormat="1" ht="14.25" hidden="1" customHeight="1">
      <c r="A307" s="238">
        <v>45726</v>
      </c>
      <c r="B307" s="238" t="s">
        <v>1343</v>
      </c>
      <c r="C307" s="142" t="s">
        <v>1867</v>
      </c>
      <c r="D307" s="99">
        <v>45727</v>
      </c>
      <c r="E307" s="146" t="s">
        <v>783</v>
      </c>
      <c r="F307" s="99"/>
      <c r="G307" s="146" t="s">
        <v>1868</v>
      </c>
    </row>
    <row r="308" spans="1:7" customFormat="1" ht="14.25" hidden="1" customHeight="1">
      <c r="A308" s="238">
        <v>45727</v>
      </c>
      <c r="B308" s="238" t="s">
        <v>267</v>
      </c>
      <c r="C308" s="142" t="s">
        <v>1869</v>
      </c>
      <c r="D308" s="99">
        <v>45730</v>
      </c>
      <c r="E308" s="146" t="s">
        <v>783</v>
      </c>
      <c r="F308" s="99"/>
      <c r="G308" s="146" t="s">
        <v>1870</v>
      </c>
    </row>
    <row r="309" spans="1:7" customFormat="1" ht="14.25" hidden="1" customHeight="1">
      <c r="A309" s="238">
        <v>45729</v>
      </c>
      <c r="B309" s="238" t="s">
        <v>74</v>
      </c>
      <c r="C309" s="142" t="s">
        <v>1871</v>
      </c>
      <c r="D309" s="99">
        <v>45736</v>
      </c>
      <c r="E309" s="146" t="s">
        <v>783</v>
      </c>
      <c r="F309" s="99"/>
      <c r="G309" s="146" t="s">
        <v>1872</v>
      </c>
    </row>
    <row r="310" spans="1:7" customFormat="1" ht="14.25" hidden="1" customHeight="1">
      <c r="A310" s="238">
        <v>45729</v>
      </c>
      <c r="B310" s="238" t="s">
        <v>114</v>
      </c>
      <c r="C310" s="142" t="s">
        <v>1873</v>
      </c>
      <c r="D310" s="99">
        <v>45730</v>
      </c>
      <c r="E310" s="146" t="s">
        <v>783</v>
      </c>
      <c r="F310" s="99"/>
      <c r="G310" s="146" t="s">
        <v>1852</v>
      </c>
    </row>
    <row r="311" spans="1:7" customFormat="1" ht="14.25" hidden="1" customHeight="1">
      <c r="A311" s="238">
        <v>45729</v>
      </c>
      <c r="B311" s="238" t="s">
        <v>1198</v>
      </c>
      <c r="C311" s="142" t="s">
        <v>1874</v>
      </c>
      <c r="D311" s="99">
        <v>45737</v>
      </c>
      <c r="E311" s="146" t="s">
        <v>783</v>
      </c>
      <c r="F311" s="99"/>
      <c r="G311" s="146" t="s">
        <v>1875</v>
      </c>
    </row>
    <row r="312" spans="1:7" customFormat="1" ht="14.25" hidden="1" customHeight="1">
      <c r="A312" s="238">
        <v>45729</v>
      </c>
      <c r="B312" s="238" t="s">
        <v>1198</v>
      </c>
      <c r="C312" s="142" t="s">
        <v>1876</v>
      </c>
      <c r="D312" s="99">
        <v>45743</v>
      </c>
      <c r="E312" s="146" t="s">
        <v>1366</v>
      </c>
      <c r="F312" s="99"/>
      <c r="G312" s="146" t="s">
        <v>1877</v>
      </c>
    </row>
    <row r="313" spans="1:7" customFormat="1" ht="14.25" hidden="1" customHeight="1">
      <c r="A313" s="238">
        <v>45730</v>
      </c>
      <c r="B313" s="238" t="s">
        <v>114</v>
      </c>
      <c r="C313" s="142" t="s">
        <v>1878</v>
      </c>
      <c r="D313" s="99">
        <v>45735</v>
      </c>
      <c r="E313" s="146" t="s">
        <v>783</v>
      </c>
      <c r="F313" s="99"/>
      <c r="G313" s="146" t="s">
        <v>1859</v>
      </c>
    </row>
    <row r="314" spans="1:7" customFormat="1" ht="14.25" hidden="1" customHeight="1">
      <c r="A314" s="238">
        <v>45730</v>
      </c>
      <c r="B314" s="238" t="s">
        <v>320</v>
      </c>
      <c r="C314" s="142" t="s">
        <v>1879</v>
      </c>
      <c r="D314" s="99">
        <v>45735</v>
      </c>
      <c r="E314" s="146" t="s">
        <v>783</v>
      </c>
      <c r="F314" s="99"/>
      <c r="G314" s="146" t="s">
        <v>1880</v>
      </c>
    </row>
    <row r="315" spans="1:7" customFormat="1" ht="14.25" hidden="1" customHeight="1">
      <c r="A315" s="238">
        <v>45730</v>
      </c>
      <c r="B315" s="238" t="s">
        <v>379</v>
      </c>
      <c r="C315" s="142" t="s">
        <v>1881</v>
      </c>
      <c r="D315" s="99">
        <v>45735</v>
      </c>
      <c r="E315" s="146" t="s">
        <v>783</v>
      </c>
      <c r="F315" s="99"/>
      <c r="G315" s="146"/>
    </row>
    <row r="316" spans="1:7" customFormat="1" ht="14.25" hidden="1" customHeight="1">
      <c r="A316" s="238">
        <v>45730</v>
      </c>
      <c r="B316" s="238" t="s">
        <v>385</v>
      </c>
      <c r="C316" s="142" t="s">
        <v>1882</v>
      </c>
      <c r="D316" s="778">
        <v>45734</v>
      </c>
      <c r="E316" s="779" t="s">
        <v>783</v>
      </c>
      <c r="F316" s="99"/>
      <c r="G316" s="146"/>
    </row>
    <row r="317" spans="1:7" customFormat="1" ht="14.25" hidden="1" customHeight="1">
      <c r="A317" s="238">
        <v>45734</v>
      </c>
      <c r="B317" s="238" t="s">
        <v>133</v>
      </c>
      <c r="C317" s="142" t="s">
        <v>1883</v>
      </c>
      <c r="D317" s="99">
        <v>45741</v>
      </c>
      <c r="E317" s="146" t="s">
        <v>783</v>
      </c>
      <c r="F317" s="99"/>
      <c r="G317" s="146" t="s">
        <v>1836</v>
      </c>
    </row>
    <row r="318" spans="1:7" customFormat="1" ht="14.25" hidden="1" customHeight="1">
      <c r="A318" s="238">
        <v>45734</v>
      </c>
      <c r="B318" s="238" t="s">
        <v>133</v>
      </c>
      <c r="C318" s="142" t="s">
        <v>1884</v>
      </c>
      <c r="D318" s="99">
        <v>45741</v>
      </c>
      <c r="E318" s="146" t="s">
        <v>783</v>
      </c>
      <c r="F318" s="99"/>
      <c r="G318" s="146" t="s">
        <v>1836</v>
      </c>
    </row>
    <row r="319" spans="1:7" customFormat="1" ht="14.25" hidden="1" customHeight="1">
      <c r="A319" s="238">
        <v>45734</v>
      </c>
      <c r="B319" s="238" t="s">
        <v>133</v>
      </c>
      <c r="C319" s="142" t="s">
        <v>1885</v>
      </c>
      <c r="D319" s="99">
        <v>45741</v>
      </c>
      <c r="E319" s="146" t="s">
        <v>783</v>
      </c>
      <c r="F319" s="99"/>
      <c r="G319" s="146" t="s">
        <v>1836</v>
      </c>
    </row>
    <row r="320" spans="1:7" customFormat="1" ht="14.25" hidden="1" customHeight="1">
      <c r="A320" s="238">
        <v>45734</v>
      </c>
      <c r="B320" s="238" t="s">
        <v>289</v>
      </c>
      <c r="C320" s="142" t="s">
        <v>1886</v>
      </c>
      <c r="D320" s="99">
        <v>45737</v>
      </c>
      <c r="E320" s="146" t="s">
        <v>1366</v>
      </c>
      <c r="F320" s="99"/>
      <c r="G320" s="146" t="s">
        <v>1836</v>
      </c>
    </row>
    <row r="321" spans="1:7" customFormat="1" ht="14.25" hidden="1" customHeight="1">
      <c r="A321" s="238">
        <v>45735</v>
      </c>
      <c r="B321" s="381" t="s">
        <v>289</v>
      </c>
      <c r="C321" s="142" t="s">
        <v>1887</v>
      </c>
      <c r="D321" s="99">
        <v>45742</v>
      </c>
      <c r="E321" s="146" t="s">
        <v>783</v>
      </c>
      <c r="F321" s="99"/>
      <c r="G321" s="146" t="s">
        <v>1888</v>
      </c>
    </row>
    <row r="322" spans="1:7" customFormat="1" ht="14.25" hidden="1" customHeight="1">
      <c r="A322" s="238">
        <v>45735</v>
      </c>
      <c r="B322" s="239" t="s">
        <v>1421</v>
      </c>
      <c r="C322" s="142" t="s">
        <v>1889</v>
      </c>
      <c r="D322" s="99">
        <v>45737</v>
      </c>
      <c r="E322" s="146" t="s">
        <v>783</v>
      </c>
      <c r="F322" s="99"/>
      <c r="G322" s="146" t="s">
        <v>1872</v>
      </c>
    </row>
    <row r="323" spans="1:7" customFormat="1" ht="14.25" hidden="1" customHeight="1">
      <c r="A323" s="238">
        <v>45736</v>
      </c>
      <c r="B323" s="238" t="s">
        <v>74</v>
      </c>
      <c r="C323" s="142" t="s">
        <v>1890</v>
      </c>
      <c r="D323" s="99">
        <v>45743</v>
      </c>
      <c r="E323" s="146" t="s">
        <v>783</v>
      </c>
      <c r="F323" s="99"/>
      <c r="G323" s="146" t="s">
        <v>1891</v>
      </c>
    </row>
    <row r="324" spans="1:7" customFormat="1" ht="14.25" hidden="1" customHeight="1">
      <c r="A324" s="238">
        <v>45736</v>
      </c>
      <c r="B324" s="238" t="s">
        <v>830</v>
      </c>
      <c r="C324" s="142" t="s">
        <v>1892</v>
      </c>
      <c r="D324" s="99">
        <v>45735</v>
      </c>
      <c r="E324" s="146" t="s">
        <v>783</v>
      </c>
      <c r="F324" s="99"/>
      <c r="G324" s="146" t="s">
        <v>1893</v>
      </c>
    </row>
    <row r="325" spans="1:7" customFormat="1" ht="14.25" hidden="1" customHeight="1">
      <c r="A325" s="238">
        <v>45736</v>
      </c>
      <c r="B325" s="238" t="s">
        <v>830</v>
      </c>
      <c r="C325" s="142" t="s">
        <v>1894</v>
      </c>
      <c r="D325" s="99">
        <v>45735</v>
      </c>
      <c r="E325" s="146" t="s">
        <v>783</v>
      </c>
      <c r="F325" s="99"/>
      <c r="G325" s="146" t="s">
        <v>1893</v>
      </c>
    </row>
    <row r="326" spans="1:7" customFormat="1" ht="14.25" hidden="1" customHeight="1">
      <c r="A326" s="238">
        <v>45736</v>
      </c>
      <c r="B326" s="238" t="s">
        <v>133</v>
      </c>
      <c r="C326" s="142" t="s">
        <v>1895</v>
      </c>
      <c r="D326" s="99">
        <v>45744</v>
      </c>
      <c r="E326" s="146" t="s">
        <v>82</v>
      </c>
      <c r="F326" s="99"/>
      <c r="G326" s="146" t="s">
        <v>1836</v>
      </c>
    </row>
    <row r="327" spans="1:7" customFormat="1" ht="14.25" hidden="1" customHeight="1">
      <c r="A327" s="238">
        <v>45736</v>
      </c>
      <c r="B327" s="238" t="s">
        <v>289</v>
      </c>
      <c r="C327" s="142" t="s">
        <v>1886</v>
      </c>
      <c r="D327" s="99">
        <v>45740</v>
      </c>
      <c r="E327" s="146" t="s">
        <v>783</v>
      </c>
      <c r="F327" s="99"/>
      <c r="G327" s="146" t="s">
        <v>1896</v>
      </c>
    </row>
    <row r="328" spans="1:7" customFormat="1" ht="14.25" hidden="1" customHeight="1">
      <c r="A328" s="238">
        <v>45736</v>
      </c>
      <c r="B328" s="238" t="s">
        <v>320</v>
      </c>
      <c r="C328" s="142" t="s">
        <v>1897</v>
      </c>
      <c r="D328" s="99">
        <v>45744</v>
      </c>
      <c r="E328" s="146" t="s">
        <v>783</v>
      </c>
      <c r="F328" s="99"/>
      <c r="G328" s="146" t="s">
        <v>1898</v>
      </c>
    </row>
    <row r="329" spans="1:7" customFormat="1" ht="14.25" hidden="1" customHeight="1">
      <c r="A329" s="238">
        <v>45736</v>
      </c>
      <c r="B329" s="238" t="s">
        <v>364</v>
      </c>
      <c r="C329" s="142" t="s">
        <v>1899</v>
      </c>
      <c r="D329" s="99">
        <v>45740</v>
      </c>
      <c r="E329" s="146" t="s">
        <v>783</v>
      </c>
      <c r="F329" s="99"/>
      <c r="G329" s="146" t="s">
        <v>1836</v>
      </c>
    </row>
    <row r="330" spans="1:7" customFormat="1" ht="14.25" hidden="1" customHeight="1">
      <c r="A330" s="238">
        <v>45737</v>
      </c>
      <c r="B330" s="238" t="s">
        <v>74</v>
      </c>
      <c r="C330" s="142" t="s">
        <v>1900</v>
      </c>
      <c r="D330" s="99">
        <v>45737</v>
      </c>
      <c r="E330" s="146" t="s">
        <v>783</v>
      </c>
      <c r="F330" s="99"/>
      <c r="G330" s="146" t="s">
        <v>1901</v>
      </c>
    </row>
    <row r="331" spans="1:7" customFormat="1" ht="14.25" hidden="1" customHeight="1">
      <c r="A331" s="238">
        <v>45739</v>
      </c>
      <c r="B331" s="238" t="s">
        <v>435</v>
      </c>
      <c r="C331" s="142" t="s">
        <v>1902</v>
      </c>
      <c r="D331" s="99">
        <v>45741</v>
      </c>
      <c r="E331" s="146" t="s">
        <v>783</v>
      </c>
      <c r="F331" s="99"/>
      <c r="G331" s="146" t="s">
        <v>1888</v>
      </c>
    </row>
    <row r="332" spans="1:7" customFormat="1" ht="14.25" hidden="1" customHeight="1">
      <c r="A332" s="238">
        <v>45740</v>
      </c>
      <c r="B332" s="238" t="s">
        <v>379</v>
      </c>
      <c r="C332" s="142" t="s">
        <v>1903</v>
      </c>
      <c r="D332" s="99">
        <v>45747</v>
      </c>
      <c r="E332" s="146" t="s">
        <v>783</v>
      </c>
      <c r="F332" s="99"/>
      <c r="G332" s="146" t="s">
        <v>1904</v>
      </c>
    </row>
    <row r="333" spans="1:7" customFormat="1" ht="14.25" hidden="1" customHeight="1">
      <c r="A333" s="238">
        <v>45741</v>
      </c>
      <c r="B333" s="238" t="s">
        <v>714</v>
      </c>
      <c r="C333" s="142" t="s">
        <v>1905</v>
      </c>
      <c r="D333" s="99">
        <v>45751</v>
      </c>
      <c r="E333" s="146" t="s">
        <v>783</v>
      </c>
      <c r="F333" s="99"/>
      <c r="G333" s="146" t="s">
        <v>1906</v>
      </c>
    </row>
    <row r="334" spans="1:7" customFormat="1" ht="14.25" hidden="1" customHeight="1">
      <c r="A334" s="238">
        <v>45741</v>
      </c>
      <c r="B334" s="238" t="s">
        <v>385</v>
      </c>
      <c r="C334" s="142" t="s">
        <v>1907</v>
      </c>
      <c r="D334" s="778">
        <v>45743</v>
      </c>
      <c r="E334" s="779" t="s">
        <v>783</v>
      </c>
      <c r="F334" s="99"/>
      <c r="G334" s="146" t="s">
        <v>1888</v>
      </c>
    </row>
    <row r="335" spans="1:7" customFormat="1" ht="14.25" hidden="1" customHeight="1">
      <c r="A335" s="238">
        <v>45742</v>
      </c>
      <c r="B335" s="238" t="s">
        <v>281</v>
      </c>
      <c r="C335" s="142" t="s">
        <v>1908</v>
      </c>
      <c r="D335" s="99">
        <v>45749</v>
      </c>
      <c r="E335" s="146" t="s">
        <v>783</v>
      </c>
      <c r="F335" s="99"/>
      <c r="G335" s="146" t="s">
        <v>1909</v>
      </c>
    </row>
    <row r="336" spans="1:7" customFormat="1" ht="14.25" hidden="1" customHeight="1">
      <c r="A336" s="238">
        <v>45742</v>
      </c>
      <c r="B336" s="238" t="s">
        <v>293</v>
      </c>
      <c r="C336" s="142" t="s">
        <v>1910</v>
      </c>
      <c r="D336" s="99">
        <v>45747</v>
      </c>
      <c r="E336" s="146" t="s">
        <v>783</v>
      </c>
      <c r="F336" s="99"/>
      <c r="G336" s="146" t="s">
        <v>1911</v>
      </c>
    </row>
    <row r="337" spans="1:7" customFormat="1" ht="14.25" hidden="1" customHeight="1">
      <c r="A337" s="238">
        <v>45742</v>
      </c>
      <c r="B337" s="238" t="s">
        <v>435</v>
      </c>
      <c r="C337" s="142" t="s">
        <v>1912</v>
      </c>
      <c r="D337" s="99">
        <v>45749</v>
      </c>
      <c r="E337" s="146" t="s">
        <v>783</v>
      </c>
      <c r="F337" s="99"/>
      <c r="G337" s="146" t="s">
        <v>1913</v>
      </c>
    </row>
    <row r="338" spans="1:7" customFormat="1" ht="14.25" hidden="1" customHeight="1">
      <c r="A338" s="238">
        <v>45743</v>
      </c>
      <c r="B338" s="238" t="s">
        <v>339</v>
      </c>
      <c r="C338" s="142" t="s">
        <v>1914</v>
      </c>
      <c r="D338" s="99">
        <v>45750</v>
      </c>
      <c r="E338" s="146" t="s">
        <v>783</v>
      </c>
      <c r="F338" s="99"/>
      <c r="G338" s="146" t="s">
        <v>1915</v>
      </c>
    </row>
    <row r="339" spans="1:7" customFormat="1" ht="14.25" hidden="1" customHeight="1">
      <c r="A339" s="238">
        <v>45744</v>
      </c>
      <c r="B339" s="238" t="s">
        <v>435</v>
      </c>
      <c r="C339" s="142" t="s">
        <v>1916</v>
      </c>
      <c r="D339" s="99">
        <v>45747</v>
      </c>
      <c r="E339" s="146" t="s">
        <v>783</v>
      </c>
      <c r="F339" s="99"/>
      <c r="G339" s="146" t="s">
        <v>1917</v>
      </c>
    </row>
    <row r="340" spans="1:7" customFormat="1" ht="14.25" hidden="1" customHeight="1">
      <c r="A340" s="238">
        <v>45747</v>
      </c>
      <c r="B340" s="238" t="s">
        <v>320</v>
      </c>
      <c r="C340" s="142" t="s">
        <v>1918</v>
      </c>
      <c r="D340" s="99">
        <v>45749</v>
      </c>
      <c r="E340" s="146" t="s">
        <v>783</v>
      </c>
      <c r="F340" s="99"/>
      <c r="G340" s="146" t="s">
        <v>1919</v>
      </c>
    </row>
    <row r="341" spans="1:7" customFormat="1" ht="14.25" hidden="1" customHeight="1">
      <c r="A341" s="238">
        <v>45747</v>
      </c>
      <c r="B341" s="238" t="s">
        <v>320</v>
      </c>
      <c r="C341" s="142" t="s">
        <v>1920</v>
      </c>
      <c r="D341" s="99">
        <v>45749</v>
      </c>
      <c r="E341" s="146" t="s">
        <v>783</v>
      </c>
      <c r="F341" s="99"/>
      <c r="G341" s="146" t="s">
        <v>1919</v>
      </c>
    </row>
    <row r="342" spans="1:7" customFormat="1" ht="14.25" hidden="1" customHeight="1">
      <c r="A342" s="238">
        <v>45747</v>
      </c>
      <c r="B342" s="238" t="s">
        <v>320</v>
      </c>
      <c r="C342" s="142" t="s">
        <v>1921</v>
      </c>
      <c r="D342" s="99">
        <v>45749</v>
      </c>
      <c r="E342" s="146" t="s">
        <v>783</v>
      </c>
      <c r="F342" s="99"/>
      <c r="G342" s="146" t="s">
        <v>1919</v>
      </c>
    </row>
    <row r="343" spans="1:7" customFormat="1" ht="14.25" hidden="1" customHeight="1">
      <c r="A343" s="238">
        <v>45747</v>
      </c>
      <c r="B343" s="238" t="s">
        <v>1922</v>
      </c>
      <c r="C343" s="142" t="s">
        <v>1923</v>
      </c>
      <c r="D343" s="99">
        <v>45749</v>
      </c>
      <c r="E343" s="146" t="s">
        <v>783</v>
      </c>
      <c r="F343" s="99"/>
      <c r="G343" s="146" t="s">
        <v>1924</v>
      </c>
    </row>
    <row r="344" spans="1:7" customFormat="1" ht="14.25" hidden="1" customHeight="1">
      <c r="A344" s="238">
        <v>45747</v>
      </c>
      <c r="B344" s="238" t="s">
        <v>1922</v>
      </c>
      <c r="C344" s="142" t="s">
        <v>1923</v>
      </c>
      <c r="D344" s="99">
        <v>45749</v>
      </c>
      <c r="E344" s="146" t="s">
        <v>783</v>
      </c>
      <c r="F344" s="99"/>
      <c r="G344" s="146" t="s">
        <v>1924</v>
      </c>
    </row>
    <row r="345" spans="1:7" customFormat="1" ht="14.25" hidden="1" customHeight="1">
      <c r="A345" s="238">
        <v>45747</v>
      </c>
      <c r="B345" s="238" t="s">
        <v>724</v>
      </c>
      <c r="C345" s="142" t="s">
        <v>1925</v>
      </c>
      <c r="D345" s="99">
        <v>45750</v>
      </c>
      <c r="E345" s="146" t="s">
        <v>783</v>
      </c>
      <c r="F345" s="99"/>
      <c r="G345" s="146" t="s">
        <v>1926</v>
      </c>
    </row>
    <row r="346" spans="1:7" customFormat="1" ht="14.25" hidden="1" customHeight="1">
      <c r="A346" s="238">
        <v>45747</v>
      </c>
      <c r="B346" s="238" t="s">
        <v>724</v>
      </c>
      <c r="C346" s="142" t="s">
        <v>1927</v>
      </c>
      <c r="D346" s="99">
        <v>45751</v>
      </c>
      <c r="E346" s="146" t="s">
        <v>783</v>
      </c>
      <c r="F346" s="99"/>
      <c r="G346" s="146" t="s">
        <v>1906</v>
      </c>
    </row>
    <row r="347" spans="1:7" customFormat="1" ht="14.25" hidden="1" customHeight="1">
      <c r="A347" s="238">
        <v>45747</v>
      </c>
      <c r="B347" s="238" t="s">
        <v>724</v>
      </c>
      <c r="C347" s="142" t="s">
        <v>1928</v>
      </c>
      <c r="D347" s="99">
        <v>45751</v>
      </c>
      <c r="E347" s="146" t="s">
        <v>783</v>
      </c>
      <c r="F347" s="99"/>
      <c r="G347" s="146" t="s">
        <v>1906</v>
      </c>
    </row>
    <row r="348" spans="1:7" customFormat="1" ht="14.25" hidden="1" customHeight="1">
      <c r="A348" s="238">
        <v>45748</v>
      </c>
      <c r="B348" s="238" t="s">
        <v>293</v>
      </c>
      <c r="C348" s="142" t="s">
        <v>1929</v>
      </c>
      <c r="D348" s="99">
        <v>45751</v>
      </c>
      <c r="E348" s="146" t="s">
        <v>783</v>
      </c>
      <c r="F348" s="99"/>
      <c r="G348" s="146" t="s">
        <v>1930</v>
      </c>
    </row>
    <row r="349" spans="1:7" customFormat="1" ht="14.25" hidden="1" customHeight="1">
      <c r="A349" s="238">
        <v>45748</v>
      </c>
      <c r="B349" s="238" t="s">
        <v>379</v>
      </c>
      <c r="C349" s="142" t="s">
        <v>1931</v>
      </c>
      <c r="D349" s="99">
        <v>45750</v>
      </c>
      <c r="E349" s="146" t="s">
        <v>82</v>
      </c>
      <c r="F349" s="99"/>
      <c r="G349" s="146" t="s">
        <v>1932</v>
      </c>
    </row>
    <row r="350" spans="1:7" customFormat="1" ht="14.25" hidden="1" customHeight="1">
      <c r="A350" s="238">
        <v>45748</v>
      </c>
      <c r="B350" s="238" t="s">
        <v>1384</v>
      </c>
      <c r="C350" s="142" t="s">
        <v>1933</v>
      </c>
      <c r="D350" s="778">
        <v>45750</v>
      </c>
      <c r="E350" s="779" t="s">
        <v>783</v>
      </c>
      <c r="F350" s="99"/>
      <c r="G350" s="146"/>
    </row>
    <row r="351" spans="1:7" customFormat="1" ht="14.25" hidden="1" customHeight="1">
      <c r="A351" s="238">
        <v>45748</v>
      </c>
      <c r="B351" s="238" t="s">
        <v>417</v>
      </c>
      <c r="C351" s="142" t="s">
        <v>1934</v>
      </c>
      <c r="D351" s="99">
        <v>45751</v>
      </c>
      <c r="E351" s="146" t="s">
        <v>783</v>
      </c>
      <c r="F351" s="99"/>
      <c r="G351" s="146" t="s">
        <v>1926</v>
      </c>
    </row>
    <row r="352" spans="1:7" customFormat="1" ht="14.25" hidden="1" customHeight="1">
      <c r="A352" s="238">
        <v>45749</v>
      </c>
      <c r="B352" s="238" t="s">
        <v>74</v>
      </c>
      <c r="C352" s="142" t="s">
        <v>1935</v>
      </c>
      <c r="D352" s="99">
        <v>45753</v>
      </c>
      <c r="E352" s="146" t="s">
        <v>783</v>
      </c>
      <c r="F352" s="99"/>
      <c r="G352" s="146" t="s">
        <v>1936</v>
      </c>
    </row>
    <row r="353" spans="1:7" customFormat="1" ht="14.25" hidden="1" customHeight="1">
      <c r="A353" s="238">
        <v>45749</v>
      </c>
      <c r="B353" s="238" t="s">
        <v>74</v>
      </c>
      <c r="C353" s="142" t="s">
        <v>1937</v>
      </c>
      <c r="D353" s="99">
        <v>45754</v>
      </c>
      <c r="E353" s="146" t="s">
        <v>783</v>
      </c>
      <c r="F353" s="99"/>
      <c r="G353" s="146" t="s">
        <v>1938</v>
      </c>
    </row>
    <row r="354" spans="1:7" customFormat="1" ht="14.25" hidden="1" customHeight="1">
      <c r="A354" s="238">
        <v>45749</v>
      </c>
      <c r="B354" s="238" t="s">
        <v>435</v>
      </c>
      <c r="C354" s="142" t="s">
        <v>1939</v>
      </c>
      <c r="D354" s="99">
        <v>45756</v>
      </c>
      <c r="E354" s="146" t="s">
        <v>783</v>
      </c>
      <c r="F354" s="99"/>
      <c r="G354" s="146" t="s">
        <v>1940</v>
      </c>
    </row>
    <row r="355" spans="1:7" customFormat="1" ht="14.25" hidden="1" customHeight="1">
      <c r="A355" s="238">
        <v>45750</v>
      </c>
      <c r="B355" s="238" t="s">
        <v>133</v>
      </c>
      <c r="C355" s="142" t="s">
        <v>1941</v>
      </c>
      <c r="D355" s="99">
        <v>45758</v>
      </c>
      <c r="E355" s="146" t="s">
        <v>783</v>
      </c>
      <c r="F355" s="99"/>
      <c r="G355" s="146" t="s">
        <v>1942</v>
      </c>
    </row>
    <row r="356" spans="1:7" customFormat="1" ht="14.25" hidden="1" customHeight="1">
      <c r="A356" s="238">
        <v>45750</v>
      </c>
      <c r="B356" s="238" t="s">
        <v>133</v>
      </c>
      <c r="C356" s="142" t="s">
        <v>1943</v>
      </c>
      <c r="D356" s="99">
        <v>45758</v>
      </c>
      <c r="E356" s="146" t="s">
        <v>783</v>
      </c>
      <c r="F356" s="99"/>
      <c r="G356" s="146" t="s">
        <v>1944</v>
      </c>
    </row>
    <row r="357" spans="1:7" customFormat="1" ht="14.25" hidden="1" customHeight="1">
      <c r="A357" s="238">
        <v>45750</v>
      </c>
      <c r="B357" s="238" t="s">
        <v>133</v>
      </c>
      <c r="C357" s="142" t="s">
        <v>1945</v>
      </c>
      <c r="D357" s="99">
        <v>45758</v>
      </c>
      <c r="E357" s="146" t="s">
        <v>82</v>
      </c>
      <c r="F357" s="99"/>
      <c r="G357" s="146" t="s">
        <v>1944</v>
      </c>
    </row>
    <row r="358" spans="1:7" customFormat="1" ht="14.25" hidden="1" customHeight="1">
      <c r="A358" s="238">
        <v>45751</v>
      </c>
      <c r="B358" s="238" t="s">
        <v>417</v>
      </c>
      <c r="C358" s="142" t="s">
        <v>1946</v>
      </c>
      <c r="D358" s="99">
        <v>45751</v>
      </c>
      <c r="E358" s="146" t="s">
        <v>783</v>
      </c>
      <c r="F358" s="99"/>
      <c r="G358" s="146" t="s">
        <v>1926</v>
      </c>
    </row>
    <row r="359" spans="1:7" customFormat="1" ht="14.25" hidden="1" customHeight="1">
      <c r="A359" s="238">
        <v>45751</v>
      </c>
      <c r="B359" s="238" t="s">
        <v>417</v>
      </c>
      <c r="C359" s="142" t="s">
        <v>1947</v>
      </c>
      <c r="D359" s="99">
        <v>45751</v>
      </c>
      <c r="E359" s="146" t="s">
        <v>783</v>
      </c>
      <c r="F359" s="99"/>
      <c r="G359" s="146" t="s">
        <v>1948</v>
      </c>
    </row>
    <row r="360" spans="1:7" customFormat="1" ht="14.25" hidden="1" customHeight="1">
      <c r="A360" s="238">
        <v>45751</v>
      </c>
      <c r="B360" s="238" t="s">
        <v>417</v>
      </c>
      <c r="C360" s="142" t="s">
        <v>1949</v>
      </c>
      <c r="D360" s="99">
        <v>45751</v>
      </c>
      <c r="E360" s="146" t="s">
        <v>783</v>
      </c>
      <c r="F360" s="99"/>
      <c r="G360" s="146" t="s">
        <v>1948</v>
      </c>
    </row>
    <row r="361" spans="1:7" customFormat="1" ht="14.25" hidden="1" customHeight="1">
      <c r="A361" s="238">
        <v>45751</v>
      </c>
      <c r="B361" s="238" t="s">
        <v>417</v>
      </c>
      <c r="C361" s="142" t="s">
        <v>1950</v>
      </c>
      <c r="D361" s="99">
        <v>45751</v>
      </c>
      <c r="E361" s="146" t="s">
        <v>783</v>
      </c>
      <c r="F361" s="99"/>
      <c r="G361" s="146" t="s">
        <v>1948</v>
      </c>
    </row>
    <row r="362" spans="1:7" customFormat="1" ht="14.25" hidden="1" customHeight="1">
      <c r="A362" s="238">
        <v>45754</v>
      </c>
      <c r="B362" s="238" t="s">
        <v>1391</v>
      </c>
      <c r="C362" s="142" t="s">
        <v>1951</v>
      </c>
      <c r="D362" s="99">
        <v>45757</v>
      </c>
      <c r="E362" s="146" t="s">
        <v>783</v>
      </c>
      <c r="F362" s="99"/>
      <c r="G362" s="146" t="s">
        <v>1942</v>
      </c>
    </row>
    <row r="363" spans="1:7" customFormat="1" ht="14.25" hidden="1" customHeight="1">
      <c r="A363" s="238">
        <v>45755</v>
      </c>
      <c r="B363" s="238" t="s">
        <v>1952</v>
      </c>
      <c r="C363" s="142" t="s">
        <v>1953</v>
      </c>
      <c r="D363" s="99">
        <v>45762</v>
      </c>
      <c r="E363" s="146" t="s">
        <v>783</v>
      </c>
      <c r="F363" s="99"/>
      <c r="G363" s="146" t="s">
        <v>1954</v>
      </c>
    </row>
    <row r="364" spans="1:7" customFormat="1" ht="14.25" hidden="1" customHeight="1">
      <c r="A364" s="238">
        <v>45755</v>
      </c>
      <c r="B364" s="238" t="s">
        <v>1361</v>
      </c>
      <c r="C364" s="142" t="s">
        <v>1955</v>
      </c>
      <c r="D364" s="99">
        <v>45762</v>
      </c>
      <c r="E364" s="146" t="s">
        <v>783</v>
      </c>
      <c r="F364" s="99"/>
      <c r="G364" s="146" t="s">
        <v>1954</v>
      </c>
    </row>
    <row r="365" spans="1:7" customFormat="1" ht="14.25" hidden="1" customHeight="1">
      <c r="A365" s="238">
        <v>45755</v>
      </c>
      <c r="B365" s="238" t="s">
        <v>1361</v>
      </c>
      <c r="C365" s="142" t="s">
        <v>1956</v>
      </c>
      <c r="D365" s="99">
        <v>45762</v>
      </c>
      <c r="E365" s="146" t="s">
        <v>783</v>
      </c>
      <c r="F365" s="99"/>
      <c r="G365" s="146" t="s">
        <v>1954</v>
      </c>
    </row>
    <row r="366" spans="1:7" customFormat="1" ht="14.25" hidden="1" customHeight="1">
      <c r="A366" s="238">
        <v>45755</v>
      </c>
      <c r="B366" s="238" t="s">
        <v>1361</v>
      </c>
      <c r="C366" s="142" t="s">
        <v>1957</v>
      </c>
      <c r="D366" s="99">
        <v>45762</v>
      </c>
      <c r="E366" s="146" t="s">
        <v>783</v>
      </c>
      <c r="F366" s="99"/>
      <c r="G366" s="146" t="s">
        <v>1954</v>
      </c>
    </row>
    <row r="367" spans="1:7" customFormat="1" ht="14.25" hidden="1" customHeight="1">
      <c r="A367" s="238">
        <v>45755</v>
      </c>
      <c r="B367" s="238" t="s">
        <v>1361</v>
      </c>
      <c r="C367" s="142" t="s">
        <v>1958</v>
      </c>
      <c r="D367" s="99">
        <v>45762</v>
      </c>
      <c r="E367" s="146" t="s">
        <v>783</v>
      </c>
      <c r="F367" s="99"/>
      <c r="G367" s="146" t="s">
        <v>1954</v>
      </c>
    </row>
    <row r="368" spans="1:7" customFormat="1" ht="14.25" hidden="1" customHeight="1">
      <c r="A368" s="238">
        <v>45755</v>
      </c>
      <c r="B368" s="238" t="s">
        <v>1361</v>
      </c>
      <c r="C368" s="142" t="s">
        <v>1959</v>
      </c>
      <c r="D368" s="99">
        <v>45762</v>
      </c>
      <c r="E368" s="146" t="s">
        <v>783</v>
      </c>
      <c r="F368" s="99"/>
      <c r="G368" s="146" t="s">
        <v>1954</v>
      </c>
    </row>
    <row r="369" spans="1:7" customFormat="1" ht="14.25" hidden="1" customHeight="1">
      <c r="A369" s="238">
        <v>45755</v>
      </c>
      <c r="B369" s="238" t="s">
        <v>714</v>
      </c>
      <c r="C369" s="142" t="s">
        <v>1960</v>
      </c>
      <c r="D369" s="99">
        <v>45768</v>
      </c>
      <c r="E369" s="146" t="s">
        <v>783</v>
      </c>
      <c r="F369" s="99"/>
      <c r="G369" s="146" t="s">
        <v>1961</v>
      </c>
    </row>
    <row r="370" spans="1:7" customFormat="1" ht="14.25" hidden="1" customHeight="1">
      <c r="A370" s="238">
        <v>45755</v>
      </c>
      <c r="B370" s="238" t="s">
        <v>714</v>
      </c>
      <c r="C370" s="142" t="s">
        <v>1962</v>
      </c>
      <c r="D370" s="99">
        <v>45761</v>
      </c>
      <c r="E370" s="146" t="s">
        <v>783</v>
      </c>
      <c r="F370" s="99"/>
      <c r="G370" s="146" t="s">
        <v>1963</v>
      </c>
    </row>
    <row r="371" spans="1:7" customFormat="1" ht="14.25" hidden="1" customHeight="1">
      <c r="A371" s="238">
        <v>45755</v>
      </c>
      <c r="B371" s="238" t="s">
        <v>447</v>
      </c>
      <c r="C371" s="142" t="s">
        <v>1964</v>
      </c>
      <c r="D371" s="99">
        <v>45755</v>
      </c>
      <c r="E371" s="146" t="s">
        <v>783</v>
      </c>
      <c r="F371" s="99"/>
      <c r="G371" s="146" t="s">
        <v>1848</v>
      </c>
    </row>
    <row r="372" spans="1:7" customFormat="1" ht="14.25" hidden="1" customHeight="1">
      <c r="A372" s="238">
        <v>45757</v>
      </c>
      <c r="B372" s="238" t="s">
        <v>1391</v>
      </c>
      <c r="C372" s="142" t="s">
        <v>1965</v>
      </c>
      <c r="D372" s="99">
        <v>45765</v>
      </c>
      <c r="E372" s="146" t="s">
        <v>783</v>
      </c>
      <c r="F372" s="99"/>
      <c r="G372" s="146" t="s">
        <v>1966</v>
      </c>
    </row>
    <row r="373" spans="1:7" customFormat="1" ht="14.25" hidden="1" customHeight="1">
      <c r="A373" s="238">
        <v>45757</v>
      </c>
      <c r="B373" s="238" t="s">
        <v>1391</v>
      </c>
      <c r="C373" s="142" t="s">
        <v>1967</v>
      </c>
      <c r="D373" s="99">
        <v>45765</v>
      </c>
      <c r="E373" s="146" t="s">
        <v>82</v>
      </c>
      <c r="F373" s="99"/>
      <c r="G373" s="146" t="s">
        <v>1966</v>
      </c>
    </row>
    <row r="374" spans="1:7" customFormat="1" ht="14.25" hidden="1" customHeight="1">
      <c r="A374" s="238">
        <v>45757</v>
      </c>
      <c r="B374" s="238" t="s">
        <v>435</v>
      </c>
      <c r="C374" s="142" t="s">
        <v>1968</v>
      </c>
      <c r="D374" s="99">
        <v>45761</v>
      </c>
      <c r="E374" s="146" t="s">
        <v>783</v>
      </c>
      <c r="F374" s="99"/>
      <c r="G374" s="146" t="s">
        <v>1969</v>
      </c>
    </row>
    <row r="375" spans="1:7" customFormat="1" ht="14.25" hidden="1" customHeight="1">
      <c r="A375" s="238">
        <v>45758</v>
      </c>
      <c r="B375" s="238" t="s">
        <v>1391</v>
      </c>
      <c r="C375" s="142" t="s">
        <v>1970</v>
      </c>
      <c r="D375" s="99" t="s">
        <v>672</v>
      </c>
      <c r="E375" s="146" t="s">
        <v>783</v>
      </c>
      <c r="F375" s="99"/>
      <c r="G375" s="146" t="s">
        <v>1971</v>
      </c>
    </row>
    <row r="376" spans="1:7" customFormat="1" ht="14.25" hidden="1" customHeight="1">
      <c r="A376" s="238">
        <v>45758</v>
      </c>
      <c r="B376" s="238" t="s">
        <v>1391</v>
      </c>
      <c r="C376" s="142" t="s">
        <v>1972</v>
      </c>
      <c r="D376" s="99" t="s">
        <v>672</v>
      </c>
      <c r="E376" s="146" t="s">
        <v>783</v>
      </c>
      <c r="F376" s="99"/>
      <c r="G376" s="146" t="s">
        <v>1971</v>
      </c>
    </row>
    <row r="377" spans="1:7" customFormat="1" ht="14.25" hidden="1" customHeight="1">
      <c r="A377" s="238">
        <v>45761</v>
      </c>
      <c r="B377" s="238" t="s">
        <v>1391</v>
      </c>
      <c r="C377" s="142" t="s">
        <v>1973</v>
      </c>
      <c r="D377" s="99">
        <v>45768</v>
      </c>
      <c r="E377" s="146" t="s">
        <v>783</v>
      </c>
      <c r="F377" s="99"/>
      <c r="G377" s="146" t="s">
        <v>1974</v>
      </c>
    </row>
    <row r="378" spans="1:7" customFormat="1" ht="14.25" hidden="1" customHeight="1">
      <c r="A378" s="238">
        <v>45761</v>
      </c>
      <c r="B378" s="238" t="s">
        <v>435</v>
      </c>
      <c r="C378" s="142" t="s">
        <v>1975</v>
      </c>
      <c r="D378" s="99">
        <v>45768</v>
      </c>
      <c r="E378" s="146" t="s">
        <v>783</v>
      </c>
      <c r="F378" s="99"/>
      <c r="G378" s="146" t="s">
        <v>1976</v>
      </c>
    </row>
    <row r="379" spans="1:7" customFormat="1" ht="14.25" hidden="1" customHeight="1">
      <c r="A379" s="238">
        <v>45762</v>
      </c>
      <c r="B379" s="238" t="s">
        <v>74</v>
      </c>
      <c r="C379" s="142" t="s">
        <v>1977</v>
      </c>
      <c r="D379" s="99">
        <v>45765</v>
      </c>
      <c r="E379" s="146" t="s">
        <v>82</v>
      </c>
      <c r="F379" s="99"/>
      <c r="G379" s="146" t="s">
        <v>1978</v>
      </c>
    </row>
    <row r="380" spans="1:7" customFormat="1" ht="14.25" hidden="1" customHeight="1">
      <c r="A380" s="238">
        <v>45762</v>
      </c>
      <c r="B380" s="381" t="s">
        <v>289</v>
      </c>
      <c r="C380" s="142" t="s">
        <v>1979</v>
      </c>
      <c r="D380" s="99">
        <v>45769</v>
      </c>
      <c r="E380" s="146" t="s">
        <v>1366</v>
      </c>
      <c r="F380" s="99"/>
      <c r="G380" s="146" t="s">
        <v>1980</v>
      </c>
    </row>
    <row r="381" spans="1:7" customFormat="1" ht="14.25" hidden="1" customHeight="1">
      <c r="A381" s="238">
        <v>45762</v>
      </c>
      <c r="B381" s="238" t="s">
        <v>289</v>
      </c>
      <c r="C381" s="142" t="s">
        <v>1981</v>
      </c>
      <c r="D381" s="99">
        <v>45769</v>
      </c>
      <c r="E381" s="146" t="s">
        <v>82</v>
      </c>
      <c r="F381" s="99"/>
      <c r="G381" s="146" t="s">
        <v>1980</v>
      </c>
    </row>
    <row r="382" spans="1:7" customFormat="1" ht="14.25" hidden="1" customHeight="1">
      <c r="A382" s="238">
        <v>45762</v>
      </c>
      <c r="B382" s="238" t="s">
        <v>289</v>
      </c>
      <c r="C382" s="142" t="s">
        <v>1982</v>
      </c>
      <c r="D382" s="99">
        <v>45769</v>
      </c>
      <c r="E382" s="146" t="s">
        <v>783</v>
      </c>
      <c r="F382" s="99"/>
      <c r="G382" s="146" t="s">
        <v>1983</v>
      </c>
    </row>
    <row r="383" spans="1:7" customFormat="1" ht="14.25" hidden="1" customHeight="1">
      <c r="A383" s="238">
        <v>45762</v>
      </c>
      <c r="B383" s="238" t="s">
        <v>289</v>
      </c>
      <c r="C383" s="142" t="s">
        <v>1984</v>
      </c>
      <c r="D383" s="99">
        <v>45769</v>
      </c>
      <c r="E383" s="146" t="s">
        <v>783</v>
      </c>
      <c r="F383" s="99"/>
      <c r="G383" s="146" t="s">
        <v>1985</v>
      </c>
    </row>
    <row r="384" spans="1:7" customFormat="1" ht="14.25" hidden="1" customHeight="1">
      <c r="A384" s="238">
        <v>45762</v>
      </c>
      <c r="B384" s="239" t="s">
        <v>1421</v>
      </c>
      <c r="C384" s="142" t="s">
        <v>1986</v>
      </c>
      <c r="D384" s="99">
        <v>45764</v>
      </c>
      <c r="E384" s="146" t="s">
        <v>783</v>
      </c>
      <c r="F384" s="99"/>
      <c r="G384" s="146" t="s">
        <v>1872</v>
      </c>
    </row>
    <row r="385" spans="1:7" customFormat="1" ht="14.25" hidden="1" customHeight="1">
      <c r="A385" s="238">
        <v>45763</v>
      </c>
      <c r="B385" s="238" t="s">
        <v>379</v>
      </c>
      <c r="C385" s="142" t="s">
        <v>1987</v>
      </c>
      <c r="D385" s="99">
        <v>45771</v>
      </c>
      <c r="E385" s="146" t="s">
        <v>82</v>
      </c>
      <c r="F385" s="99"/>
      <c r="G385" s="146" t="s">
        <v>1974</v>
      </c>
    </row>
    <row r="386" spans="1:7" customFormat="1" ht="14.25" hidden="1" customHeight="1">
      <c r="A386" s="238">
        <v>45763</v>
      </c>
      <c r="B386" s="238" t="s">
        <v>379</v>
      </c>
      <c r="C386" s="142" t="s">
        <v>1988</v>
      </c>
      <c r="D386" s="99">
        <v>45771</v>
      </c>
      <c r="E386" s="146" t="s">
        <v>783</v>
      </c>
      <c r="F386" s="99"/>
      <c r="G386" s="146" t="s">
        <v>1985</v>
      </c>
    </row>
    <row r="387" spans="1:7" customFormat="1" ht="14.25" hidden="1" customHeight="1">
      <c r="A387" s="238">
        <v>45764</v>
      </c>
      <c r="B387" s="238" t="s">
        <v>254</v>
      </c>
      <c r="C387" s="142" t="s">
        <v>1989</v>
      </c>
      <c r="D387" s="99">
        <v>45764</v>
      </c>
      <c r="E387" s="146" t="s">
        <v>783</v>
      </c>
      <c r="F387" s="99"/>
      <c r="G387" s="146" t="s">
        <v>1990</v>
      </c>
    </row>
    <row r="388" spans="1:7" customFormat="1" ht="14.25" hidden="1" customHeight="1">
      <c r="A388" s="238">
        <v>45764</v>
      </c>
      <c r="B388" s="238" t="s">
        <v>289</v>
      </c>
      <c r="C388" s="142" t="s">
        <v>1991</v>
      </c>
      <c r="D388" s="99">
        <v>45774</v>
      </c>
      <c r="E388" s="146" t="s">
        <v>1366</v>
      </c>
      <c r="F388" s="99"/>
      <c r="G388" s="146" t="s">
        <v>1985</v>
      </c>
    </row>
    <row r="389" spans="1:7" customFormat="1" ht="14.25" hidden="1" customHeight="1">
      <c r="A389" s="238">
        <v>45764</v>
      </c>
      <c r="B389" s="238" t="s">
        <v>385</v>
      </c>
      <c r="C389" s="142" t="s">
        <v>1992</v>
      </c>
      <c r="D389" s="778">
        <v>45766</v>
      </c>
      <c r="E389" s="779" t="s">
        <v>783</v>
      </c>
      <c r="F389" s="99"/>
      <c r="G389" s="146" t="s">
        <v>1993</v>
      </c>
    </row>
    <row r="390" spans="1:7" customFormat="1" ht="14.25" hidden="1" customHeight="1">
      <c r="A390" s="238">
        <v>45768</v>
      </c>
      <c r="B390" s="238" t="s">
        <v>281</v>
      </c>
      <c r="C390" s="142" t="s">
        <v>1994</v>
      </c>
      <c r="D390" s="99">
        <v>45775</v>
      </c>
      <c r="E390" s="146" t="s">
        <v>783</v>
      </c>
      <c r="F390" s="99"/>
      <c r="G390" s="146" t="s">
        <v>1995</v>
      </c>
    </row>
    <row r="391" spans="1:7" customFormat="1" ht="14.25" hidden="1" customHeight="1">
      <c r="A391" s="238">
        <v>45769</v>
      </c>
      <c r="B391" s="238" t="s">
        <v>293</v>
      </c>
      <c r="C391" s="142" t="s">
        <v>1996</v>
      </c>
      <c r="D391" s="99">
        <v>45782</v>
      </c>
      <c r="E391" s="146" t="s">
        <v>783</v>
      </c>
      <c r="F391" s="99"/>
      <c r="G391" s="146" t="s">
        <v>1997</v>
      </c>
    </row>
    <row r="392" spans="1:7" customFormat="1" ht="14.25" hidden="1" customHeight="1">
      <c r="A392" s="238">
        <v>45770</v>
      </c>
      <c r="B392" s="238" t="s">
        <v>714</v>
      </c>
      <c r="C392" s="142" t="s">
        <v>1998</v>
      </c>
      <c r="D392" s="99">
        <v>45772</v>
      </c>
      <c r="E392" s="146" t="s">
        <v>1366</v>
      </c>
      <c r="F392" s="99"/>
      <c r="G392" s="146" t="s">
        <v>1995</v>
      </c>
    </row>
    <row r="393" spans="1:7" customFormat="1" ht="14.25" hidden="1" customHeight="1">
      <c r="A393" s="238">
        <v>45770</v>
      </c>
      <c r="B393" s="238" t="s">
        <v>364</v>
      </c>
      <c r="C393" s="142" t="s">
        <v>1999</v>
      </c>
      <c r="D393" s="99">
        <v>45775</v>
      </c>
      <c r="E393" s="146" t="s">
        <v>1366</v>
      </c>
      <c r="F393" s="99"/>
      <c r="G393" s="146" t="s">
        <v>1995</v>
      </c>
    </row>
    <row r="394" spans="1:7" customFormat="1" ht="14.25" hidden="1" customHeight="1">
      <c r="A394" s="238">
        <v>45777</v>
      </c>
      <c r="B394" s="238" t="s">
        <v>114</v>
      </c>
      <c r="C394" s="142" t="s">
        <v>2000</v>
      </c>
      <c r="D394" s="99">
        <v>45782</v>
      </c>
      <c r="E394" s="146" t="s">
        <v>82</v>
      </c>
      <c r="F394" s="99"/>
      <c r="G394" s="146" t="s">
        <v>2001</v>
      </c>
    </row>
    <row r="395" spans="1:7" customFormat="1" ht="14.25" hidden="1" customHeight="1">
      <c r="A395" s="238">
        <v>45777</v>
      </c>
      <c r="B395" s="238" t="s">
        <v>114</v>
      </c>
      <c r="C395" s="142" t="s">
        <v>2002</v>
      </c>
      <c r="D395" s="99">
        <v>45782</v>
      </c>
      <c r="E395" s="146" t="s">
        <v>82</v>
      </c>
      <c r="F395" s="99"/>
      <c r="G395" s="146" t="s">
        <v>2001</v>
      </c>
    </row>
    <row r="396" spans="1:7" customFormat="1" ht="14.25" hidden="1" customHeight="1">
      <c r="A396" s="238">
        <v>45777</v>
      </c>
      <c r="B396" s="238" t="s">
        <v>417</v>
      </c>
      <c r="C396" s="142" t="s">
        <v>2003</v>
      </c>
      <c r="D396" s="99">
        <v>45777</v>
      </c>
      <c r="E396" s="146" t="s">
        <v>82</v>
      </c>
      <c r="F396" s="99"/>
      <c r="G396" s="146" t="s">
        <v>2004</v>
      </c>
    </row>
    <row r="397" spans="1:7" customFormat="1" ht="14.25" hidden="1" customHeight="1">
      <c r="A397" s="238">
        <v>45777</v>
      </c>
      <c r="B397" s="238" t="s">
        <v>417</v>
      </c>
      <c r="C397" s="142" t="s">
        <v>2005</v>
      </c>
      <c r="D397" s="99">
        <v>45777</v>
      </c>
      <c r="E397" s="146" t="s">
        <v>82</v>
      </c>
      <c r="F397" s="99"/>
      <c r="G397" s="146" t="s">
        <v>2004</v>
      </c>
    </row>
    <row r="398" spans="1:7" customFormat="1" ht="14.25" hidden="1" customHeight="1">
      <c r="A398" s="238">
        <v>45777</v>
      </c>
      <c r="B398" s="238" t="s">
        <v>417</v>
      </c>
      <c r="C398" s="142" t="s">
        <v>2006</v>
      </c>
      <c r="D398" s="99">
        <v>45777</v>
      </c>
      <c r="E398" s="146" t="s">
        <v>82</v>
      </c>
      <c r="F398" s="99"/>
      <c r="G398" s="146" t="s">
        <v>2004</v>
      </c>
    </row>
    <row r="399" spans="1:7" customFormat="1" ht="14.25" hidden="1" customHeight="1">
      <c r="A399" s="238">
        <v>45778</v>
      </c>
      <c r="B399" s="238" t="s">
        <v>229</v>
      </c>
      <c r="C399" s="142" t="s">
        <v>2007</v>
      </c>
      <c r="D399" s="99">
        <v>45779</v>
      </c>
      <c r="E399" s="146" t="s">
        <v>783</v>
      </c>
      <c r="F399" s="99"/>
      <c r="G399" s="146" t="s">
        <v>2001</v>
      </c>
    </row>
    <row r="400" spans="1:7" customFormat="1" ht="14.25" hidden="1" customHeight="1">
      <c r="A400" s="238">
        <v>45778</v>
      </c>
      <c r="B400" s="238" t="s">
        <v>320</v>
      </c>
      <c r="C400" s="142" t="s">
        <v>2008</v>
      </c>
      <c r="D400" s="99">
        <v>45778</v>
      </c>
      <c r="E400" s="146" t="s">
        <v>783</v>
      </c>
      <c r="F400" s="99"/>
      <c r="G400" s="146" t="s">
        <v>2001</v>
      </c>
    </row>
    <row r="401" spans="1:7" customFormat="1" ht="14.25" hidden="1" customHeight="1">
      <c r="A401" s="238">
        <v>45778</v>
      </c>
      <c r="B401" s="238" t="s">
        <v>343</v>
      </c>
      <c r="C401" s="142" t="s">
        <v>2009</v>
      </c>
      <c r="D401" s="99">
        <v>45785</v>
      </c>
      <c r="E401" s="146" t="s">
        <v>783</v>
      </c>
      <c r="F401" s="99"/>
      <c r="G401" s="146" t="s">
        <v>2010</v>
      </c>
    </row>
    <row r="402" spans="1:7" customFormat="1" ht="14.25" hidden="1" customHeight="1">
      <c r="A402" s="238">
        <v>45782</v>
      </c>
      <c r="B402" s="238" t="s">
        <v>320</v>
      </c>
      <c r="C402" s="142" t="s">
        <v>2011</v>
      </c>
      <c r="D402" s="99">
        <v>45785</v>
      </c>
      <c r="E402" s="146" t="s">
        <v>783</v>
      </c>
      <c r="F402" s="99"/>
      <c r="G402" s="146" t="s">
        <v>2012</v>
      </c>
    </row>
    <row r="403" spans="1:7" customFormat="1" ht="14.25" hidden="1" customHeight="1">
      <c r="A403" s="238">
        <v>45782</v>
      </c>
      <c r="B403" s="238" t="s">
        <v>714</v>
      </c>
      <c r="C403" s="142" t="s">
        <v>2013</v>
      </c>
      <c r="D403" s="99">
        <v>45784</v>
      </c>
      <c r="E403" s="146" t="s">
        <v>82</v>
      </c>
      <c r="F403" s="99"/>
      <c r="G403" s="146" t="s">
        <v>2014</v>
      </c>
    </row>
    <row r="404" spans="1:7" customFormat="1" ht="14.25" hidden="1" customHeight="1">
      <c r="A404" s="238">
        <v>45782</v>
      </c>
      <c r="B404" s="238" t="s">
        <v>364</v>
      </c>
      <c r="C404" s="142" t="s">
        <v>2015</v>
      </c>
      <c r="D404" s="99">
        <v>45784</v>
      </c>
      <c r="E404" s="146" t="s">
        <v>1675</v>
      </c>
      <c r="F404" s="99"/>
      <c r="G404" s="146" t="s">
        <v>2016</v>
      </c>
    </row>
    <row r="405" spans="1:7" customFormat="1" ht="14.25" hidden="1" customHeight="1">
      <c r="A405" s="238">
        <v>45783</v>
      </c>
      <c r="B405" s="238" t="s">
        <v>796</v>
      </c>
      <c r="C405" s="142" t="s">
        <v>2017</v>
      </c>
      <c r="D405" s="99">
        <v>45790</v>
      </c>
      <c r="E405" s="146" t="s">
        <v>783</v>
      </c>
      <c r="F405" s="99"/>
      <c r="G405" s="146" t="s">
        <v>2018</v>
      </c>
    </row>
    <row r="406" spans="1:7" customFormat="1" ht="14.25" hidden="1" customHeight="1">
      <c r="A406" s="238">
        <v>45783</v>
      </c>
      <c r="B406" s="238" t="s">
        <v>1391</v>
      </c>
      <c r="C406" s="142" t="s">
        <v>2019</v>
      </c>
      <c r="D406" s="99">
        <v>45791</v>
      </c>
      <c r="E406" s="146" t="s">
        <v>783</v>
      </c>
      <c r="F406" s="99"/>
      <c r="G406" s="146" t="s">
        <v>2020</v>
      </c>
    </row>
    <row r="407" spans="1:7" customFormat="1" ht="14.25" hidden="1" customHeight="1">
      <c r="A407" s="238">
        <v>45784</v>
      </c>
      <c r="B407" s="238" t="s">
        <v>114</v>
      </c>
      <c r="C407" s="142" t="s">
        <v>2021</v>
      </c>
      <c r="D407" s="99">
        <v>45789</v>
      </c>
      <c r="E407" s="146" t="s">
        <v>783</v>
      </c>
      <c r="F407" s="99"/>
      <c r="G407" s="146" t="s">
        <v>2012</v>
      </c>
    </row>
    <row r="408" spans="1:7" customFormat="1" ht="14.25" hidden="1" customHeight="1">
      <c r="A408" s="238">
        <v>45784</v>
      </c>
      <c r="B408" s="238" t="s">
        <v>267</v>
      </c>
      <c r="C408" s="142" t="s">
        <v>2022</v>
      </c>
      <c r="D408" s="99">
        <v>45784</v>
      </c>
      <c r="E408" s="146" t="s">
        <v>783</v>
      </c>
      <c r="F408" s="99"/>
      <c r="G408" s="146" t="s">
        <v>2023</v>
      </c>
    </row>
    <row r="409" spans="1:7" customFormat="1" ht="14.25" hidden="1" customHeight="1">
      <c r="A409" s="238">
        <v>45784</v>
      </c>
      <c r="B409" s="238" t="s">
        <v>359</v>
      </c>
      <c r="C409" s="142" t="s">
        <v>2024</v>
      </c>
      <c r="D409" s="99">
        <v>45790</v>
      </c>
      <c r="E409" s="146" t="s">
        <v>783</v>
      </c>
      <c r="F409" s="99"/>
      <c r="G409" s="146" t="s">
        <v>2020</v>
      </c>
    </row>
    <row r="410" spans="1:7" customFormat="1" ht="14.25" hidden="1" customHeight="1">
      <c r="A410" s="238">
        <v>45784</v>
      </c>
      <c r="B410" s="238" t="s">
        <v>359</v>
      </c>
      <c r="C410" s="142" t="s">
        <v>2025</v>
      </c>
      <c r="D410" s="99">
        <v>45790</v>
      </c>
      <c r="E410" s="146" t="s">
        <v>783</v>
      </c>
      <c r="F410" s="99"/>
      <c r="G410" s="146" t="s">
        <v>2020</v>
      </c>
    </row>
    <row r="411" spans="1:7" customFormat="1" ht="14.25" hidden="1" customHeight="1">
      <c r="A411" s="238">
        <v>45785</v>
      </c>
      <c r="B411" s="238" t="s">
        <v>281</v>
      </c>
      <c r="C411" s="142" t="s">
        <v>2026</v>
      </c>
      <c r="D411" s="99">
        <v>45786</v>
      </c>
      <c r="E411" s="146" t="s">
        <v>783</v>
      </c>
      <c r="F411" s="99"/>
      <c r="G411" s="146" t="s">
        <v>2020</v>
      </c>
    </row>
    <row r="412" spans="1:7" customFormat="1" ht="14.25" hidden="1" customHeight="1">
      <c r="A412" s="238">
        <v>45785</v>
      </c>
      <c r="B412" s="238" t="s">
        <v>435</v>
      </c>
      <c r="C412" s="142" t="s">
        <v>2027</v>
      </c>
      <c r="D412" s="99">
        <v>45791</v>
      </c>
      <c r="E412" s="146" t="s">
        <v>783</v>
      </c>
      <c r="F412" s="99"/>
      <c r="G412" s="146" t="s">
        <v>2020</v>
      </c>
    </row>
    <row r="413" spans="1:7" customFormat="1" ht="14.25" hidden="1" customHeight="1">
      <c r="A413" s="238">
        <v>45789</v>
      </c>
      <c r="B413" s="238" t="s">
        <v>343</v>
      </c>
      <c r="C413" s="142" t="s">
        <v>2028</v>
      </c>
      <c r="D413" s="99">
        <v>45793</v>
      </c>
      <c r="E413" s="146" t="s">
        <v>783</v>
      </c>
      <c r="F413" s="99"/>
      <c r="G413" s="146" t="s">
        <v>2029</v>
      </c>
    </row>
    <row r="414" spans="1:7" customFormat="1" ht="14.25" hidden="1" customHeight="1">
      <c r="A414" s="238">
        <v>45789</v>
      </c>
      <c r="B414" s="238" t="s">
        <v>417</v>
      </c>
      <c r="C414" s="142" t="s">
        <v>2030</v>
      </c>
      <c r="D414" s="99">
        <v>45796</v>
      </c>
      <c r="E414" s="146" t="s">
        <v>783</v>
      </c>
      <c r="F414" s="99"/>
      <c r="G414" s="146" t="s">
        <v>2031</v>
      </c>
    </row>
    <row r="415" spans="1:7" customFormat="1" ht="14.25" hidden="1" customHeight="1">
      <c r="A415" s="238">
        <v>45790</v>
      </c>
      <c r="B415" s="238" t="s">
        <v>229</v>
      </c>
      <c r="C415" s="142" t="s">
        <v>2032</v>
      </c>
      <c r="D415" s="99">
        <v>45790</v>
      </c>
      <c r="E415" s="146" t="s">
        <v>783</v>
      </c>
      <c r="F415" s="99"/>
      <c r="G415" s="146" t="s">
        <v>2033</v>
      </c>
    </row>
    <row r="416" spans="1:7" customFormat="1" ht="14.25" hidden="1" customHeight="1">
      <c r="A416" s="238">
        <v>45790</v>
      </c>
      <c r="B416" s="238" t="s">
        <v>229</v>
      </c>
      <c r="C416" s="142" t="s">
        <v>2034</v>
      </c>
      <c r="D416" s="99">
        <v>45799</v>
      </c>
      <c r="E416" s="146" t="s">
        <v>783</v>
      </c>
      <c r="F416" s="99"/>
      <c r="G416" s="146" t="s">
        <v>2035</v>
      </c>
    </row>
    <row r="417" spans="1:7" customFormat="1" ht="14.25" hidden="1" customHeight="1">
      <c r="A417" s="238">
        <v>45790</v>
      </c>
      <c r="B417" s="238" t="s">
        <v>281</v>
      </c>
      <c r="C417" s="142" t="s">
        <v>2036</v>
      </c>
      <c r="D417" s="99">
        <v>45792</v>
      </c>
      <c r="E417" s="146" t="s">
        <v>783</v>
      </c>
      <c r="F417" s="99"/>
      <c r="G417" s="146" t="s">
        <v>2029</v>
      </c>
    </row>
    <row r="418" spans="1:7" customFormat="1" ht="14.25" hidden="1" customHeight="1">
      <c r="A418" s="238">
        <v>45790</v>
      </c>
      <c r="B418" s="238" t="s">
        <v>714</v>
      </c>
      <c r="C418" s="142" t="s">
        <v>2037</v>
      </c>
      <c r="D418" s="99">
        <v>45797</v>
      </c>
      <c r="E418" s="146" t="s">
        <v>783</v>
      </c>
      <c r="F418" s="99"/>
      <c r="G418" s="146" t="s">
        <v>2038</v>
      </c>
    </row>
    <row r="419" spans="1:7" customFormat="1" ht="14.25" hidden="1" customHeight="1">
      <c r="A419" s="388">
        <v>45796</v>
      </c>
      <c r="B419" s="388" t="s">
        <v>126</v>
      </c>
      <c r="C419" s="380" t="s">
        <v>2039</v>
      </c>
      <c r="D419" s="99">
        <v>45799</v>
      </c>
      <c r="E419" s="146" t="s">
        <v>783</v>
      </c>
      <c r="F419" s="99"/>
      <c r="G419" s="146" t="s">
        <v>2040</v>
      </c>
    </row>
    <row r="420" spans="1:7" customFormat="1" ht="14.25" hidden="1" customHeight="1">
      <c r="A420" s="238">
        <v>45797</v>
      </c>
      <c r="B420" s="238" t="s">
        <v>714</v>
      </c>
      <c r="C420" s="142" t="s">
        <v>2041</v>
      </c>
      <c r="D420" s="99">
        <v>45803</v>
      </c>
      <c r="E420" s="146" t="s">
        <v>82</v>
      </c>
      <c r="F420" s="99"/>
      <c r="G420" s="146" t="s">
        <v>2042</v>
      </c>
    </row>
    <row r="421" spans="1:7" customFormat="1" ht="14.25" hidden="1" customHeight="1">
      <c r="A421" s="238">
        <v>45798</v>
      </c>
      <c r="B421" s="238" t="s">
        <v>229</v>
      </c>
      <c r="C421" s="142" t="s">
        <v>2043</v>
      </c>
      <c r="D421" s="99">
        <v>45800</v>
      </c>
      <c r="E421" s="146" t="s">
        <v>82</v>
      </c>
      <c r="F421" s="99"/>
      <c r="G421" s="146" t="s">
        <v>2044</v>
      </c>
    </row>
    <row r="422" spans="1:7" customFormat="1" ht="14.25" hidden="1" customHeight="1">
      <c r="A422" s="238">
        <v>45798</v>
      </c>
      <c r="B422" s="238" t="s">
        <v>1391</v>
      </c>
      <c r="C422" s="142" t="s">
        <v>2045</v>
      </c>
      <c r="D422" s="99">
        <v>45806</v>
      </c>
      <c r="E422" s="146" t="s">
        <v>82</v>
      </c>
      <c r="F422" s="99"/>
      <c r="G422" s="146" t="s">
        <v>2046</v>
      </c>
    </row>
    <row r="423" spans="1:7" customFormat="1" ht="14.25" hidden="1" customHeight="1">
      <c r="A423" s="238">
        <v>45798</v>
      </c>
      <c r="B423" s="238" t="s">
        <v>1391</v>
      </c>
      <c r="C423" s="142" t="s">
        <v>2047</v>
      </c>
      <c r="D423" s="99">
        <v>45807</v>
      </c>
      <c r="E423" s="146" t="s">
        <v>783</v>
      </c>
      <c r="F423" s="99"/>
      <c r="G423" s="146" t="s">
        <v>2046</v>
      </c>
    </row>
    <row r="424" spans="1:7" customFormat="1" ht="14.25" hidden="1" customHeight="1">
      <c r="A424" s="238">
        <v>45798</v>
      </c>
      <c r="B424" s="238" t="s">
        <v>281</v>
      </c>
      <c r="C424" s="142" t="s">
        <v>2048</v>
      </c>
      <c r="D424" s="99">
        <v>45805</v>
      </c>
      <c r="E424" s="146" t="s">
        <v>783</v>
      </c>
      <c r="F424" s="99"/>
      <c r="G424" s="146" t="s">
        <v>2049</v>
      </c>
    </row>
    <row r="425" spans="1:7" customFormat="1" ht="14.25" hidden="1" customHeight="1">
      <c r="A425" s="238">
        <v>45798</v>
      </c>
      <c r="B425" s="238" t="s">
        <v>281</v>
      </c>
      <c r="C425" s="142" t="s">
        <v>2050</v>
      </c>
      <c r="D425" s="99">
        <v>45805</v>
      </c>
      <c r="E425" s="146" t="s">
        <v>783</v>
      </c>
      <c r="F425" s="99"/>
      <c r="G425" s="146" t="s">
        <v>2051</v>
      </c>
    </row>
    <row r="426" spans="1:7" customFormat="1" ht="14.25" hidden="1" customHeight="1">
      <c r="A426" s="238">
        <v>45798</v>
      </c>
      <c r="B426" s="238" t="s">
        <v>289</v>
      </c>
      <c r="C426" s="142" t="s">
        <v>2052</v>
      </c>
      <c r="D426" s="99">
        <v>45800</v>
      </c>
      <c r="E426" s="146" t="s">
        <v>783</v>
      </c>
      <c r="F426" s="99"/>
      <c r="G426" s="146" t="s">
        <v>2053</v>
      </c>
    </row>
    <row r="427" spans="1:7" customFormat="1" ht="14.25" hidden="1" customHeight="1">
      <c r="A427" s="238">
        <v>45798</v>
      </c>
      <c r="B427" s="238" t="s">
        <v>1198</v>
      </c>
      <c r="C427" s="142" t="s">
        <v>2054</v>
      </c>
      <c r="D427" s="99">
        <v>45811</v>
      </c>
      <c r="E427" s="146" t="s">
        <v>783</v>
      </c>
      <c r="F427" s="99"/>
      <c r="G427" s="146" t="s">
        <v>2049</v>
      </c>
    </row>
    <row r="428" spans="1:7" customFormat="1" ht="14.25" hidden="1" customHeight="1">
      <c r="A428" s="238">
        <v>45798</v>
      </c>
      <c r="B428" s="238" t="s">
        <v>1198</v>
      </c>
      <c r="C428" s="142" t="s">
        <v>2055</v>
      </c>
      <c r="D428" s="99">
        <v>45811</v>
      </c>
      <c r="E428" s="146" t="s">
        <v>783</v>
      </c>
      <c r="F428" s="99"/>
      <c r="G428" s="146" t="s">
        <v>2049</v>
      </c>
    </row>
    <row r="429" spans="1:7" customFormat="1" ht="14.25" hidden="1" customHeight="1">
      <c r="A429" s="238">
        <v>45799</v>
      </c>
      <c r="B429" s="238" t="s">
        <v>166</v>
      </c>
      <c r="C429" s="142" t="s">
        <v>2056</v>
      </c>
      <c r="D429" s="99">
        <v>45800</v>
      </c>
      <c r="E429" s="146" t="s">
        <v>783</v>
      </c>
      <c r="F429" s="99"/>
      <c r="G429" s="146" t="s">
        <v>2057</v>
      </c>
    </row>
    <row r="430" spans="1:7" customFormat="1" ht="14.25" hidden="1" customHeight="1">
      <c r="A430" s="238">
        <v>45799</v>
      </c>
      <c r="B430" s="238" t="s">
        <v>714</v>
      </c>
      <c r="C430" s="142" t="s">
        <v>2058</v>
      </c>
      <c r="D430" s="99">
        <v>45805</v>
      </c>
      <c r="E430" s="146" t="s">
        <v>82</v>
      </c>
      <c r="F430" s="99"/>
      <c r="G430" s="146" t="s">
        <v>2059</v>
      </c>
    </row>
    <row r="431" spans="1:7" customFormat="1" ht="14.25" hidden="1" customHeight="1">
      <c r="A431" s="238">
        <v>45800</v>
      </c>
      <c r="B431" s="238" t="s">
        <v>724</v>
      </c>
      <c r="C431" s="142" t="s">
        <v>2060</v>
      </c>
      <c r="D431" s="99">
        <v>45806</v>
      </c>
      <c r="E431" s="146" t="s">
        <v>82</v>
      </c>
      <c r="F431" s="99"/>
      <c r="G431" s="146" t="s">
        <v>2061</v>
      </c>
    </row>
    <row r="432" spans="1:7" customFormat="1" ht="14.25" hidden="1" customHeight="1">
      <c r="A432" s="238">
        <v>45804</v>
      </c>
      <c r="B432" s="238" t="s">
        <v>74</v>
      </c>
      <c r="C432" s="142" t="s">
        <v>2062</v>
      </c>
      <c r="D432" s="99">
        <v>45805</v>
      </c>
      <c r="E432" s="146" t="s">
        <v>783</v>
      </c>
      <c r="F432" s="99"/>
      <c r="G432" s="146" t="s">
        <v>2063</v>
      </c>
    </row>
    <row r="433" spans="1:7" customFormat="1" ht="14.25" hidden="1" customHeight="1">
      <c r="A433" s="238">
        <v>45804</v>
      </c>
      <c r="B433" s="238" t="s">
        <v>714</v>
      </c>
      <c r="C433" s="142" t="s">
        <v>2064</v>
      </c>
      <c r="D433" s="99">
        <v>45806</v>
      </c>
      <c r="E433" s="146" t="s">
        <v>82</v>
      </c>
      <c r="F433" s="99"/>
      <c r="G433" s="146" t="s">
        <v>2065</v>
      </c>
    </row>
    <row r="434" spans="1:7" customFormat="1" ht="14.25" hidden="1" customHeight="1">
      <c r="A434" s="238">
        <v>45804</v>
      </c>
      <c r="B434" s="238" t="s">
        <v>714</v>
      </c>
      <c r="C434" s="142" t="s">
        <v>2066</v>
      </c>
      <c r="D434" s="99">
        <v>45806</v>
      </c>
      <c r="E434" s="146" t="s">
        <v>82</v>
      </c>
      <c r="F434" s="99"/>
      <c r="G434" s="146" t="s">
        <v>2065</v>
      </c>
    </row>
    <row r="435" spans="1:7" customFormat="1" ht="14.25" hidden="1" customHeight="1">
      <c r="A435" s="238">
        <v>45804</v>
      </c>
      <c r="B435" s="238" t="s">
        <v>714</v>
      </c>
      <c r="C435" s="142" t="s">
        <v>2067</v>
      </c>
      <c r="D435" s="99">
        <v>45806</v>
      </c>
      <c r="E435" s="146" t="s">
        <v>82</v>
      </c>
      <c r="F435" s="99"/>
      <c r="G435" s="146" t="s">
        <v>2068</v>
      </c>
    </row>
    <row r="436" spans="1:7" customFormat="1" ht="14.25" hidden="1" customHeight="1">
      <c r="A436" s="238">
        <v>45804</v>
      </c>
      <c r="B436" s="238" t="s">
        <v>714</v>
      </c>
      <c r="C436" s="142" t="s">
        <v>2069</v>
      </c>
      <c r="D436" s="99">
        <v>45806</v>
      </c>
      <c r="E436" s="146" t="s">
        <v>82</v>
      </c>
      <c r="F436" s="99"/>
      <c r="G436" s="146" t="s">
        <v>2065</v>
      </c>
    </row>
    <row r="437" spans="1:7" customFormat="1" ht="14.25" hidden="1" customHeight="1">
      <c r="A437" s="238">
        <v>45805</v>
      </c>
      <c r="B437" s="238" t="s">
        <v>320</v>
      </c>
      <c r="C437" s="142" t="s">
        <v>2070</v>
      </c>
      <c r="D437" s="99">
        <v>45811</v>
      </c>
      <c r="E437" s="146" t="s">
        <v>82</v>
      </c>
      <c r="F437" s="99"/>
      <c r="G437" s="146" t="s">
        <v>2071</v>
      </c>
    </row>
    <row r="438" spans="1:7" customFormat="1" ht="14.25" hidden="1" customHeight="1">
      <c r="A438" s="238">
        <v>45805</v>
      </c>
      <c r="B438" s="238" t="s">
        <v>714</v>
      </c>
      <c r="C438" s="142" t="s">
        <v>2072</v>
      </c>
      <c r="D438" s="99">
        <v>45811</v>
      </c>
      <c r="E438" s="146" t="s">
        <v>82</v>
      </c>
      <c r="F438" s="99"/>
      <c r="G438" s="146" t="s">
        <v>2073</v>
      </c>
    </row>
    <row r="439" spans="1:7" customFormat="1" ht="14.25" hidden="1" customHeight="1">
      <c r="A439" s="238">
        <v>45805</v>
      </c>
      <c r="B439" s="238" t="s">
        <v>724</v>
      </c>
      <c r="C439" s="142" t="s">
        <v>2074</v>
      </c>
      <c r="D439" s="99">
        <v>45811</v>
      </c>
      <c r="E439" s="146" t="s">
        <v>82</v>
      </c>
      <c r="F439" s="99"/>
      <c r="G439" s="146" t="s">
        <v>2075</v>
      </c>
    </row>
    <row r="440" spans="1:7" customFormat="1" ht="14.25" hidden="1" customHeight="1">
      <c r="A440" s="238">
        <v>45805</v>
      </c>
      <c r="B440" s="238" t="s">
        <v>435</v>
      </c>
      <c r="C440" s="142" t="s">
        <v>2076</v>
      </c>
      <c r="D440" s="99">
        <v>45812</v>
      </c>
      <c r="E440" s="146" t="s">
        <v>82</v>
      </c>
      <c r="F440" s="99"/>
      <c r="G440" s="146" t="s">
        <v>2077</v>
      </c>
    </row>
    <row r="441" spans="1:7" customFormat="1" ht="14.25" hidden="1" customHeight="1">
      <c r="A441" s="238">
        <v>45806</v>
      </c>
      <c r="B441" s="238" t="s">
        <v>267</v>
      </c>
      <c r="C441" s="142" t="s">
        <v>2078</v>
      </c>
      <c r="D441" s="99">
        <v>45817</v>
      </c>
      <c r="E441" s="146" t="s">
        <v>82</v>
      </c>
      <c r="F441" s="99"/>
      <c r="G441" s="146" t="s">
        <v>2079</v>
      </c>
    </row>
    <row r="442" spans="1:7" customFormat="1" ht="14.25" hidden="1" customHeight="1">
      <c r="A442" s="238">
        <v>45807</v>
      </c>
      <c r="B442" s="238" t="s">
        <v>289</v>
      </c>
      <c r="C442" s="142" t="s">
        <v>2080</v>
      </c>
      <c r="D442" s="99">
        <v>45814</v>
      </c>
      <c r="E442" s="146" t="s">
        <v>783</v>
      </c>
      <c r="F442" s="99"/>
      <c r="G442" s="146" t="s">
        <v>2081</v>
      </c>
    </row>
    <row r="443" spans="1:7" customFormat="1" ht="14.25" hidden="1" customHeight="1">
      <c r="A443" s="238">
        <v>45807</v>
      </c>
      <c r="B443" s="238" t="s">
        <v>1384</v>
      </c>
      <c r="C443" s="142" t="s">
        <v>2082</v>
      </c>
      <c r="D443" s="778">
        <v>45814</v>
      </c>
      <c r="E443" s="779" t="s">
        <v>82</v>
      </c>
      <c r="F443" s="99"/>
      <c r="G443" s="146" t="s">
        <v>2083</v>
      </c>
    </row>
    <row r="444" spans="1:7" customFormat="1" ht="14.25" hidden="1" customHeight="1">
      <c r="A444" s="238">
        <v>45808</v>
      </c>
      <c r="B444" s="238" t="s">
        <v>724</v>
      </c>
      <c r="C444" s="142" t="s">
        <v>2084</v>
      </c>
      <c r="D444" s="99">
        <v>45813</v>
      </c>
      <c r="E444" s="146" t="s">
        <v>82</v>
      </c>
      <c r="F444" s="99"/>
      <c r="G444" s="146" t="s">
        <v>2085</v>
      </c>
    </row>
    <row r="445" spans="1:7" customFormat="1" ht="14.25" hidden="1" customHeight="1">
      <c r="A445" s="238">
        <v>45808</v>
      </c>
      <c r="B445" s="238" t="s">
        <v>1384</v>
      </c>
      <c r="C445" s="142" t="s">
        <v>2086</v>
      </c>
      <c r="D445" s="778">
        <v>45814</v>
      </c>
      <c r="E445" s="779" t="s">
        <v>82</v>
      </c>
      <c r="F445" s="99"/>
      <c r="G445" s="146" t="s">
        <v>2083</v>
      </c>
    </row>
    <row r="446" spans="1:7" customFormat="1" ht="14.25" hidden="1" customHeight="1">
      <c r="A446" s="238">
        <v>45808</v>
      </c>
      <c r="B446" s="238" t="s">
        <v>1384</v>
      </c>
      <c r="C446" s="142" t="s">
        <v>2087</v>
      </c>
      <c r="D446" s="778">
        <v>45811</v>
      </c>
      <c r="E446" s="779" t="s">
        <v>82</v>
      </c>
      <c r="F446" s="99"/>
      <c r="G446" s="146" t="s">
        <v>2083</v>
      </c>
    </row>
    <row r="447" spans="1:7" customFormat="1" ht="14.25" hidden="1" customHeight="1">
      <c r="A447" s="238">
        <v>45810</v>
      </c>
      <c r="B447" s="238" t="s">
        <v>320</v>
      </c>
      <c r="C447" s="142" t="s">
        <v>2088</v>
      </c>
      <c r="D447" s="99">
        <v>45814</v>
      </c>
      <c r="E447" s="146" t="s">
        <v>82</v>
      </c>
      <c r="F447" s="99"/>
      <c r="G447" s="146" t="s">
        <v>2089</v>
      </c>
    </row>
    <row r="448" spans="1:7" customFormat="1" ht="14.25" hidden="1" customHeight="1">
      <c r="A448" s="238">
        <v>45810</v>
      </c>
      <c r="B448" s="238" t="s">
        <v>320</v>
      </c>
      <c r="C448" s="142" t="s">
        <v>2090</v>
      </c>
      <c r="D448" s="99">
        <v>45814</v>
      </c>
      <c r="E448" s="146" t="s">
        <v>82</v>
      </c>
      <c r="F448" s="99"/>
      <c r="G448" s="146" t="s">
        <v>2089</v>
      </c>
    </row>
    <row r="449" spans="1:7" customFormat="1" ht="14.25" hidden="1" customHeight="1">
      <c r="A449" s="238">
        <v>45810</v>
      </c>
      <c r="B449" s="238" t="s">
        <v>320</v>
      </c>
      <c r="C449" s="142" t="s">
        <v>2091</v>
      </c>
      <c r="D449" s="99">
        <v>45814</v>
      </c>
      <c r="E449" s="146" t="s">
        <v>82</v>
      </c>
      <c r="F449" s="99"/>
      <c r="G449" s="146" t="s">
        <v>2075</v>
      </c>
    </row>
    <row r="450" spans="1:7" customFormat="1" ht="14.25" hidden="1" customHeight="1">
      <c r="A450" s="238">
        <v>45810</v>
      </c>
      <c r="B450" s="238" t="s">
        <v>724</v>
      </c>
      <c r="C450" s="142" t="s">
        <v>2092</v>
      </c>
      <c r="D450" s="99">
        <v>45814</v>
      </c>
      <c r="E450" s="146" t="s">
        <v>82</v>
      </c>
      <c r="F450" s="99"/>
      <c r="G450" s="146" t="s">
        <v>2093</v>
      </c>
    </row>
    <row r="451" spans="1:7" customFormat="1" ht="14.25" hidden="1" customHeight="1">
      <c r="A451" s="238">
        <v>45811</v>
      </c>
      <c r="B451" s="238" t="s">
        <v>179</v>
      </c>
      <c r="C451" s="142" t="s">
        <v>2094</v>
      </c>
      <c r="D451" s="99">
        <v>45817</v>
      </c>
      <c r="E451" s="146" t="s">
        <v>82</v>
      </c>
      <c r="F451" s="99"/>
      <c r="G451" s="146" t="s">
        <v>2095</v>
      </c>
    </row>
    <row r="452" spans="1:7" customFormat="1" ht="14.25" hidden="1" customHeight="1">
      <c r="A452" s="238">
        <v>45811</v>
      </c>
      <c r="B452" s="238" t="s">
        <v>289</v>
      </c>
      <c r="C452" s="142" t="s">
        <v>2096</v>
      </c>
      <c r="D452" s="99">
        <v>45811</v>
      </c>
      <c r="E452" s="146" t="s">
        <v>82</v>
      </c>
      <c r="F452" s="99"/>
      <c r="G452" s="146" t="s">
        <v>2097</v>
      </c>
    </row>
    <row r="453" spans="1:7" customFormat="1" ht="14.25" hidden="1" customHeight="1">
      <c r="A453" s="238">
        <v>45811</v>
      </c>
      <c r="B453" s="238" t="s">
        <v>289</v>
      </c>
      <c r="C453" s="142" t="s">
        <v>2098</v>
      </c>
      <c r="D453" s="99">
        <v>45811</v>
      </c>
      <c r="E453" s="146" t="s">
        <v>82</v>
      </c>
      <c r="F453" s="99"/>
      <c r="G453" s="146" t="s">
        <v>2097</v>
      </c>
    </row>
    <row r="454" spans="1:7" customFormat="1" ht="14.25" hidden="1" customHeight="1">
      <c r="A454" s="238">
        <v>45811</v>
      </c>
      <c r="B454" s="238" t="s">
        <v>1198</v>
      </c>
      <c r="C454" s="142" t="s">
        <v>2099</v>
      </c>
      <c r="D454" s="99">
        <v>45818</v>
      </c>
      <c r="E454" s="146" t="s">
        <v>82</v>
      </c>
      <c r="F454" s="99"/>
      <c r="G454" s="146" t="s">
        <v>2100</v>
      </c>
    </row>
    <row r="455" spans="1:7" customFormat="1" ht="14.25" hidden="1" customHeight="1">
      <c r="A455" s="238">
        <v>45811</v>
      </c>
      <c r="B455" s="238" t="s">
        <v>343</v>
      </c>
      <c r="C455" s="142" t="s">
        <v>2101</v>
      </c>
      <c r="D455" s="99">
        <v>45818</v>
      </c>
      <c r="E455" s="146" t="s">
        <v>82</v>
      </c>
      <c r="F455" s="99"/>
      <c r="G455" s="146" t="s">
        <v>2073</v>
      </c>
    </row>
    <row r="456" spans="1:7" customFormat="1" ht="14.25" hidden="1" customHeight="1">
      <c r="A456" s="238">
        <v>45811</v>
      </c>
      <c r="B456" s="238" t="s">
        <v>714</v>
      </c>
      <c r="C456" s="142" t="s">
        <v>2102</v>
      </c>
      <c r="D456" s="99">
        <v>46178</v>
      </c>
      <c r="E456" s="146" t="s">
        <v>82</v>
      </c>
      <c r="F456" s="99"/>
      <c r="G456" s="146" t="s">
        <v>2103</v>
      </c>
    </row>
    <row r="457" spans="1:7" customFormat="1" ht="14.25" hidden="1" customHeight="1">
      <c r="A457" s="238">
        <v>45811</v>
      </c>
      <c r="B457" s="238" t="s">
        <v>435</v>
      </c>
      <c r="C457" s="142" t="s">
        <v>2104</v>
      </c>
      <c r="D457" s="99">
        <v>45818</v>
      </c>
      <c r="E457" s="146" t="s">
        <v>82</v>
      </c>
      <c r="F457" s="99"/>
      <c r="G457" s="146" t="s">
        <v>2073</v>
      </c>
    </row>
    <row r="458" spans="1:7" customFormat="1" ht="14.25" hidden="1" customHeight="1">
      <c r="A458" s="238">
        <v>45812</v>
      </c>
      <c r="B458" s="238" t="s">
        <v>343</v>
      </c>
      <c r="C458" s="142" t="s">
        <v>2105</v>
      </c>
      <c r="D458" s="99">
        <v>45819</v>
      </c>
      <c r="E458" s="146" t="s">
        <v>82</v>
      </c>
      <c r="F458" s="99"/>
      <c r="G458" s="146" t="s">
        <v>2073</v>
      </c>
    </row>
    <row r="459" spans="1:7" customFormat="1" ht="14.25" hidden="1" customHeight="1">
      <c r="A459" s="238">
        <v>45812</v>
      </c>
      <c r="B459" s="238" t="s">
        <v>379</v>
      </c>
      <c r="C459" s="142" t="s">
        <v>2106</v>
      </c>
      <c r="D459" s="99">
        <v>45814</v>
      </c>
      <c r="E459" s="146" t="s">
        <v>82</v>
      </c>
      <c r="F459" s="99"/>
      <c r="G459" s="146" t="s">
        <v>2042</v>
      </c>
    </row>
    <row r="460" spans="1:7" customFormat="1" ht="14.25" hidden="1" customHeight="1">
      <c r="A460" s="238">
        <v>45813</v>
      </c>
      <c r="B460" s="238" t="s">
        <v>74</v>
      </c>
      <c r="C460" s="142" t="s">
        <v>2107</v>
      </c>
      <c r="D460" s="99">
        <v>45818</v>
      </c>
      <c r="E460" s="146" t="s">
        <v>82</v>
      </c>
      <c r="F460" s="99"/>
      <c r="G460" s="146" t="s">
        <v>2108</v>
      </c>
    </row>
    <row r="461" spans="1:7" customFormat="1" ht="14.25" hidden="1" customHeight="1">
      <c r="A461" s="238">
        <v>45813</v>
      </c>
      <c r="B461" s="238" t="s">
        <v>320</v>
      </c>
      <c r="C461" s="142" t="s">
        <v>2109</v>
      </c>
      <c r="D461" s="99">
        <v>45818</v>
      </c>
      <c r="E461" s="146" t="s">
        <v>82</v>
      </c>
      <c r="F461" s="99"/>
      <c r="G461" s="146" t="s">
        <v>2095</v>
      </c>
    </row>
    <row r="462" spans="1:7" customFormat="1" ht="14.25" hidden="1" customHeight="1">
      <c r="A462" s="238">
        <v>45813</v>
      </c>
      <c r="B462" s="238" t="s">
        <v>1343</v>
      </c>
      <c r="C462" s="142" t="s">
        <v>2110</v>
      </c>
      <c r="D462" s="99">
        <v>45807</v>
      </c>
      <c r="E462" s="146" t="s">
        <v>82</v>
      </c>
      <c r="F462" s="99"/>
      <c r="G462" s="146" t="s">
        <v>2111</v>
      </c>
    </row>
    <row r="463" spans="1:7" customFormat="1" ht="14.25" hidden="1" customHeight="1">
      <c r="A463" s="238">
        <v>45813</v>
      </c>
      <c r="B463" s="238" t="s">
        <v>1343</v>
      </c>
      <c r="C463" s="142" t="s">
        <v>2112</v>
      </c>
      <c r="D463" s="99">
        <v>46175</v>
      </c>
      <c r="E463" s="146" t="s">
        <v>82</v>
      </c>
      <c r="F463" s="99"/>
      <c r="G463" s="146" t="s">
        <v>2111</v>
      </c>
    </row>
    <row r="464" spans="1:7" customFormat="1" ht="14.25" hidden="1" customHeight="1">
      <c r="A464" s="238">
        <v>45813</v>
      </c>
      <c r="B464" s="238" t="s">
        <v>1343</v>
      </c>
      <c r="C464" s="142" t="s">
        <v>2113</v>
      </c>
      <c r="D464" s="99">
        <v>46175</v>
      </c>
      <c r="E464" s="146" t="s">
        <v>82</v>
      </c>
      <c r="F464" s="99"/>
      <c r="G464" s="146" t="s">
        <v>2111</v>
      </c>
    </row>
    <row r="465" spans="1:7" customFormat="1" ht="14.25" hidden="1" customHeight="1">
      <c r="A465" s="238">
        <v>45813</v>
      </c>
      <c r="B465" s="238" t="s">
        <v>435</v>
      </c>
      <c r="C465" s="142" t="s">
        <v>2114</v>
      </c>
      <c r="D465" s="99">
        <v>45820</v>
      </c>
      <c r="E465" s="146" t="s">
        <v>82</v>
      </c>
      <c r="F465" s="99"/>
      <c r="G465" s="146" t="s">
        <v>2103</v>
      </c>
    </row>
    <row r="466" spans="1:7" customFormat="1" ht="14.25" hidden="1" customHeight="1">
      <c r="A466" s="238">
        <v>45814</v>
      </c>
      <c r="B466" s="238" t="s">
        <v>1343</v>
      </c>
      <c r="C466" s="142" t="s">
        <v>2115</v>
      </c>
      <c r="D466" s="99">
        <v>45820</v>
      </c>
      <c r="E466" s="146" t="s">
        <v>82</v>
      </c>
      <c r="F466" s="99"/>
      <c r="G466" s="146" t="s">
        <v>2116</v>
      </c>
    </row>
    <row r="467" spans="1:7" customFormat="1" ht="14.25" hidden="1" customHeight="1">
      <c r="A467" s="238">
        <v>45817</v>
      </c>
      <c r="B467" s="238" t="s">
        <v>796</v>
      </c>
      <c r="C467" s="142" t="s">
        <v>2117</v>
      </c>
      <c r="D467" s="99">
        <v>45824</v>
      </c>
      <c r="E467" s="146" t="s">
        <v>82</v>
      </c>
      <c r="F467" s="99"/>
      <c r="G467" s="146"/>
    </row>
    <row r="468" spans="1:7" customFormat="1" ht="14.25" hidden="1" customHeight="1">
      <c r="A468" s="238">
        <v>45817</v>
      </c>
      <c r="B468" s="238" t="s">
        <v>293</v>
      </c>
      <c r="C468" s="142" t="s">
        <v>2118</v>
      </c>
      <c r="D468" s="99">
        <v>45824</v>
      </c>
      <c r="E468" s="146" t="s">
        <v>82</v>
      </c>
      <c r="F468" s="99"/>
      <c r="G468" s="146" t="s">
        <v>2119</v>
      </c>
    </row>
    <row r="469" spans="1:7" customFormat="1" ht="14.25" hidden="1" customHeight="1">
      <c r="A469" s="238">
        <v>45817</v>
      </c>
      <c r="B469" s="238" t="s">
        <v>293</v>
      </c>
      <c r="C469" s="142" t="s">
        <v>2120</v>
      </c>
      <c r="D469" s="99">
        <v>45824</v>
      </c>
      <c r="E469" s="146" t="s">
        <v>82</v>
      </c>
      <c r="F469" s="99"/>
      <c r="G469" s="146" t="s">
        <v>2119</v>
      </c>
    </row>
    <row r="470" spans="1:7" customFormat="1" ht="14.25" hidden="1" customHeight="1">
      <c r="A470" s="238">
        <v>45817</v>
      </c>
      <c r="B470" s="238" t="s">
        <v>320</v>
      </c>
      <c r="C470" s="142" t="s">
        <v>2121</v>
      </c>
      <c r="D470" s="99">
        <v>45819</v>
      </c>
      <c r="E470" s="146" t="s">
        <v>82</v>
      </c>
      <c r="F470" s="99"/>
      <c r="G470" s="146" t="s">
        <v>2073</v>
      </c>
    </row>
    <row r="471" spans="1:7" customFormat="1" ht="14.25" hidden="1" customHeight="1">
      <c r="A471" s="238">
        <v>45817</v>
      </c>
      <c r="B471" s="238" t="s">
        <v>714</v>
      </c>
      <c r="C471" s="142" t="s">
        <v>2122</v>
      </c>
      <c r="D471" s="99">
        <v>45819</v>
      </c>
      <c r="E471" s="146" t="s">
        <v>82</v>
      </c>
      <c r="F471" s="99"/>
      <c r="G471" s="146" t="s">
        <v>2116</v>
      </c>
    </row>
    <row r="472" spans="1:7" customFormat="1" ht="14.25" hidden="1" customHeight="1">
      <c r="A472" s="238">
        <v>45818</v>
      </c>
      <c r="B472" s="238" t="s">
        <v>229</v>
      </c>
      <c r="C472" s="142" t="s">
        <v>2123</v>
      </c>
      <c r="D472" s="99">
        <v>45825</v>
      </c>
      <c r="E472" s="146" t="s">
        <v>783</v>
      </c>
      <c r="F472" s="99"/>
      <c r="G472" s="146" t="s">
        <v>2124</v>
      </c>
    </row>
    <row r="473" spans="1:7" customFormat="1" ht="14.25" hidden="1" customHeight="1">
      <c r="A473" s="238">
        <v>45818</v>
      </c>
      <c r="B473" s="238" t="s">
        <v>320</v>
      </c>
      <c r="C473" s="142" t="s">
        <v>2125</v>
      </c>
      <c r="D473" s="99">
        <v>45819</v>
      </c>
      <c r="E473" s="146" t="s">
        <v>82</v>
      </c>
      <c r="F473" s="99"/>
      <c r="G473" s="146" t="s">
        <v>2116</v>
      </c>
    </row>
    <row r="474" spans="1:7" customFormat="1" ht="14.25" hidden="1" customHeight="1">
      <c r="A474" s="238">
        <v>45818</v>
      </c>
      <c r="B474" s="238" t="s">
        <v>364</v>
      </c>
      <c r="C474" s="142" t="s">
        <v>2126</v>
      </c>
      <c r="D474" s="99">
        <v>45825</v>
      </c>
      <c r="E474" s="146" t="s">
        <v>783</v>
      </c>
      <c r="F474" s="99"/>
      <c r="G474" s="146" t="s">
        <v>2124</v>
      </c>
    </row>
    <row r="475" spans="1:7" customFormat="1" ht="14.25" hidden="1" customHeight="1">
      <c r="A475" s="238">
        <v>45818</v>
      </c>
      <c r="B475" s="238" t="s">
        <v>1343</v>
      </c>
      <c r="C475" s="142" t="s">
        <v>2127</v>
      </c>
      <c r="D475" s="99">
        <v>45831</v>
      </c>
      <c r="E475" s="146" t="s">
        <v>783</v>
      </c>
      <c r="F475" s="99"/>
      <c r="G475" s="146" t="s">
        <v>2128</v>
      </c>
    </row>
    <row r="476" spans="1:7" customFormat="1" ht="14.25" hidden="1" customHeight="1">
      <c r="A476" s="238">
        <v>45818</v>
      </c>
      <c r="B476" s="238" t="s">
        <v>1343</v>
      </c>
      <c r="C476" s="142" t="s">
        <v>2129</v>
      </c>
      <c r="D476" s="99">
        <v>45831</v>
      </c>
      <c r="E476" s="146" t="s">
        <v>783</v>
      </c>
      <c r="F476" s="99"/>
      <c r="G476" s="146" t="s">
        <v>2128</v>
      </c>
    </row>
    <row r="477" spans="1:7" customFormat="1" ht="14.25" hidden="1" customHeight="1">
      <c r="A477" s="238">
        <v>45818</v>
      </c>
      <c r="B477" s="238" t="s">
        <v>417</v>
      </c>
      <c r="C477" s="142" t="s">
        <v>2130</v>
      </c>
      <c r="D477" s="99">
        <v>45821</v>
      </c>
      <c r="E477" s="146" t="s">
        <v>82</v>
      </c>
      <c r="F477" s="99"/>
      <c r="G477" s="146" t="s">
        <v>2128</v>
      </c>
    </row>
    <row r="478" spans="1:7" customFormat="1" ht="14.25" hidden="1" customHeight="1">
      <c r="A478" s="238">
        <v>45818</v>
      </c>
      <c r="B478" s="238" t="s">
        <v>417</v>
      </c>
      <c r="C478" s="142" t="s">
        <v>2131</v>
      </c>
      <c r="D478" s="99">
        <v>45821</v>
      </c>
      <c r="E478" s="146" t="s">
        <v>82</v>
      </c>
      <c r="F478" s="99"/>
      <c r="G478" s="146" t="s">
        <v>2128</v>
      </c>
    </row>
    <row r="479" spans="1:7" customFormat="1" ht="14.25" hidden="1" customHeight="1">
      <c r="A479" s="238">
        <v>45818</v>
      </c>
      <c r="B479" s="238" t="s">
        <v>435</v>
      </c>
      <c r="C479" s="142" t="s">
        <v>2132</v>
      </c>
      <c r="D479" s="99">
        <v>45820</v>
      </c>
      <c r="E479" s="146" t="s">
        <v>82</v>
      </c>
      <c r="F479" s="99"/>
      <c r="G479" s="146" t="s">
        <v>2116</v>
      </c>
    </row>
    <row r="480" spans="1:7" ht="14.25" hidden="1" customHeight="1">
      <c r="A480" s="388">
        <v>45819</v>
      </c>
      <c r="B480" s="388" t="s">
        <v>1314</v>
      </c>
      <c r="C480" s="380" t="s">
        <v>2133</v>
      </c>
      <c r="D480" s="486">
        <v>45826</v>
      </c>
      <c r="E480" s="473" t="s">
        <v>783</v>
      </c>
      <c r="F480" s="496"/>
      <c r="G480" s="487" t="s">
        <v>2134</v>
      </c>
    </row>
    <row r="481" spans="1:7" customFormat="1" ht="14.25" hidden="1" customHeight="1">
      <c r="A481" s="238">
        <v>45820</v>
      </c>
      <c r="B481" s="238" t="s">
        <v>320</v>
      </c>
      <c r="C481" s="142" t="s">
        <v>2135</v>
      </c>
      <c r="D481" s="99">
        <v>45824</v>
      </c>
      <c r="E481" s="146" t="s">
        <v>783</v>
      </c>
      <c r="F481" s="99"/>
      <c r="G481" s="146" t="s">
        <v>2128</v>
      </c>
    </row>
    <row r="482" spans="1:7" customFormat="1" ht="14.25" hidden="1" customHeight="1">
      <c r="A482" s="238">
        <v>45821</v>
      </c>
      <c r="B482" s="238" t="s">
        <v>178</v>
      </c>
      <c r="C482" s="142" t="s">
        <v>2136</v>
      </c>
      <c r="D482" s="99">
        <v>45821</v>
      </c>
      <c r="E482" s="146" t="s">
        <v>82</v>
      </c>
      <c r="F482" s="99"/>
      <c r="G482" s="146" t="s">
        <v>2137</v>
      </c>
    </row>
    <row r="483" spans="1:7" customFormat="1" ht="14.25" hidden="1" customHeight="1">
      <c r="A483" s="238">
        <v>45821</v>
      </c>
      <c r="B483" s="238" t="s">
        <v>178</v>
      </c>
      <c r="C483" s="142" t="s">
        <v>2138</v>
      </c>
      <c r="D483" s="99">
        <v>45821</v>
      </c>
      <c r="E483" s="146" t="s">
        <v>82</v>
      </c>
      <c r="F483" s="99"/>
      <c r="G483" s="146" t="s">
        <v>2137</v>
      </c>
    </row>
    <row r="484" spans="1:7" customFormat="1" ht="14.25" hidden="1" customHeight="1">
      <c r="A484" s="238">
        <v>45821</v>
      </c>
      <c r="B484" s="238" t="s">
        <v>178</v>
      </c>
      <c r="C484" s="142" t="s">
        <v>2139</v>
      </c>
      <c r="D484" s="99">
        <v>45821</v>
      </c>
      <c r="E484" s="146" t="s">
        <v>82</v>
      </c>
      <c r="F484" s="99"/>
      <c r="G484" s="146" t="s">
        <v>2137</v>
      </c>
    </row>
    <row r="485" spans="1:7" customFormat="1" ht="14.25" hidden="1" customHeight="1">
      <c r="A485" s="238">
        <v>45821</v>
      </c>
      <c r="B485" s="238" t="s">
        <v>178</v>
      </c>
      <c r="C485" s="142" t="s">
        <v>2140</v>
      </c>
      <c r="D485" s="99">
        <v>45821</v>
      </c>
      <c r="E485" s="146" t="s">
        <v>82</v>
      </c>
      <c r="F485" s="99"/>
      <c r="G485" s="146" t="s">
        <v>2137</v>
      </c>
    </row>
    <row r="486" spans="1:7" customFormat="1" ht="14.25" hidden="1" customHeight="1">
      <c r="A486" s="238">
        <v>45821</v>
      </c>
      <c r="B486" s="238" t="s">
        <v>178</v>
      </c>
      <c r="C486" s="142" t="s">
        <v>2141</v>
      </c>
      <c r="D486" s="99">
        <v>45821</v>
      </c>
      <c r="E486" s="146" t="s">
        <v>82</v>
      </c>
      <c r="F486" s="99"/>
      <c r="G486" s="146" t="s">
        <v>2137</v>
      </c>
    </row>
    <row r="487" spans="1:7" customFormat="1" ht="14.25" hidden="1" customHeight="1">
      <c r="A487" s="238">
        <v>45821</v>
      </c>
      <c r="B487" s="238" t="s">
        <v>178</v>
      </c>
      <c r="C487" s="142" t="s">
        <v>2142</v>
      </c>
      <c r="D487" s="99">
        <v>45821</v>
      </c>
      <c r="E487" s="146" t="s">
        <v>82</v>
      </c>
      <c r="F487" s="99"/>
      <c r="G487" s="146" t="s">
        <v>2137</v>
      </c>
    </row>
    <row r="488" spans="1:7" customFormat="1" ht="14.25" hidden="1" customHeight="1">
      <c r="A488" s="238">
        <v>45821</v>
      </c>
      <c r="B488" s="238" t="s">
        <v>178</v>
      </c>
      <c r="C488" s="142" t="s">
        <v>2143</v>
      </c>
      <c r="D488" s="99">
        <v>45821</v>
      </c>
      <c r="E488" s="146" t="s">
        <v>82</v>
      </c>
      <c r="F488" s="99"/>
      <c r="G488" s="146" t="s">
        <v>2137</v>
      </c>
    </row>
    <row r="489" spans="1:7" customFormat="1" ht="14.25" hidden="1" customHeight="1">
      <c r="A489" s="238">
        <v>45821</v>
      </c>
      <c r="B489" s="238" t="s">
        <v>237</v>
      </c>
      <c r="C489" s="142" t="s">
        <v>2144</v>
      </c>
      <c r="D489" s="99">
        <v>45821</v>
      </c>
      <c r="E489" s="146" t="s">
        <v>783</v>
      </c>
      <c r="F489" s="99"/>
      <c r="G489" s="146" t="s">
        <v>2134</v>
      </c>
    </row>
    <row r="490" spans="1:7" customFormat="1" ht="14.25" hidden="1" customHeight="1">
      <c r="A490" s="238">
        <v>45821</v>
      </c>
      <c r="B490" s="238" t="s">
        <v>364</v>
      </c>
      <c r="C490" s="142" t="s">
        <v>2145</v>
      </c>
      <c r="D490" s="99" t="s">
        <v>2146</v>
      </c>
      <c r="E490" s="146" t="s">
        <v>783</v>
      </c>
      <c r="F490" s="99"/>
      <c r="G490" s="146" t="s">
        <v>2147</v>
      </c>
    </row>
    <row r="491" spans="1:7" customFormat="1" ht="14.25" hidden="1" customHeight="1">
      <c r="A491" s="238">
        <v>45824</v>
      </c>
      <c r="B491" s="238" t="s">
        <v>796</v>
      </c>
      <c r="C491" s="142" t="s">
        <v>2148</v>
      </c>
      <c r="D491" s="99">
        <v>45825</v>
      </c>
      <c r="E491" s="146" t="s">
        <v>783</v>
      </c>
      <c r="F491" s="99"/>
      <c r="G491" s="146" t="s">
        <v>2149</v>
      </c>
    </row>
    <row r="492" spans="1:7" customFormat="1" ht="14.25" hidden="1" customHeight="1">
      <c r="A492" s="238">
        <v>45824</v>
      </c>
      <c r="B492" s="238" t="s">
        <v>714</v>
      </c>
      <c r="C492" s="142" t="s">
        <v>2150</v>
      </c>
      <c r="D492" s="99">
        <v>45826</v>
      </c>
      <c r="E492" s="146" t="s">
        <v>783</v>
      </c>
      <c r="F492" s="99"/>
      <c r="G492" s="146" t="s">
        <v>2151</v>
      </c>
    </row>
    <row r="493" spans="1:7" customFormat="1" ht="14.25" hidden="1" customHeight="1">
      <c r="A493" s="238">
        <v>45824</v>
      </c>
      <c r="B493" s="238" t="s">
        <v>417</v>
      </c>
      <c r="C493" s="142" t="s">
        <v>2152</v>
      </c>
      <c r="D493" s="99">
        <v>155381</v>
      </c>
      <c r="E493" s="146" t="s">
        <v>783</v>
      </c>
      <c r="F493" s="99"/>
      <c r="G493" s="146" t="s">
        <v>2151</v>
      </c>
    </row>
    <row r="494" spans="1:7" customFormat="1" ht="14.25" hidden="1" customHeight="1">
      <c r="A494" s="238">
        <v>45825</v>
      </c>
      <c r="B494" s="238" t="s">
        <v>178</v>
      </c>
      <c r="C494" s="142" t="s">
        <v>2153</v>
      </c>
      <c r="D494" s="99">
        <v>45832</v>
      </c>
      <c r="E494" s="146" t="s">
        <v>783</v>
      </c>
      <c r="F494" s="99"/>
      <c r="G494" s="146" t="s">
        <v>2154</v>
      </c>
    </row>
    <row r="495" spans="1:7" customFormat="1" ht="14.25" hidden="1" customHeight="1">
      <c r="A495" s="238">
        <v>45825</v>
      </c>
      <c r="B495" s="238" t="s">
        <v>379</v>
      </c>
      <c r="C495" s="142" t="s">
        <v>2155</v>
      </c>
      <c r="D495" s="99">
        <v>45832</v>
      </c>
      <c r="E495" s="146" t="s">
        <v>783</v>
      </c>
      <c r="F495" s="99"/>
      <c r="G495" s="146" t="s">
        <v>2154</v>
      </c>
    </row>
    <row r="496" spans="1:7" customFormat="1" ht="14.25" hidden="1" customHeight="1">
      <c r="A496" s="238">
        <v>45826</v>
      </c>
      <c r="B496" s="238" t="s">
        <v>412</v>
      </c>
      <c r="C496" s="142" t="s">
        <v>2156</v>
      </c>
      <c r="D496" s="99">
        <v>45828</v>
      </c>
      <c r="E496" s="146" t="s">
        <v>783</v>
      </c>
      <c r="F496" s="99"/>
      <c r="G496" s="146" t="s">
        <v>2157</v>
      </c>
    </row>
    <row r="497" spans="1:7" customFormat="1" ht="14.25" hidden="1" customHeight="1">
      <c r="A497" s="238">
        <v>45826</v>
      </c>
      <c r="B497" s="238" t="s">
        <v>417</v>
      </c>
      <c r="C497" s="142" t="s">
        <v>2158</v>
      </c>
      <c r="D497" s="99">
        <v>45832</v>
      </c>
      <c r="E497" s="146" t="s">
        <v>783</v>
      </c>
      <c r="F497" s="99"/>
      <c r="G497" s="146" t="s">
        <v>2154</v>
      </c>
    </row>
    <row r="498" spans="1:7" customFormat="1" ht="14.25" hidden="1" customHeight="1">
      <c r="A498" s="238">
        <v>45827</v>
      </c>
      <c r="B498" s="238" t="s">
        <v>74</v>
      </c>
      <c r="C498" s="142" t="s">
        <v>2159</v>
      </c>
      <c r="D498" s="99">
        <v>45831</v>
      </c>
      <c r="E498" s="146" t="s">
        <v>82</v>
      </c>
      <c r="F498" s="99"/>
      <c r="G498" s="146" t="s">
        <v>2160</v>
      </c>
    </row>
    <row r="499" spans="1:7" customFormat="1" ht="14.25" hidden="1" customHeight="1">
      <c r="A499" s="238">
        <v>45827</v>
      </c>
      <c r="B499" s="238" t="s">
        <v>1391</v>
      </c>
      <c r="C499" s="142" t="s">
        <v>2161</v>
      </c>
      <c r="D499" s="99">
        <v>45828</v>
      </c>
      <c r="E499" s="146" t="s">
        <v>783</v>
      </c>
      <c r="F499" s="99"/>
      <c r="G499" s="146" t="s">
        <v>2162</v>
      </c>
    </row>
    <row r="500" spans="1:7" customFormat="1" ht="14.25" hidden="1" customHeight="1">
      <c r="A500" s="238">
        <v>45827</v>
      </c>
      <c r="B500" s="238" t="s">
        <v>1391</v>
      </c>
      <c r="C500" s="142" t="s">
        <v>2163</v>
      </c>
      <c r="D500" s="99">
        <v>45828</v>
      </c>
      <c r="E500" s="146" t="s">
        <v>783</v>
      </c>
      <c r="F500" s="99"/>
      <c r="G500" s="146" t="s">
        <v>2164</v>
      </c>
    </row>
    <row r="501" spans="1:7" customFormat="1" ht="14.25" hidden="1" customHeight="1">
      <c r="A501" s="238">
        <v>45827</v>
      </c>
      <c r="B501" s="238" t="s">
        <v>1391</v>
      </c>
      <c r="C501" s="142" t="s">
        <v>2165</v>
      </c>
      <c r="D501" s="99">
        <v>45834</v>
      </c>
      <c r="E501" s="146" t="s">
        <v>783</v>
      </c>
      <c r="F501" s="99"/>
      <c r="G501" s="146" t="s">
        <v>2157</v>
      </c>
    </row>
    <row r="502" spans="1:7" customFormat="1" ht="14.25" hidden="1" customHeight="1">
      <c r="A502" s="238">
        <v>45827</v>
      </c>
      <c r="B502" s="238" t="s">
        <v>320</v>
      </c>
      <c r="C502" s="142" t="s">
        <v>2166</v>
      </c>
      <c r="D502" s="99">
        <v>45834</v>
      </c>
      <c r="E502" s="146" t="s">
        <v>82</v>
      </c>
      <c r="F502" s="99"/>
      <c r="G502" s="146" t="s">
        <v>2167</v>
      </c>
    </row>
    <row r="503" spans="1:7" customFormat="1" ht="14.25" hidden="1" customHeight="1">
      <c r="A503" s="238">
        <v>45827</v>
      </c>
      <c r="B503" s="238" t="s">
        <v>320</v>
      </c>
      <c r="C503" s="142" t="s">
        <v>2168</v>
      </c>
      <c r="D503" s="99">
        <v>45834</v>
      </c>
      <c r="E503" s="146" t="s">
        <v>783</v>
      </c>
      <c r="F503" s="99"/>
      <c r="G503" s="146" t="s">
        <v>2157</v>
      </c>
    </row>
    <row r="504" spans="1:7" customFormat="1" ht="14.25" hidden="1" customHeight="1">
      <c r="A504" s="238">
        <v>45827</v>
      </c>
      <c r="B504" s="238" t="s">
        <v>724</v>
      </c>
      <c r="C504" s="142" t="s">
        <v>2169</v>
      </c>
      <c r="D504" s="99">
        <v>45831</v>
      </c>
      <c r="E504" s="146" t="s">
        <v>783</v>
      </c>
      <c r="F504" s="99"/>
      <c r="G504" s="146" t="s">
        <v>2170</v>
      </c>
    </row>
    <row r="505" spans="1:7" customFormat="1" ht="14.25" hidden="1" customHeight="1">
      <c r="A505" s="238">
        <v>45828</v>
      </c>
      <c r="B505" s="238" t="s">
        <v>412</v>
      </c>
      <c r="C505" s="142" t="s">
        <v>2171</v>
      </c>
      <c r="D505" s="99">
        <v>45846</v>
      </c>
      <c r="E505" s="146" t="s">
        <v>783</v>
      </c>
      <c r="F505" s="99"/>
      <c r="G505" s="146" t="s">
        <v>2172</v>
      </c>
    </row>
    <row r="506" spans="1:7" customFormat="1" ht="14.25" hidden="1" customHeight="1">
      <c r="A506" s="238">
        <v>45828</v>
      </c>
      <c r="B506" s="238" t="s">
        <v>412</v>
      </c>
      <c r="C506" s="142" t="s">
        <v>2173</v>
      </c>
      <c r="D506" s="99">
        <v>45828</v>
      </c>
      <c r="E506" s="146" t="s">
        <v>783</v>
      </c>
      <c r="F506" s="99"/>
      <c r="G506" s="146" t="s">
        <v>2157</v>
      </c>
    </row>
    <row r="507" spans="1:7" customFormat="1" ht="14.25" hidden="1" customHeight="1">
      <c r="A507" s="238">
        <v>45829</v>
      </c>
      <c r="B507" s="238" t="s">
        <v>714</v>
      </c>
      <c r="C507" s="142" t="s">
        <v>2174</v>
      </c>
      <c r="D507" s="99">
        <v>46196</v>
      </c>
      <c r="E507" s="146" t="s">
        <v>783</v>
      </c>
      <c r="F507" s="99"/>
      <c r="G507" s="146" t="s">
        <v>1872</v>
      </c>
    </row>
    <row r="508" spans="1:7" customFormat="1" ht="14.25" hidden="1" customHeight="1">
      <c r="A508" s="238">
        <v>45831</v>
      </c>
      <c r="B508" s="238" t="s">
        <v>166</v>
      </c>
      <c r="C508" s="142" t="s">
        <v>2175</v>
      </c>
      <c r="D508" s="99">
        <v>45838</v>
      </c>
      <c r="E508" s="146" t="s">
        <v>783</v>
      </c>
      <c r="F508" s="99"/>
      <c r="G508" s="146" t="s">
        <v>2176</v>
      </c>
    </row>
    <row r="509" spans="1:7" customFormat="1" ht="14.25" hidden="1" customHeight="1">
      <c r="A509" s="238">
        <v>45831</v>
      </c>
      <c r="B509" s="238" t="s">
        <v>178</v>
      </c>
      <c r="C509" s="142" t="s">
        <v>2177</v>
      </c>
      <c r="D509" s="99">
        <v>45832</v>
      </c>
      <c r="E509" s="146" t="s">
        <v>783</v>
      </c>
      <c r="F509" s="99"/>
      <c r="G509" s="146" t="s">
        <v>2167</v>
      </c>
    </row>
    <row r="510" spans="1:7" customFormat="1" ht="14.25" hidden="1" customHeight="1">
      <c r="A510" s="238">
        <v>45832</v>
      </c>
      <c r="B510" s="238" t="s">
        <v>830</v>
      </c>
      <c r="C510" s="142" t="s">
        <v>2178</v>
      </c>
      <c r="D510" s="99">
        <v>45835</v>
      </c>
      <c r="E510" s="146" t="s">
        <v>783</v>
      </c>
      <c r="F510" s="99"/>
      <c r="G510" s="146" t="s">
        <v>2170</v>
      </c>
    </row>
    <row r="511" spans="1:7" customFormat="1" ht="14.25" hidden="1" customHeight="1">
      <c r="A511" s="238">
        <v>45832</v>
      </c>
      <c r="B511" s="238" t="s">
        <v>309</v>
      </c>
      <c r="C511" s="142" t="s">
        <v>2179</v>
      </c>
      <c r="D511" s="99">
        <v>45834</v>
      </c>
      <c r="E511" s="146" t="s">
        <v>783</v>
      </c>
      <c r="F511" s="99"/>
      <c r="G511" s="146" t="s">
        <v>2172</v>
      </c>
    </row>
    <row r="512" spans="1:7" customFormat="1" ht="14.25" hidden="1" customHeight="1">
      <c r="A512" s="238">
        <v>45832</v>
      </c>
      <c r="B512" s="238" t="s">
        <v>359</v>
      </c>
      <c r="C512" s="142" t="s">
        <v>2180</v>
      </c>
      <c r="D512" s="99">
        <v>45839</v>
      </c>
      <c r="E512" s="146" t="s">
        <v>783</v>
      </c>
      <c r="F512" s="99"/>
      <c r="G512" s="146" t="s">
        <v>2172</v>
      </c>
    </row>
    <row r="513" spans="1:7" customFormat="1" ht="14.25" hidden="1" customHeight="1">
      <c r="A513" s="238">
        <v>45832</v>
      </c>
      <c r="B513" s="238" t="s">
        <v>359</v>
      </c>
      <c r="C513" s="142" t="s">
        <v>2181</v>
      </c>
      <c r="D513" s="99">
        <v>45839</v>
      </c>
      <c r="E513" s="146" t="s">
        <v>783</v>
      </c>
      <c r="F513" s="99"/>
      <c r="G513" s="146" t="s">
        <v>2172</v>
      </c>
    </row>
    <row r="514" spans="1:7" customFormat="1" ht="14.25" hidden="1" customHeight="1">
      <c r="A514" s="238">
        <v>45832</v>
      </c>
      <c r="B514" s="238" t="s">
        <v>700</v>
      </c>
      <c r="C514" s="142" t="s">
        <v>2182</v>
      </c>
      <c r="D514" s="99">
        <v>45833</v>
      </c>
      <c r="E514" s="146" t="s">
        <v>783</v>
      </c>
      <c r="F514" s="99"/>
      <c r="G514" s="146" t="s">
        <v>2172</v>
      </c>
    </row>
    <row r="515" spans="1:7" customFormat="1" ht="14.25" hidden="1" customHeight="1">
      <c r="A515" s="238">
        <v>45833</v>
      </c>
      <c r="B515" s="238" t="s">
        <v>796</v>
      </c>
      <c r="C515" s="142" t="s">
        <v>2183</v>
      </c>
      <c r="D515" s="99">
        <v>45835</v>
      </c>
      <c r="E515" s="146" t="s">
        <v>783</v>
      </c>
      <c r="F515" s="99"/>
      <c r="G515" s="146" t="s">
        <v>2184</v>
      </c>
    </row>
    <row r="516" spans="1:7" customFormat="1" ht="14.25" hidden="1" customHeight="1">
      <c r="A516" s="238">
        <v>45833</v>
      </c>
      <c r="B516" s="238" t="s">
        <v>1343</v>
      </c>
      <c r="C516" s="142" t="s">
        <v>2185</v>
      </c>
      <c r="D516" s="99">
        <v>45841</v>
      </c>
      <c r="E516" s="146" t="s">
        <v>82</v>
      </c>
      <c r="F516" s="99"/>
      <c r="G516" s="146" t="s">
        <v>2186</v>
      </c>
    </row>
    <row r="517" spans="1:7" customFormat="1" ht="14.25" hidden="1" customHeight="1">
      <c r="A517" s="238">
        <v>45834</v>
      </c>
      <c r="B517" s="238" t="s">
        <v>166</v>
      </c>
      <c r="C517" s="142" t="s">
        <v>2187</v>
      </c>
      <c r="D517" s="99">
        <v>45838</v>
      </c>
      <c r="E517" s="146" t="s">
        <v>783</v>
      </c>
      <c r="F517" s="99"/>
      <c r="G517" s="146" t="s">
        <v>2186</v>
      </c>
    </row>
    <row r="518" spans="1:7" customFormat="1" ht="14.25" hidden="1" customHeight="1">
      <c r="A518" s="238">
        <v>45834</v>
      </c>
      <c r="B518" s="238" t="s">
        <v>1391</v>
      </c>
      <c r="C518" s="142" t="s">
        <v>2188</v>
      </c>
      <c r="D518" s="99">
        <v>45840</v>
      </c>
      <c r="E518" s="146" t="s">
        <v>783</v>
      </c>
      <c r="F518" s="99"/>
      <c r="G518" s="146" t="s">
        <v>2186</v>
      </c>
    </row>
    <row r="519" spans="1:7" customFormat="1" ht="14.25" hidden="1" customHeight="1">
      <c r="A519" s="238">
        <v>45834</v>
      </c>
      <c r="B519" s="238" t="s">
        <v>320</v>
      </c>
      <c r="C519" s="142" t="s">
        <v>2189</v>
      </c>
      <c r="D519" s="99">
        <v>45840</v>
      </c>
      <c r="E519" s="146" t="s">
        <v>783</v>
      </c>
      <c r="F519" s="99"/>
      <c r="G519" s="146" t="s">
        <v>2186</v>
      </c>
    </row>
    <row r="520" spans="1:7" customFormat="1" ht="14.25" hidden="1" customHeight="1">
      <c r="A520" s="238">
        <v>45834</v>
      </c>
      <c r="B520" s="238" t="s">
        <v>379</v>
      </c>
      <c r="C520" s="142" t="s">
        <v>2190</v>
      </c>
      <c r="D520" s="99">
        <v>45841</v>
      </c>
      <c r="E520" s="146" t="s">
        <v>783</v>
      </c>
      <c r="F520" s="99"/>
      <c r="G520" s="146" t="s">
        <v>2186</v>
      </c>
    </row>
    <row r="521" spans="1:7" customFormat="1" ht="14.25" hidden="1" customHeight="1">
      <c r="A521" s="238">
        <v>45835</v>
      </c>
      <c r="B521" s="238" t="s">
        <v>166</v>
      </c>
      <c r="C521" s="142" t="s">
        <v>2191</v>
      </c>
      <c r="D521" s="99">
        <v>45847</v>
      </c>
      <c r="E521" s="146" t="s">
        <v>783</v>
      </c>
      <c r="F521" s="99"/>
      <c r="G521" s="146" t="s">
        <v>2192</v>
      </c>
    </row>
    <row r="522" spans="1:7" customFormat="1" ht="14.25" hidden="1" customHeight="1">
      <c r="A522" s="238">
        <v>45835</v>
      </c>
      <c r="B522" s="238" t="s">
        <v>320</v>
      </c>
      <c r="C522" s="142" t="s">
        <v>2193</v>
      </c>
      <c r="D522" s="99">
        <v>45839</v>
      </c>
      <c r="E522" s="146" t="s">
        <v>783</v>
      </c>
      <c r="F522" s="99"/>
      <c r="G522" s="146" t="s">
        <v>2186</v>
      </c>
    </row>
    <row r="523" spans="1:7" customFormat="1" ht="14.25" hidden="1" customHeight="1">
      <c r="A523" s="238">
        <v>45835</v>
      </c>
      <c r="B523" s="238" t="s">
        <v>714</v>
      </c>
      <c r="C523" s="142" t="s">
        <v>2194</v>
      </c>
      <c r="D523" s="99">
        <v>45842</v>
      </c>
      <c r="E523" s="146" t="s">
        <v>783</v>
      </c>
      <c r="F523" s="99"/>
      <c r="G523" s="146" t="s">
        <v>2195</v>
      </c>
    </row>
    <row r="524" spans="1:7" customFormat="1" ht="14.25" hidden="1" customHeight="1">
      <c r="A524" s="238">
        <v>45835</v>
      </c>
      <c r="B524" s="238" t="s">
        <v>417</v>
      </c>
      <c r="C524" s="142" t="s">
        <v>2196</v>
      </c>
      <c r="D524" s="99">
        <v>45839</v>
      </c>
      <c r="E524" s="146" t="s">
        <v>783</v>
      </c>
      <c r="F524" s="99"/>
      <c r="G524" s="146" t="s">
        <v>2197</v>
      </c>
    </row>
    <row r="525" spans="1:7" customFormat="1" ht="14.25" hidden="1" customHeight="1">
      <c r="A525" s="238">
        <v>45838</v>
      </c>
      <c r="B525" s="238" t="s">
        <v>91</v>
      </c>
      <c r="C525" s="142" t="s">
        <v>2198</v>
      </c>
      <c r="D525" s="99">
        <v>45838</v>
      </c>
      <c r="E525" s="146" t="s">
        <v>783</v>
      </c>
      <c r="F525" s="99"/>
      <c r="G525" s="146" t="s">
        <v>2199</v>
      </c>
    </row>
    <row r="526" spans="1:7" customFormat="1" ht="14.25" hidden="1" customHeight="1">
      <c r="A526" s="238">
        <v>45838</v>
      </c>
      <c r="B526" s="238" t="s">
        <v>293</v>
      </c>
      <c r="C526" s="142" t="s">
        <v>2200</v>
      </c>
      <c r="D526" s="99">
        <v>45849</v>
      </c>
      <c r="E526" s="146" t="s">
        <v>783</v>
      </c>
      <c r="F526" s="99"/>
      <c r="G526" s="146" t="s">
        <v>2197</v>
      </c>
    </row>
    <row r="527" spans="1:7" customFormat="1" ht="14.25" hidden="1" customHeight="1">
      <c r="A527" s="238">
        <v>45838</v>
      </c>
      <c r="B527" s="238" t="s">
        <v>293</v>
      </c>
      <c r="C527" s="142" t="s">
        <v>2201</v>
      </c>
      <c r="D527" s="99">
        <v>45849</v>
      </c>
      <c r="E527" s="146" t="s">
        <v>783</v>
      </c>
      <c r="F527" s="99"/>
      <c r="G527" s="146" t="s">
        <v>2197</v>
      </c>
    </row>
    <row r="528" spans="1:7" customFormat="1" ht="14.25" hidden="1" customHeight="1">
      <c r="A528" s="238">
        <v>45838</v>
      </c>
      <c r="B528" s="238" t="s">
        <v>320</v>
      </c>
      <c r="C528" s="142" t="s">
        <v>2202</v>
      </c>
      <c r="D528" s="99">
        <v>45839</v>
      </c>
      <c r="E528" s="146" t="s">
        <v>82</v>
      </c>
      <c r="F528" s="99"/>
      <c r="G528" s="146" t="s">
        <v>2195</v>
      </c>
    </row>
    <row r="529" spans="1:7" customFormat="1" ht="14.25" hidden="1" customHeight="1">
      <c r="A529" s="238">
        <v>45840</v>
      </c>
      <c r="B529" s="238" t="s">
        <v>74</v>
      </c>
      <c r="C529" s="142" t="s">
        <v>2203</v>
      </c>
      <c r="D529" s="99">
        <v>45845</v>
      </c>
      <c r="E529" s="146" t="s">
        <v>783</v>
      </c>
      <c r="F529" s="99"/>
      <c r="G529" s="146" t="s">
        <v>2204</v>
      </c>
    </row>
    <row r="530" spans="1:7" customFormat="1" ht="14.25" hidden="1" customHeight="1">
      <c r="A530" s="238">
        <v>45840</v>
      </c>
      <c r="B530" s="238" t="s">
        <v>1198</v>
      </c>
      <c r="C530" s="142" t="s">
        <v>2205</v>
      </c>
      <c r="D530" s="99">
        <v>45853</v>
      </c>
      <c r="E530" s="146" t="s">
        <v>783</v>
      </c>
      <c r="F530" s="99"/>
      <c r="G530" s="146" t="s">
        <v>2206</v>
      </c>
    </row>
    <row r="531" spans="1:7" customFormat="1" ht="14.25" hidden="1" customHeight="1">
      <c r="A531" s="238">
        <v>45841</v>
      </c>
      <c r="B531" s="238" t="s">
        <v>320</v>
      </c>
      <c r="C531" s="142" t="s">
        <v>2207</v>
      </c>
      <c r="D531" s="99">
        <v>45848</v>
      </c>
      <c r="E531" s="146" t="s">
        <v>783</v>
      </c>
      <c r="F531" s="99"/>
      <c r="G531" s="146" t="s">
        <v>2204</v>
      </c>
    </row>
    <row r="532" spans="1:7" customFormat="1" ht="14.25" hidden="1" customHeight="1">
      <c r="A532" s="238">
        <v>45841</v>
      </c>
      <c r="B532" s="238" t="s">
        <v>320</v>
      </c>
      <c r="C532" s="142" t="s">
        <v>2208</v>
      </c>
      <c r="D532" s="99">
        <v>45846</v>
      </c>
      <c r="E532" s="146" t="s">
        <v>82</v>
      </c>
      <c r="F532" s="99"/>
      <c r="G532" s="146" t="s">
        <v>2209</v>
      </c>
    </row>
    <row r="533" spans="1:7" customFormat="1" ht="14.25" hidden="1" customHeight="1">
      <c r="A533" s="238">
        <v>45841</v>
      </c>
      <c r="B533" s="239" t="s">
        <v>1421</v>
      </c>
      <c r="C533" s="142" t="s">
        <v>2210</v>
      </c>
      <c r="D533" s="99">
        <v>45849</v>
      </c>
      <c r="E533" s="146" t="s">
        <v>783</v>
      </c>
      <c r="F533" s="99"/>
      <c r="G533" s="146" t="s">
        <v>2206</v>
      </c>
    </row>
    <row r="534" spans="1:7" customFormat="1" ht="14.25" hidden="1" customHeight="1">
      <c r="A534" s="238">
        <v>45841</v>
      </c>
      <c r="B534" s="238" t="s">
        <v>417</v>
      </c>
      <c r="C534" s="142" t="s">
        <v>2211</v>
      </c>
      <c r="D534" s="99">
        <v>45848</v>
      </c>
      <c r="E534" s="146" t="s">
        <v>783</v>
      </c>
      <c r="F534" s="99"/>
      <c r="G534" s="146" t="s">
        <v>2204</v>
      </c>
    </row>
    <row r="535" spans="1:7" customFormat="1" ht="14.25" hidden="1" customHeight="1">
      <c r="A535" s="238">
        <v>45841</v>
      </c>
      <c r="B535" s="381" t="s">
        <v>417</v>
      </c>
      <c r="C535" s="142" t="s">
        <v>2212</v>
      </c>
      <c r="D535" s="99">
        <v>45845</v>
      </c>
      <c r="E535" s="146" t="s">
        <v>82</v>
      </c>
      <c r="F535" s="99"/>
      <c r="G535" s="146" t="s">
        <v>2213</v>
      </c>
    </row>
    <row r="536" spans="1:7" customFormat="1" ht="14.25" hidden="1" customHeight="1">
      <c r="A536" s="238">
        <v>45841</v>
      </c>
      <c r="B536" s="238" t="s">
        <v>417</v>
      </c>
      <c r="C536" s="142" t="s">
        <v>2214</v>
      </c>
      <c r="D536" s="99">
        <v>45847</v>
      </c>
      <c r="E536" s="146" t="s">
        <v>783</v>
      </c>
      <c r="F536" s="99"/>
      <c r="G536" s="146" t="s">
        <v>2206</v>
      </c>
    </row>
    <row r="537" spans="1:7" customFormat="1" ht="14.25" hidden="1" customHeight="1">
      <c r="A537" s="238">
        <v>45841</v>
      </c>
      <c r="B537" s="238" t="s">
        <v>417</v>
      </c>
      <c r="C537" s="142" t="s">
        <v>2215</v>
      </c>
      <c r="D537" s="99">
        <v>45847</v>
      </c>
      <c r="E537" s="146" t="s">
        <v>783</v>
      </c>
      <c r="F537" s="99"/>
      <c r="G537" s="146" t="s">
        <v>2216</v>
      </c>
    </row>
    <row r="538" spans="1:7" customFormat="1" ht="14.25" hidden="1" customHeight="1">
      <c r="A538" s="238">
        <v>45842</v>
      </c>
      <c r="B538" s="238" t="s">
        <v>435</v>
      </c>
      <c r="C538" s="142" t="s">
        <v>2217</v>
      </c>
      <c r="D538" s="99">
        <v>45846</v>
      </c>
      <c r="E538" s="146" t="s">
        <v>783</v>
      </c>
      <c r="F538" s="99"/>
      <c r="G538" s="146" t="s">
        <v>2206</v>
      </c>
    </row>
    <row r="539" spans="1:7" customFormat="1" ht="14.25" hidden="1" customHeight="1">
      <c r="A539" s="238">
        <v>45845</v>
      </c>
      <c r="B539" s="238" t="s">
        <v>1343</v>
      </c>
      <c r="C539" s="142" t="s">
        <v>2218</v>
      </c>
      <c r="D539" s="99">
        <v>45849</v>
      </c>
      <c r="E539" s="146" t="s">
        <v>783</v>
      </c>
      <c r="F539" s="99"/>
      <c r="G539" s="146" t="s">
        <v>2206</v>
      </c>
    </row>
    <row r="540" spans="1:7" customFormat="1" ht="14.25" hidden="1" customHeight="1">
      <c r="A540" s="238">
        <v>45846</v>
      </c>
      <c r="B540" s="238" t="s">
        <v>309</v>
      </c>
      <c r="C540" s="142" t="s">
        <v>2219</v>
      </c>
      <c r="D540" s="99">
        <v>45847</v>
      </c>
      <c r="E540" s="146" t="s">
        <v>783</v>
      </c>
      <c r="F540" s="99"/>
      <c r="G540" s="146" t="s">
        <v>2220</v>
      </c>
    </row>
    <row r="541" spans="1:7" customFormat="1" ht="14.25" hidden="1" customHeight="1">
      <c r="A541" s="238">
        <v>45846</v>
      </c>
      <c r="B541" s="238" t="s">
        <v>417</v>
      </c>
      <c r="C541" s="142" t="s">
        <v>2221</v>
      </c>
      <c r="D541" s="99">
        <v>45847</v>
      </c>
      <c r="E541" s="146" t="s">
        <v>783</v>
      </c>
      <c r="F541" s="99"/>
      <c r="G541" s="146" t="s">
        <v>2222</v>
      </c>
    </row>
    <row r="542" spans="1:7" customFormat="1" ht="14.25" hidden="1" customHeight="1">
      <c r="A542" s="238">
        <v>45846</v>
      </c>
      <c r="B542" s="238" t="s">
        <v>417</v>
      </c>
      <c r="C542" s="142" t="s">
        <v>2223</v>
      </c>
      <c r="D542" s="99">
        <v>45847</v>
      </c>
      <c r="E542" s="146" t="s">
        <v>783</v>
      </c>
      <c r="F542" s="99"/>
      <c r="G542" s="146" t="s">
        <v>2224</v>
      </c>
    </row>
    <row r="543" spans="1:7" customFormat="1" ht="14.25" hidden="1" customHeight="1">
      <c r="A543" s="238">
        <v>45847</v>
      </c>
      <c r="B543" s="238" t="s">
        <v>724</v>
      </c>
      <c r="C543" s="142" t="s">
        <v>2225</v>
      </c>
      <c r="D543" s="99">
        <v>45853</v>
      </c>
      <c r="E543" s="146" t="s">
        <v>783</v>
      </c>
      <c r="F543" s="99"/>
      <c r="G543" s="146" t="s">
        <v>2226</v>
      </c>
    </row>
    <row r="544" spans="1:7" customFormat="1" ht="14.25" hidden="1" customHeight="1">
      <c r="A544" s="238">
        <v>45848</v>
      </c>
      <c r="B544" s="238" t="s">
        <v>796</v>
      </c>
      <c r="C544" s="142" t="s">
        <v>2227</v>
      </c>
      <c r="D544" s="99">
        <v>45852</v>
      </c>
      <c r="E544" s="146" t="s">
        <v>783</v>
      </c>
      <c r="F544" s="99"/>
      <c r="G544" s="146" t="s">
        <v>2228</v>
      </c>
    </row>
    <row r="545" spans="1:7" customFormat="1" ht="14.25" hidden="1" customHeight="1">
      <c r="A545" s="238">
        <v>45848</v>
      </c>
      <c r="B545" s="238" t="s">
        <v>229</v>
      </c>
      <c r="C545" s="142" t="s">
        <v>2229</v>
      </c>
      <c r="D545" s="99">
        <v>45855</v>
      </c>
      <c r="E545" s="146" t="s">
        <v>82</v>
      </c>
      <c r="F545" s="99"/>
      <c r="G545" s="146" t="s">
        <v>2230</v>
      </c>
    </row>
    <row r="546" spans="1:7" customFormat="1" ht="14.25" hidden="1" customHeight="1">
      <c r="A546" s="238">
        <v>45848</v>
      </c>
      <c r="B546" s="238" t="s">
        <v>834</v>
      </c>
      <c r="C546" s="146" t="s">
        <v>2231</v>
      </c>
      <c r="D546" s="99">
        <v>45849</v>
      </c>
      <c r="E546" s="146" t="s">
        <v>82</v>
      </c>
      <c r="F546" s="99"/>
      <c r="G546" s="146" t="s">
        <v>2232</v>
      </c>
    </row>
    <row r="547" spans="1:7" customFormat="1" ht="14.25" hidden="1" customHeight="1">
      <c r="A547" s="238">
        <v>45848</v>
      </c>
      <c r="B547" s="238" t="s">
        <v>309</v>
      </c>
      <c r="C547" s="142" t="s">
        <v>2233</v>
      </c>
      <c r="D547" s="99">
        <v>45849</v>
      </c>
      <c r="E547" s="146" t="s">
        <v>783</v>
      </c>
      <c r="F547" s="99"/>
      <c r="G547" s="146" t="s">
        <v>2234</v>
      </c>
    </row>
    <row r="548" spans="1:7" customFormat="1" ht="14.25" hidden="1" customHeight="1">
      <c r="A548" s="238">
        <v>45849</v>
      </c>
      <c r="B548" s="238" t="s">
        <v>1198</v>
      </c>
      <c r="C548" s="142" t="s">
        <v>2235</v>
      </c>
      <c r="D548" s="99">
        <v>45862</v>
      </c>
      <c r="E548" s="146" t="s">
        <v>82</v>
      </c>
      <c r="F548" s="99"/>
      <c r="G548" s="146" t="s">
        <v>2228</v>
      </c>
    </row>
    <row r="549" spans="1:7" customFormat="1" ht="14.25" hidden="1" customHeight="1">
      <c r="A549" s="238">
        <v>45849</v>
      </c>
      <c r="B549" s="238" t="s">
        <v>1198</v>
      </c>
      <c r="C549" s="142" t="s">
        <v>2236</v>
      </c>
      <c r="D549" s="99">
        <v>45862</v>
      </c>
      <c r="E549" s="146" t="s">
        <v>82</v>
      </c>
      <c r="F549" s="99"/>
      <c r="G549" s="146" t="s">
        <v>2237</v>
      </c>
    </row>
    <row r="550" spans="1:7" ht="14.25" hidden="1" customHeight="1">
      <c r="A550" s="388">
        <v>45849</v>
      </c>
      <c r="B550" s="388" t="s">
        <v>1314</v>
      </c>
      <c r="C550" s="380" t="s">
        <v>2238</v>
      </c>
      <c r="D550" s="486">
        <v>45849</v>
      </c>
      <c r="E550" s="473" t="s">
        <v>783</v>
      </c>
      <c r="F550" s="496"/>
      <c r="G550" s="487" t="s">
        <v>2239</v>
      </c>
    </row>
    <row r="551" spans="1:7" customFormat="1" ht="14.25" hidden="1" customHeight="1">
      <c r="A551" s="238">
        <v>45849</v>
      </c>
      <c r="B551" s="238" t="s">
        <v>330</v>
      </c>
      <c r="C551" s="142" t="s">
        <v>2238</v>
      </c>
      <c r="D551" s="99">
        <v>45849</v>
      </c>
      <c r="E551" s="146" t="s">
        <v>783</v>
      </c>
      <c r="F551" s="99"/>
      <c r="G551" s="146" t="s">
        <v>2239</v>
      </c>
    </row>
    <row r="552" spans="1:7" customFormat="1" ht="14.25" hidden="1" customHeight="1">
      <c r="A552" s="388">
        <v>45852</v>
      </c>
      <c r="B552" s="388" t="s">
        <v>126</v>
      </c>
      <c r="C552" s="380" t="s">
        <v>2240</v>
      </c>
      <c r="D552" s="99">
        <v>45859</v>
      </c>
      <c r="E552" s="146" t="s">
        <v>783</v>
      </c>
      <c r="F552" s="99"/>
      <c r="G552" s="146" t="s">
        <v>2241</v>
      </c>
    </row>
    <row r="553" spans="1:7" customFormat="1" ht="14.25" hidden="1" customHeight="1">
      <c r="A553" s="388">
        <v>45852</v>
      </c>
      <c r="B553" s="388" t="s">
        <v>126</v>
      </c>
      <c r="C553" s="380" t="s">
        <v>2242</v>
      </c>
      <c r="D553" s="99">
        <v>45859</v>
      </c>
      <c r="E553" s="146" t="s">
        <v>783</v>
      </c>
      <c r="F553" s="99"/>
      <c r="G553" s="146" t="s">
        <v>2241</v>
      </c>
    </row>
    <row r="554" spans="1:7" customFormat="1" ht="14.25" hidden="1" customHeight="1">
      <c r="A554" s="388">
        <v>45852</v>
      </c>
      <c r="B554" s="388" t="s">
        <v>126</v>
      </c>
      <c r="C554" s="380" t="s">
        <v>2243</v>
      </c>
      <c r="D554" s="99">
        <v>45859</v>
      </c>
      <c r="E554" s="146" t="s">
        <v>783</v>
      </c>
      <c r="F554" s="99"/>
      <c r="G554" s="146" t="s">
        <v>2241</v>
      </c>
    </row>
    <row r="555" spans="1:7" customFormat="1" ht="14.25" hidden="1" customHeight="1">
      <c r="A555" s="388">
        <v>45852</v>
      </c>
      <c r="B555" s="388" t="s">
        <v>126</v>
      </c>
      <c r="C555" s="380" t="s">
        <v>2244</v>
      </c>
      <c r="D555" s="99">
        <v>45859</v>
      </c>
      <c r="E555" s="146" t="s">
        <v>783</v>
      </c>
      <c r="F555" s="99"/>
      <c r="G555" s="146" t="s">
        <v>2241</v>
      </c>
    </row>
    <row r="556" spans="1:7" customFormat="1" ht="14.25" hidden="1" customHeight="1">
      <c r="A556" s="238">
        <v>45852</v>
      </c>
      <c r="B556" s="238" t="s">
        <v>724</v>
      </c>
      <c r="C556" s="142" t="s">
        <v>2245</v>
      </c>
      <c r="D556" s="99">
        <v>45859</v>
      </c>
      <c r="E556" s="146" t="s">
        <v>783</v>
      </c>
      <c r="F556" s="99"/>
      <c r="G556" s="146" t="s">
        <v>2241</v>
      </c>
    </row>
    <row r="557" spans="1:7" customFormat="1" ht="14.25" hidden="1" customHeight="1">
      <c r="A557" s="238">
        <v>45852</v>
      </c>
      <c r="B557" s="238" t="s">
        <v>435</v>
      </c>
      <c r="C557" s="142" t="s">
        <v>2246</v>
      </c>
      <c r="D557" s="99">
        <v>45859</v>
      </c>
      <c r="E557" s="146" t="s">
        <v>82</v>
      </c>
      <c r="F557" s="99"/>
      <c r="G557" s="146" t="s">
        <v>2247</v>
      </c>
    </row>
    <row r="558" spans="1:7" customFormat="1" ht="14.25" hidden="1" customHeight="1">
      <c r="A558" s="238">
        <v>45853</v>
      </c>
      <c r="B558" s="226" t="s">
        <v>1421</v>
      </c>
      <c r="C558" s="142" t="s">
        <v>2248</v>
      </c>
      <c r="D558" s="99">
        <v>45855</v>
      </c>
      <c r="E558" s="146" t="s">
        <v>82</v>
      </c>
      <c r="F558" s="99"/>
      <c r="G558" s="146" t="s">
        <v>2249</v>
      </c>
    </row>
    <row r="559" spans="1:7" customFormat="1" ht="14.25" hidden="1" customHeight="1">
      <c r="A559" s="238">
        <v>45854</v>
      </c>
      <c r="B559" s="238" t="s">
        <v>166</v>
      </c>
      <c r="C559" s="142" t="s">
        <v>2191</v>
      </c>
      <c r="D559" s="99">
        <v>45854</v>
      </c>
      <c r="E559" s="146" t="s">
        <v>783</v>
      </c>
      <c r="F559" s="99"/>
      <c r="G559" s="146" t="s">
        <v>2250</v>
      </c>
    </row>
    <row r="560" spans="1:7" customFormat="1" ht="14.25" hidden="1" customHeight="1">
      <c r="A560" s="238">
        <v>45855</v>
      </c>
      <c r="B560" s="238" t="s">
        <v>229</v>
      </c>
      <c r="C560" s="142" t="s">
        <v>2251</v>
      </c>
      <c r="D560" s="99">
        <v>45862</v>
      </c>
      <c r="E560" s="146" t="s">
        <v>2252</v>
      </c>
      <c r="F560" s="99"/>
      <c r="G560" s="146" t="s">
        <v>2250</v>
      </c>
    </row>
    <row r="561" spans="1:7" customFormat="1" ht="14.25" hidden="1" customHeight="1">
      <c r="A561" s="238">
        <v>45855</v>
      </c>
      <c r="B561" s="238" t="s">
        <v>289</v>
      </c>
      <c r="C561" s="142" t="s">
        <v>2253</v>
      </c>
      <c r="D561" s="99">
        <v>45857</v>
      </c>
      <c r="E561" s="146" t="s">
        <v>783</v>
      </c>
      <c r="F561" s="99"/>
      <c r="G561" s="146" t="s">
        <v>2254</v>
      </c>
    </row>
    <row r="562" spans="1:7" customFormat="1" ht="14.25" hidden="1" customHeight="1">
      <c r="A562" s="238">
        <v>45855</v>
      </c>
      <c r="B562" s="238" t="s">
        <v>293</v>
      </c>
      <c r="C562" s="142" t="s">
        <v>2255</v>
      </c>
      <c r="D562" s="99">
        <v>45863</v>
      </c>
      <c r="E562" s="146" t="s">
        <v>783</v>
      </c>
      <c r="F562" s="99"/>
      <c r="G562" s="146" t="s">
        <v>2256</v>
      </c>
    </row>
    <row r="563" spans="1:7" customFormat="1" ht="14.25" hidden="1" customHeight="1">
      <c r="A563" s="238">
        <v>45856</v>
      </c>
      <c r="B563" s="238" t="s">
        <v>289</v>
      </c>
      <c r="C563" s="142" t="s">
        <v>2257</v>
      </c>
      <c r="D563" s="99">
        <v>45861</v>
      </c>
      <c r="E563" s="146" t="s">
        <v>783</v>
      </c>
      <c r="F563" s="99"/>
      <c r="G563" s="146" t="s">
        <v>2258</v>
      </c>
    </row>
    <row r="564" spans="1:7" customFormat="1" ht="14.25" hidden="1" customHeight="1">
      <c r="A564" s="238">
        <v>45859</v>
      </c>
      <c r="B564" s="238" t="s">
        <v>1343</v>
      </c>
      <c r="C564" s="142" t="s">
        <v>2259</v>
      </c>
      <c r="D564" s="99">
        <v>45863</v>
      </c>
      <c r="E564" s="146" t="s">
        <v>783</v>
      </c>
      <c r="F564" s="99"/>
      <c r="G564" s="146" t="s">
        <v>2260</v>
      </c>
    </row>
    <row r="565" spans="1:7" customFormat="1" ht="14.25" hidden="1" customHeight="1">
      <c r="A565" s="238">
        <v>45859</v>
      </c>
      <c r="B565" s="238" t="s">
        <v>435</v>
      </c>
      <c r="C565" s="142" t="s">
        <v>2261</v>
      </c>
      <c r="D565" s="99">
        <v>45867</v>
      </c>
      <c r="E565" s="146" t="s">
        <v>783</v>
      </c>
      <c r="F565" s="99">
        <v>45859</v>
      </c>
      <c r="G565" s="146" t="s">
        <v>2262</v>
      </c>
    </row>
    <row r="566" spans="1:7" customFormat="1" ht="14.25" hidden="1" customHeight="1">
      <c r="A566" s="238">
        <v>45860</v>
      </c>
      <c r="B566" s="238" t="s">
        <v>1665</v>
      </c>
      <c r="C566" s="142" t="s">
        <v>2263</v>
      </c>
      <c r="D566" s="778">
        <v>45867</v>
      </c>
      <c r="E566" s="779" t="s">
        <v>783</v>
      </c>
      <c r="F566" s="99"/>
      <c r="G566" s="146" t="s">
        <v>2256</v>
      </c>
    </row>
    <row r="567" spans="1:7" customFormat="1" ht="14.25" hidden="1" customHeight="1">
      <c r="A567" s="238">
        <v>45863</v>
      </c>
      <c r="B567" s="238" t="s">
        <v>796</v>
      </c>
      <c r="C567" s="142" t="s">
        <v>2264</v>
      </c>
      <c r="D567" s="99">
        <v>45869</v>
      </c>
      <c r="E567" s="146" t="s">
        <v>783</v>
      </c>
      <c r="F567" s="99"/>
      <c r="G567" s="146" t="s">
        <v>2265</v>
      </c>
    </row>
    <row r="568" spans="1:7" customFormat="1" ht="14.25" hidden="1" customHeight="1">
      <c r="A568" s="238">
        <v>45863</v>
      </c>
      <c r="B568" s="238" t="s">
        <v>714</v>
      </c>
      <c r="C568" s="142" t="s">
        <v>2266</v>
      </c>
      <c r="D568" s="99">
        <v>45869</v>
      </c>
      <c r="E568" s="146" t="s">
        <v>783</v>
      </c>
      <c r="F568" s="99"/>
      <c r="G568" s="146" t="s">
        <v>2267</v>
      </c>
    </row>
    <row r="569" spans="1:7" customFormat="1" ht="14.25" hidden="1" customHeight="1">
      <c r="A569" s="238">
        <v>45863</v>
      </c>
      <c r="B569" s="238" t="s">
        <v>714</v>
      </c>
      <c r="C569" s="142" t="s">
        <v>2268</v>
      </c>
      <c r="D569" s="99">
        <v>45870</v>
      </c>
      <c r="E569" s="146" t="s">
        <v>783</v>
      </c>
      <c r="F569" s="99"/>
      <c r="G569" s="146" t="s">
        <v>2267</v>
      </c>
    </row>
    <row r="570" spans="1:7" customFormat="1" ht="14.25" hidden="1" customHeight="1">
      <c r="A570" s="238">
        <v>45863</v>
      </c>
      <c r="B570" s="238" t="s">
        <v>435</v>
      </c>
      <c r="C570" s="142" t="s">
        <v>2269</v>
      </c>
      <c r="D570" s="99">
        <v>45870</v>
      </c>
      <c r="E570" s="146" t="s">
        <v>783</v>
      </c>
      <c r="F570" s="99">
        <v>45867</v>
      </c>
      <c r="G570" s="146" t="s">
        <v>2270</v>
      </c>
    </row>
    <row r="571" spans="1:7" customFormat="1" ht="14.25" hidden="1" customHeight="1">
      <c r="A571" s="238">
        <v>45866</v>
      </c>
      <c r="B571" s="238" t="s">
        <v>724</v>
      </c>
      <c r="C571" s="142" t="s">
        <v>2169</v>
      </c>
      <c r="D571" s="435">
        <v>45862</v>
      </c>
      <c r="E571" s="146" t="s">
        <v>783</v>
      </c>
      <c r="F571" s="99"/>
      <c r="G571" s="146" t="s">
        <v>2271</v>
      </c>
    </row>
    <row r="572" spans="1:7" customFormat="1" ht="14.25" hidden="1" customHeight="1">
      <c r="A572" s="238">
        <v>45867</v>
      </c>
      <c r="B572" s="238" t="s">
        <v>796</v>
      </c>
      <c r="C572" s="142" t="s">
        <v>2272</v>
      </c>
      <c r="D572" s="99">
        <v>45874</v>
      </c>
      <c r="E572" s="146" t="s">
        <v>783</v>
      </c>
      <c r="F572" s="99"/>
      <c r="G572" s="146" t="s">
        <v>2273</v>
      </c>
    </row>
    <row r="573" spans="1:7" customFormat="1" ht="14.25" hidden="1" customHeight="1">
      <c r="A573" s="238">
        <v>45867</v>
      </c>
      <c r="B573" s="238" t="s">
        <v>796</v>
      </c>
      <c r="C573" s="142" t="s">
        <v>2274</v>
      </c>
      <c r="D573" s="99">
        <v>45874</v>
      </c>
      <c r="E573" s="146" t="s">
        <v>783</v>
      </c>
      <c r="F573" s="99"/>
      <c r="G573" s="146" t="s">
        <v>2273</v>
      </c>
    </row>
    <row r="574" spans="1:7" customFormat="1" ht="14.25" hidden="1" customHeight="1">
      <c r="A574" s="238">
        <v>45867</v>
      </c>
      <c r="B574" s="238" t="s">
        <v>796</v>
      </c>
      <c r="C574" s="142" t="s">
        <v>2275</v>
      </c>
      <c r="D574" s="99">
        <v>45874</v>
      </c>
      <c r="E574" s="146" t="s">
        <v>783</v>
      </c>
      <c r="F574" s="99"/>
      <c r="G574" s="146" t="s">
        <v>2273</v>
      </c>
    </row>
    <row r="575" spans="1:7" customFormat="1" ht="14.25" hidden="1" customHeight="1">
      <c r="A575" s="238">
        <v>45867</v>
      </c>
      <c r="B575" s="238" t="s">
        <v>289</v>
      </c>
      <c r="C575" s="142" t="s">
        <v>2276</v>
      </c>
      <c r="D575" s="99">
        <v>45870</v>
      </c>
      <c r="E575" s="146" t="s">
        <v>783</v>
      </c>
      <c r="F575" s="99"/>
      <c r="G575" s="146" t="s">
        <v>2277</v>
      </c>
    </row>
    <row r="576" spans="1:7" customFormat="1" ht="14.25" hidden="1" customHeight="1">
      <c r="A576" s="238">
        <v>45867</v>
      </c>
      <c r="B576" s="238" t="s">
        <v>1198</v>
      </c>
      <c r="C576" s="142" t="s">
        <v>2278</v>
      </c>
      <c r="D576" s="99">
        <v>45875</v>
      </c>
      <c r="E576" s="146" t="s">
        <v>783</v>
      </c>
      <c r="F576" s="99"/>
      <c r="G576" s="157" t="s">
        <v>2279</v>
      </c>
    </row>
    <row r="577" spans="1:7" customFormat="1" ht="14.25" hidden="1" customHeight="1">
      <c r="A577" s="238">
        <v>45867</v>
      </c>
      <c r="B577" s="238" t="s">
        <v>1198</v>
      </c>
      <c r="C577" s="142" t="s">
        <v>2280</v>
      </c>
      <c r="D577" s="99">
        <v>45875</v>
      </c>
      <c r="E577" s="146" t="s">
        <v>783</v>
      </c>
      <c r="F577" s="99"/>
      <c r="G577" s="157" t="s">
        <v>2281</v>
      </c>
    </row>
    <row r="578" spans="1:7" customFormat="1" ht="14.25" hidden="1" customHeight="1">
      <c r="A578" s="238">
        <v>45867</v>
      </c>
      <c r="B578" s="238" t="s">
        <v>293</v>
      </c>
      <c r="C578" s="142" t="s">
        <v>2282</v>
      </c>
      <c r="D578" s="99">
        <v>45881</v>
      </c>
      <c r="E578" s="146" t="s">
        <v>783</v>
      </c>
      <c r="F578" s="99"/>
      <c r="G578" s="157" t="s">
        <v>2267</v>
      </c>
    </row>
    <row r="579" spans="1:7" customFormat="1" ht="14.25" hidden="1" customHeight="1">
      <c r="A579" s="238">
        <v>45869</v>
      </c>
      <c r="B579" s="238" t="s">
        <v>121</v>
      </c>
      <c r="C579" s="142" t="s">
        <v>2283</v>
      </c>
      <c r="D579" s="99">
        <v>45870</v>
      </c>
      <c r="E579" s="146" t="s">
        <v>783</v>
      </c>
      <c r="F579" s="99"/>
      <c r="G579" s="157" t="s">
        <v>2267</v>
      </c>
    </row>
    <row r="580" spans="1:7" customFormat="1" ht="14.25" hidden="1" customHeight="1">
      <c r="A580" s="238">
        <v>45869</v>
      </c>
      <c r="B580" s="239" t="s">
        <v>289</v>
      </c>
      <c r="C580" s="218" t="s">
        <v>2284</v>
      </c>
      <c r="D580" s="138" t="s">
        <v>2285</v>
      </c>
      <c r="E580" s="139" t="s">
        <v>783</v>
      </c>
      <c r="F580" s="139"/>
      <c r="G580" s="157" t="s">
        <v>2286</v>
      </c>
    </row>
    <row r="581" spans="1:7" customFormat="1" ht="14.25" hidden="1" customHeight="1">
      <c r="A581" s="238">
        <v>45869</v>
      </c>
      <c r="B581" s="239" t="s">
        <v>724</v>
      </c>
      <c r="C581" s="218" t="s">
        <v>2287</v>
      </c>
      <c r="D581" s="138" t="s">
        <v>2288</v>
      </c>
      <c r="E581" s="139" t="s">
        <v>783</v>
      </c>
      <c r="F581" s="139">
        <v>45873</v>
      </c>
      <c r="G581" s="157" t="s">
        <v>2289</v>
      </c>
    </row>
    <row r="582" spans="1:7" customFormat="1" ht="14.25" hidden="1" customHeight="1">
      <c r="A582" s="238">
        <v>45869</v>
      </c>
      <c r="B582" s="238" t="s">
        <v>435</v>
      </c>
      <c r="C582" s="142" t="s">
        <v>2290</v>
      </c>
      <c r="D582" s="99">
        <v>45876</v>
      </c>
      <c r="E582" s="146" t="s">
        <v>783</v>
      </c>
      <c r="F582" s="99"/>
      <c r="G582" s="157" t="s">
        <v>2291</v>
      </c>
    </row>
    <row r="583" spans="1:7" customFormat="1" ht="14.25" hidden="1" customHeight="1">
      <c r="A583" s="238">
        <v>45873</v>
      </c>
      <c r="B583" s="239" t="s">
        <v>309</v>
      </c>
      <c r="C583" s="218" t="s">
        <v>2292</v>
      </c>
      <c r="D583" s="138">
        <v>45875</v>
      </c>
      <c r="E583" s="139" t="s">
        <v>783</v>
      </c>
      <c r="F583" s="139"/>
      <c r="G583" s="157" t="s">
        <v>2289</v>
      </c>
    </row>
    <row r="584" spans="1:7" customFormat="1" ht="14.25" hidden="1" customHeight="1">
      <c r="A584" s="238">
        <v>45873</v>
      </c>
      <c r="B584" s="239" t="s">
        <v>320</v>
      </c>
      <c r="C584" s="218" t="s">
        <v>2293</v>
      </c>
      <c r="D584" s="138">
        <v>45875</v>
      </c>
      <c r="E584" s="139" t="s">
        <v>783</v>
      </c>
      <c r="F584" s="139"/>
      <c r="G584" s="157" t="s">
        <v>2289</v>
      </c>
    </row>
    <row r="585" spans="1:7" customFormat="1" ht="14.25" hidden="1" customHeight="1">
      <c r="A585" s="238">
        <v>45874</v>
      </c>
      <c r="B585" s="239" t="s">
        <v>320</v>
      </c>
      <c r="C585" s="218" t="s">
        <v>2294</v>
      </c>
      <c r="D585" s="138">
        <v>45876</v>
      </c>
      <c r="E585" s="139" t="s">
        <v>783</v>
      </c>
      <c r="F585" s="139">
        <v>45880</v>
      </c>
      <c r="G585" s="157" t="s">
        <v>2295</v>
      </c>
    </row>
    <row r="586" spans="1:7" customFormat="1" ht="14.25" hidden="1" customHeight="1">
      <c r="A586" s="399">
        <v>45875</v>
      </c>
      <c r="B586" s="240" t="s">
        <v>714</v>
      </c>
      <c r="C586" s="155" t="s">
        <v>2296</v>
      </c>
      <c r="D586" s="181">
        <v>45882</v>
      </c>
      <c r="E586" s="156" t="s">
        <v>783</v>
      </c>
      <c r="F586" s="156">
        <v>45883</v>
      </c>
      <c r="G586" s="158" t="s">
        <v>2297</v>
      </c>
    </row>
    <row r="587" spans="1:7" customFormat="1" ht="14.25" hidden="1" customHeight="1">
      <c r="A587" s="238">
        <v>45876</v>
      </c>
      <c r="B587" s="239" t="s">
        <v>121</v>
      </c>
      <c r="C587" s="218" t="s">
        <v>2298</v>
      </c>
      <c r="D587" s="138" t="s">
        <v>672</v>
      </c>
      <c r="E587" s="139" t="s">
        <v>783</v>
      </c>
      <c r="F587" s="139">
        <v>45877</v>
      </c>
      <c r="G587" s="157" t="s">
        <v>2299</v>
      </c>
    </row>
    <row r="588" spans="1:7" customFormat="1" ht="14.25" hidden="1" customHeight="1">
      <c r="A588" s="238">
        <v>45876</v>
      </c>
      <c r="B588" s="239" t="s">
        <v>364</v>
      </c>
      <c r="C588" s="218" t="s">
        <v>2300</v>
      </c>
      <c r="D588" s="247">
        <v>45883</v>
      </c>
      <c r="E588" s="139" t="s">
        <v>783</v>
      </c>
      <c r="F588" s="392">
        <v>45883</v>
      </c>
      <c r="G588" s="157"/>
    </row>
    <row r="589" spans="1:7" customFormat="1" ht="14.25" hidden="1" customHeight="1">
      <c r="A589" s="238">
        <v>45876</v>
      </c>
      <c r="B589" s="239" t="s">
        <v>364</v>
      </c>
      <c r="C589" s="218" t="s">
        <v>2301</v>
      </c>
      <c r="D589" s="138">
        <v>45883</v>
      </c>
      <c r="E589" s="139" t="s">
        <v>783</v>
      </c>
      <c r="F589" s="140">
        <v>45880</v>
      </c>
      <c r="G589" s="143" t="s">
        <v>2295</v>
      </c>
    </row>
    <row r="590" spans="1:7" customFormat="1" ht="14.25" hidden="1" customHeight="1">
      <c r="A590" s="238">
        <v>45876</v>
      </c>
      <c r="B590" s="239" t="s">
        <v>435</v>
      </c>
      <c r="C590" s="218" t="s">
        <v>2302</v>
      </c>
      <c r="D590" s="138">
        <v>45880</v>
      </c>
      <c r="E590" s="139" t="s">
        <v>783</v>
      </c>
      <c r="F590" s="140">
        <v>45880</v>
      </c>
      <c r="G590" s="143" t="s">
        <v>2295</v>
      </c>
    </row>
    <row r="591" spans="1:7" customFormat="1" ht="14.25" hidden="1" customHeight="1">
      <c r="A591" s="238">
        <v>45877</v>
      </c>
      <c r="B591" s="239" t="s">
        <v>435</v>
      </c>
      <c r="C591" s="218" t="s">
        <v>2303</v>
      </c>
      <c r="D591" s="247">
        <v>45884</v>
      </c>
      <c r="E591" s="139" t="s">
        <v>783</v>
      </c>
      <c r="F591" s="444">
        <v>45884</v>
      </c>
      <c r="G591" s="143" t="s">
        <v>2304</v>
      </c>
    </row>
    <row r="592" spans="1:7" customFormat="1" ht="14.25" hidden="1" customHeight="1">
      <c r="A592" s="238">
        <v>45880</v>
      </c>
      <c r="B592" s="239" t="s">
        <v>293</v>
      </c>
      <c r="C592" s="218" t="s">
        <v>2305</v>
      </c>
      <c r="D592" s="138">
        <v>45881</v>
      </c>
      <c r="E592" s="139" t="s">
        <v>783</v>
      </c>
      <c r="F592" s="140">
        <v>45880</v>
      </c>
      <c r="G592" s="143" t="s">
        <v>2306</v>
      </c>
    </row>
    <row r="593" spans="1:7" customFormat="1" ht="14.25" hidden="1" customHeight="1">
      <c r="A593" s="238">
        <v>45880</v>
      </c>
      <c r="B593" s="239" t="s">
        <v>320</v>
      </c>
      <c r="C593" s="218" t="s">
        <v>2307</v>
      </c>
      <c r="D593" s="247">
        <v>45882</v>
      </c>
      <c r="E593" s="139" t="s">
        <v>783</v>
      </c>
      <c r="F593" s="444">
        <v>45883</v>
      </c>
      <c r="G593" s="143" t="s">
        <v>2308</v>
      </c>
    </row>
    <row r="594" spans="1:7" customFormat="1" ht="14.25" hidden="1" customHeight="1">
      <c r="A594" s="381">
        <v>45881</v>
      </c>
      <c r="B594" s="226" t="s">
        <v>1343</v>
      </c>
      <c r="C594" s="121" t="s">
        <v>2309</v>
      </c>
      <c r="D594" s="248">
        <v>45884</v>
      </c>
      <c r="E594" s="118" t="s">
        <v>783</v>
      </c>
      <c r="F594" s="245">
        <v>45883</v>
      </c>
      <c r="G594" s="143"/>
    </row>
    <row r="595" spans="1:7" customFormat="1" ht="14.25" hidden="1" customHeight="1">
      <c r="A595" s="381">
        <v>45881</v>
      </c>
      <c r="B595" s="226" t="s">
        <v>435</v>
      </c>
      <c r="C595" s="121" t="s">
        <v>2310</v>
      </c>
      <c r="D595" s="248">
        <v>45883</v>
      </c>
      <c r="E595" s="118" t="s">
        <v>783</v>
      </c>
      <c r="F595" s="245">
        <v>45882</v>
      </c>
      <c r="G595" s="454" t="s">
        <v>2311</v>
      </c>
    </row>
    <row r="596" spans="1:7" customFormat="1" ht="14.25" hidden="1" customHeight="1">
      <c r="A596" s="381">
        <v>45881</v>
      </c>
      <c r="B596" s="226" t="s">
        <v>435</v>
      </c>
      <c r="C596" s="121" t="s">
        <v>2312</v>
      </c>
      <c r="D596" s="248">
        <v>45883</v>
      </c>
      <c r="E596" s="118" t="s">
        <v>783</v>
      </c>
      <c r="F596" s="245">
        <v>45882</v>
      </c>
      <c r="G596" s="454" t="s">
        <v>2311</v>
      </c>
    </row>
    <row r="597" spans="1:7" customFormat="1" ht="14.25" hidden="1" customHeight="1">
      <c r="A597" s="381">
        <v>45882</v>
      </c>
      <c r="B597" s="226" t="s">
        <v>2313</v>
      </c>
      <c r="C597" s="121" t="s">
        <v>2314</v>
      </c>
      <c r="D597" s="433">
        <v>45888</v>
      </c>
      <c r="E597" s="441" t="s">
        <v>783</v>
      </c>
      <c r="F597" s="447">
        <v>45888</v>
      </c>
      <c r="G597" s="154" t="s">
        <v>2315</v>
      </c>
    </row>
    <row r="598" spans="1:7" customFormat="1" ht="14.25" hidden="1" customHeight="1">
      <c r="A598" s="381">
        <v>45887</v>
      </c>
      <c r="B598" s="226" t="s">
        <v>320</v>
      </c>
      <c r="C598" s="121" t="s">
        <v>2316</v>
      </c>
      <c r="D598" s="433">
        <v>45889</v>
      </c>
      <c r="E598" s="441" t="s">
        <v>783</v>
      </c>
      <c r="F598" s="447">
        <v>45888</v>
      </c>
      <c r="G598" s="154" t="s">
        <v>2317</v>
      </c>
    </row>
    <row r="599" spans="1:7" customFormat="1" ht="14.25" hidden="1" customHeight="1">
      <c r="A599" s="405">
        <v>45887</v>
      </c>
      <c r="B599" s="412" t="s">
        <v>320</v>
      </c>
      <c r="C599" s="144" t="s">
        <v>2318</v>
      </c>
      <c r="D599" s="434">
        <v>45889</v>
      </c>
      <c r="E599" s="442" t="s">
        <v>783</v>
      </c>
      <c r="F599" s="448">
        <v>45888</v>
      </c>
      <c r="G599" s="460" t="s">
        <v>2319</v>
      </c>
    </row>
    <row r="600" spans="1:7" customFormat="1" ht="14.25" hidden="1" customHeight="1">
      <c r="A600" s="381">
        <v>45888</v>
      </c>
      <c r="B600" s="226" t="s">
        <v>320</v>
      </c>
      <c r="C600" s="121" t="s">
        <v>2320</v>
      </c>
      <c r="D600" s="119">
        <v>45890</v>
      </c>
      <c r="E600" s="118" t="s">
        <v>783</v>
      </c>
      <c r="F600" s="118">
        <v>45887</v>
      </c>
      <c r="G600" s="461" t="s">
        <v>2321</v>
      </c>
    </row>
    <row r="601" spans="1:7" customFormat="1" ht="14.25" hidden="1" customHeight="1">
      <c r="A601" s="381">
        <v>45888</v>
      </c>
      <c r="B601" s="226" t="s">
        <v>320</v>
      </c>
      <c r="C601" s="121" t="s">
        <v>2322</v>
      </c>
      <c r="D601" s="138">
        <v>45890</v>
      </c>
      <c r="E601" s="139" t="s">
        <v>783</v>
      </c>
      <c r="F601" s="140">
        <v>45887</v>
      </c>
      <c r="G601" s="456" t="s">
        <v>2321</v>
      </c>
    </row>
    <row r="602" spans="1:7" customFormat="1" ht="14.25" hidden="1" customHeight="1">
      <c r="A602" s="397">
        <v>45888</v>
      </c>
      <c r="B602" s="412" t="s">
        <v>320</v>
      </c>
      <c r="C602" s="144" t="s">
        <v>2323</v>
      </c>
      <c r="D602" s="119">
        <v>45889</v>
      </c>
      <c r="E602" s="118" t="s">
        <v>783</v>
      </c>
      <c r="F602" s="130">
        <v>45888</v>
      </c>
      <c r="G602" s="143" t="s">
        <v>2324</v>
      </c>
    </row>
    <row r="603" spans="1:7" customFormat="1" ht="14.25" hidden="1" customHeight="1">
      <c r="A603" s="381">
        <v>45888</v>
      </c>
      <c r="B603" s="226" t="s">
        <v>417</v>
      </c>
      <c r="C603" s="121" t="s">
        <v>2325</v>
      </c>
      <c r="D603" s="119">
        <v>45888</v>
      </c>
      <c r="E603" s="118" t="s">
        <v>783</v>
      </c>
      <c r="F603" s="130">
        <v>45888</v>
      </c>
      <c r="G603" s="143" t="s">
        <v>2326</v>
      </c>
    </row>
    <row r="604" spans="1:7" customFormat="1" ht="14.25" hidden="1" customHeight="1">
      <c r="A604" s="381">
        <v>45889</v>
      </c>
      <c r="B604" s="226" t="s">
        <v>412</v>
      </c>
      <c r="C604" s="121" t="s">
        <v>2327</v>
      </c>
      <c r="D604" s="131">
        <v>45888</v>
      </c>
      <c r="E604" s="118" t="s">
        <v>783</v>
      </c>
      <c r="F604" s="130">
        <v>45889</v>
      </c>
      <c r="G604" s="143" t="s">
        <v>2328</v>
      </c>
    </row>
    <row r="605" spans="1:7" customFormat="1" ht="14.25" hidden="1" customHeight="1">
      <c r="A605" s="381">
        <v>45889</v>
      </c>
      <c r="B605" s="226" t="s">
        <v>417</v>
      </c>
      <c r="C605" s="121" t="s">
        <v>2329</v>
      </c>
      <c r="D605" s="131" t="s">
        <v>581</v>
      </c>
      <c r="E605" s="118" t="s">
        <v>783</v>
      </c>
      <c r="F605" s="130">
        <v>45889</v>
      </c>
      <c r="G605" s="143" t="s">
        <v>2330</v>
      </c>
    </row>
    <row r="606" spans="1:7" customFormat="1" ht="14.25" hidden="1" customHeight="1">
      <c r="A606" s="381">
        <v>45890</v>
      </c>
      <c r="B606" s="226" t="s">
        <v>1391</v>
      </c>
      <c r="C606" s="121" t="s">
        <v>2331</v>
      </c>
      <c r="D606" s="119">
        <v>45894</v>
      </c>
      <c r="E606" s="118" t="s">
        <v>783</v>
      </c>
      <c r="F606" s="130" t="s">
        <v>581</v>
      </c>
      <c r="G606" s="143" t="s">
        <v>2332</v>
      </c>
    </row>
    <row r="607" spans="1:7" customFormat="1" ht="14.25" hidden="1" customHeight="1">
      <c r="A607" s="381">
        <v>45890</v>
      </c>
      <c r="B607" s="226" t="s">
        <v>435</v>
      </c>
      <c r="C607" s="121" t="s">
        <v>2333</v>
      </c>
      <c r="D607" s="119">
        <v>45894</v>
      </c>
      <c r="E607" s="118" t="s">
        <v>783</v>
      </c>
      <c r="F607" s="130">
        <v>45890</v>
      </c>
      <c r="G607" s="455" t="s">
        <v>2334</v>
      </c>
    </row>
    <row r="608" spans="1:7" customFormat="1" ht="14.25" hidden="1" customHeight="1">
      <c r="A608" s="381">
        <v>45891</v>
      </c>
      <c r="B608" s="226" t="s">
        <v>74</v>
      </c>
      <c r="C608" s="121" t="s">
        <v>2335</v>
      </c>
      <c r="D608" s="119">
        <v>45894</v>
      </c>
      <c r="E608" s="118" t="s">
        <v>783</v>
      </c>
      <c r="F608" s="130">
        <v>45891</v>
      </c>
      <c r="G608" s="455" t="s">
        <v>2336</v>
      </c>
    </row>
    <row r="609" spans="1:7" customFormat="1" ht="14.25" hidden="1" customHeight="1">
      <c r="A609" s="381">
        <v>45891</v>
      </c>
      <c r="B609" s="226" t="s">
        <v>1343</v>
      </c>
      <c r="C609" s="121" t="s">
        <v>2337</v>
      </c>
      <c r="D609" s="135">
        <v>45897</v>
      </c>
      <c r="E609" s="136" t="s">
        <v>783</v>
      </c>
      <c r="F609" s="137">
        <v>45891</v>
      </c>
      <c r="G609" s="147" t="s">
        <v>2338</v>
      </c>
    </row>
    <row r="610" spans="1:7" customFormat="1" ht="14.25" hidden="1" customHeight="1">
      <c r="A610" s="381">
        <v>45894</v>
      </c>
      <c r="B610" s="226" t="s">
        <v>1164</v>
      </c>
      <c r="C610" s="121" t="s">
        <v>2339</v>
      </c>
      <c r="D610" s="119">
        <v>45890</v>
      </c>
      <c r="E610" s="118" t="s">
        <v>783</v>
      </c>
      <c r="F610" s="118">
        <v>45895</v>
      </c>
      <c r="G610" s="153" t="s">
        <v>2340</v>
      </c>
    </row>
    <row r="611" spans="1:7" customFormat="1" ht="14.25" hidden="1" customHeight="1">
      <c r="A611" s="381">
        <v>45894</v>
      </c>
      <c r="B611" s="226" t="s">
        <v>1164</v>
      </c>
      <c r="C611" s="121" t="s">
        <v>2341</v>
      </c>
      <c r="D611" s="119">
        <v>45890</v>
      </c>
      <c r="E611" s="118" t="s">
        <v>783</v>
      </c>
      <c r="F611" s="118">
        <v>45895</v>
      </c>
      <c r="G611" s="153" t="s">
        <v>2340</v>
      </c>
    </row>
    <row r="612" spans="1:7" customFormat="1" ht="14.25" hidden="1" customHeight="1">
      <c r="A612" s="381">
        <v>45895</v>
      </c>
      <c r="B612" s="398" t="s">
        <v>834</v>
      </c>
      <c r="C612" s="121" t="s">
        <v>2342</v>
      </c>
      <c r="D612" s="138" t="s">
        <v>672</v>
      </c>
      <c r="E612" s="139" t="s">
        <v>581</v>
      </c>
      <c r="F612" s="140"/>
      <c r="G612" s="153" t="s">
        <v>2343</v>
      </c>
    </row>
    <row r="613" spans="1:7" customFormat="1" ht="14.25" hidden="1" customHeight="1">
      <c r="A613" s="381">
        <v>45895</v>
      </c>
      <c r="B613" s="407" t="s">
        <v>2344</v>
      </c>
      <c r="C613" s="141" t="s">
        <v>2345</v>
      </c>
      <c r="D613" s="119" t="s">
        <v>581</v>
      </c>
      <c r="E613" s="118" t="s">
        <v>897</v>
      </c>
      <c r="F613" s="140"/>
      <c r="G613" s="153" t="s">
        <v>2346</v>
      </c>
    </row>
    <row r="614" spans="1:7" customFormat="1" ht="14.25" hidden="1" customHeight="1">
      <c r="A614" s="381">
        <v>45895</v>
      </c>
      <c r="B614" s="226" t="s">
        <v>352</v>
      </c>
      <c r="C614" s="121" t="s">
        <v>2347</v>
      </c>
      <c r="D614" s="119" t="s">
        <v>672</v>
      </c>
      <c r="E614" s="118" t="s">
        <v>783</v>
      </c>
      <c r="F614" s="130">
        <v>45903</v>
      </c>
      <c r="G614" s="143" t="s">
        <v>2348</v>
      </c>
    </row>
    <row r="615" spans="1:7" ht="14.25" hidden="1" customHeight="1">
      <c r="A615" s="381">
        <v>45895</v>
      </c>
      <c r="B615" s="226" t="s">
        <v>1665</v>
      </c>
      <c r="C615" s="121" t="s">
        <v>2349</v>
      </c>
      <c r="D615" s="391" t="s">
        <v>672</v>
      </c>
      <c r="E615" s="391" t="s">
        <v>581</v>
      </c>
      <c r="F615" s="130"/>
      <c r="G615" s="143" t="s">
        <v>2350</v>
      </c>
    </row>
    <row r="616" spans="1:7" customFormat="1" ht="14.25" hidden="1" customHeight="1">
      <c r="A616" s="381">
        <v>45895</v>
      </c>
      <c r="B616" s="226" t="s">
        <v>435</v>
      </c>
      <c r="C616" s="121" t="s">
        <v>2351</v>
      </c>
      <c r="D616" s="119" t="s">
        <v>581</v>
      </c>
      <c r="E616" s="118" t="s">
        <v>783</v>
      </c>
      <c r="F616" s="130">
        <v>45895</v>
      </c>
      <c r="G616" s="143" t="s">
        <v>2352</v>
      </c>
    </row>
    <row r="617" spans="1:7" customFormat="1" ht="14.25" hidden="1" customHeight="1">
      <c r="A617" s="381">
        <v>45896</v>
      </c>
      <c r="B617" s="226" t="s">
        <v>951</v>
      </c>
      <c r="C617" s="121" t="s">
        <v>2353</v>
      </c>
      <c r="D617" s="119">
        <v>45897</v>
      </c>
      <c r="E617" s="118" t="s">
        <v>783</v>
      </c>
      <c r="F617" s="130">
        <v>45897</v>
      </c>
      <c r="G617" s="143" t="s">
        <v>2354</v>
      </c>
    </row>
    <row r="618" spans="1:7" customFormat="1" ht="14.25" hidden="1" customHeight="1">
      <c r="A618" s="381">
        <v>45896</v>
      </c>
      <c r="B618" s="226" t="s">
        <v>714</v>
      </c>
      <c r="C618" s="121" t="s">
        <v>2355</v>
      </c>
      <c r="D618" s="119">
        <v>45898</v>
      </c>
      <c r="E618" s="118" t="s">
        <v>783</v>
      </c>
      <c r="F618" s="130">
        <v>45897</v>
      </c>
      <c r="G618" s="143" t="s">
        <v>1872</v>
      </c>
    </row>
    <row r="619" spans="1:7" customFormat="1" ht="14.25" hidden="1" customHeight="1">
      <c r="A619" s="381">
        <v>45897</v>
      </c>
      <c r="B619" s="226" t="s">
        <v>229</v>
      </c>
      <c r="C619" s="121" t="s">
        <v>2356</v>
      </c>
      <c r="D619" s="119" t="s">
        <v>672</v>
      </c>
      <c r="E619" s="118" t="s">
        <v>783</v>
      </c>
      <c r="F619" s="130"/>
      <c r="G619" s="143" t="s">
        <v>2357</v>
      </c>
    </row>
    <row r="620" spans="1:7" customFormat="1" ht="14.25" hidden="1" customHeight="1">
      <c r="A620" s="381">
        <v>45897</v>
      </c>
      <c r="B620" s="226" t="s">
        <v>309</v>
      </c>
      <c r="C620" s="429" t="s">
        <v>2358</v>
      </c>
      <c r="D620" s="119">
        <v>45898</v>
      </c>
      <c r="E620" s="118" t="s">
        <v>783</v>
      </c>
      <c r="F620" s="130">
        <v>45897</v>
      </c>
      <c r="G620" s="143" t="s">
        <v>2359</v>
      </c>
    </row>
    <row r="621" spans="1:7" customFormat="1" ht="14.25" hidden="1" customHeight="1">
      <c r="A621" s="381">
        <v>45900</v>
      </c>
      <c r="B621" s="226" t="s">
        <v>229</v>
      </c>
      <c r="C621" s="121" t="s">
        <v>2360</v>
      </c>
      <c r="D621" s="119" t="s">
        <v>672</v>
      </c>
      <c r="E621" s="118" t="s">
        <v>783</v>
      </c>
      <c r="F621" s="130">
        <v>45900</v>
      </c>
      <c r="G621" s="143" t="s">
        <v>2361</v>
      </c>
    </row>
    <row r="622" spans="1:7" customFormat="1" ht="14.25" hidden="1" customHeight="1">
      <c r="A622" s="382">
        <v>45900</v>
      </c>
      <c r="B622" s="227" t="s">
        <v>1343</v>
      </c>
      <c r="C622" s="422" t="s">
        <v>2362</v>
      </c>
      <c r="D622" s="119">
        <v>45910</v>
      </c>
      <c r="E622" s="118" t="s">
        <v>783</v>
      </c>
      <c r="F622" s="130">
        <v>45902</v>
      </c>
      <c r="G622" s="143" t="s">
        <v>2363</v>
      </c>
    </row>
    <row r="623" spans="1:7" customFormat="1" ht="14.25" hidden="1" customHeight="1">
      <c r="A623" s="381">
        <v>45900</v>
      </c>
      <c r="B623" s="226" t="s">
        <v>1343</v>
      </c>
      <c r="C623" s="121" t="s">
        <v>2364</v>
      </c>
      <c r="D623" s="131">
        <v>45910</v>
      </c>
      <c r="E623" s="118" t="s">
        <v>783</v>
      </c>
      <c r="F623" s="130">
        <v>45902</v>
      </c>
      <c r="G623" s="143" t="s">
        <v>2363</v>
      </c>
    </row>
    <row r="624" spans="1:7" customFormat="1" ht="14.25" hidden="1" customHeight="1">
      <c r="A624" s="381">
        <v>45902</v>
      </c>
      <c r="B624" s="226" t="s">
        <v>830</v>
      </c>
      <c r="C624" s="121" t="s">
        <v>2365</v>
      </c>
      <c r="D624" s="131">
        <v>45903</v>
      </c>
      <c r="E624" s="118" t="s">
        <v>82</v>
      </c>
      <c r="F624" s="130"/>
      <c r="G624" s="143" t="s">
        <v>2366</v>
      </c>
    </row>
    <row r="625" spans="1:7" customFormat="1" ht="14.25" hidden="1" customHeight="1">
      <c r="A625" s="238">
        <v>45902</v>
      </c>
      <c r="B625" s="239" t="s">
        <v>166</v>
      </c>
      <c r="C625" s="121" t="s">
        <v>2367</v>
      </c>
      <c r="D625" s="119">
        <v>45904</v>
      </c>
      <c r="E625" s="118" t="s">
        <v>783</v>
      </c>
      <c r="F625" s="130">
        <v>45888</v>
      </c>
      <c r="G625" s="143" t="s">
        <v>2368</v>
      </c>
    </row>
    <row r="626" spans="1:7" customFormat="1" ht="14.25" hidden="1" customHeight="1">
      <c r="A626" s="381">
        <v>45902</v>
      </c>
      <c r="B626" s="226" t="s">
        <v>166</v>
      </c>
      <c r="C626" s="121" t="s">
        <v>2369</v>
      </c>
      <c r="D626" s="119">
        <v>45908</v>
      </c>
      <c r="E626" s="118" t="s">
        <v>783</v>
      </c>
      <c r="F626" s="130">
        <v>45907</v>
      </c>
      <c r="G626" s="143" t="s">
        <v>2370</v>
      </c>
    </row>
    <row r="627" spans="1:7" customFormat="1" ht="14.25" hidden="1" customHeight="1">
      <c r="A627" s="381">
        <v>45902</v>
      </c>
      <c r="B627" s="226" t="s">
        <v>166</v>
      </c>
      <c r="C627" s="121" t="s">
        <v>2371</v>
      </c>
      <c r="D627" s="119">
        <v>45904</v>
      </c>
      <c r="E627" s="118" t="s">
        <v>783</v>
      </c>
      <c r="F627" s="130">
        <v>45907</v>
      </c>
      <c r="G627" s="143" t="s">
        <v>2370</v>
      </c>
    </row>
    <row r="628" spans="1:7" customFormat="1" ht="14.25" hidden="1" customHeight="1">
      <c r="A628" s="381">
        <v>45902</v>
      </c>
      <c r="B628" s="226" t="s">
        <v>834</v>
      </c>
      <c r="C628" s="121" t="s">
        <v>2372</v>
      </c>
      <c r="D628" s="119">
        <v>45908</v>
      </c>
      <c r="E628" s="118" t="s">
        <v>82</v>
      </c>
      <c r="F628" s="130"/>
      <c r="G628" s="143" t="s">
        <v>2373</v>
      </c>
    </row>
    <row r="629" spans="1:7" customFormat="1" ht="14.25" hidden="1" customHeight="1">
      <c r="A629" s="381">
        <v>45902</v>
      </c>
      <c r="B629" s="226" t="s">
        <v>834</v>
      </c>
      <c r="C629" s="121" t="s">
        <v>2374</v>
      </c>
      <c r="D629" s="119">
        <v>45904</v>
      </c>
      <c r="E629" s="118" t="s">
        <v>2375</v>
      </c>
      <c r="F629" s="130"/>
      <c r="G629" s="143" t="s">
        <v>2376</v>
      </c>
    </row>
    <row r="630" spans="1:7" customFormat="1" ht="14.25" hidden="1" customHeight="1">
      <c r="A630" s="381">
        <v>45902</v>
      </c>
      <c r="B630" s="226" t="s">
        <v>834</v>
      </c>
      <c r="C630" s="121" t="s">
        <v>2377</v>
      </c>
      <c r="D630" s="119">
        <v>45904</v>
      </c>
      <c r="E630" s="118" t="s">
        <v>2375</v>
      </c>
      <c r="F630" s="130"/>
      <c r="G630" s="143" t="s">
        <v>2378</v>
      </c>
    </row>
    <row r="631" spans="1:7" customFormat="1" ht="14.25" hidden="1" customHeight="1">
      <c r="A631" s="381">
        <v>45903</v>
      </c>
      <c r="B631" s="226" t="s">
        <v>74</v>
      </c>
      <c r="C631" s="121" t="s">
        <v>2379</v>
      </c>
      <c r="D631" s="119">
        <v>45896</v>
      </c>
      <c r="E631" s="118" t="s">
        <v>1675</v>
      </c>
      <c r="F631" s="130"/>
      <c r="G631" s="143" t="s">
        <v>2380</v>
      </c>
    </row>
    <row r="632" spans="1:7" customFormat="1" ht="14.25" hidden="1" customHeight="1">
      <c r="A632" s="381">
        <v>45903</v>
      </c>
      <c r="B632" s="226" t="s">
        <v>336</v>
      </c>
      <c r="C632" s="121" t="s">
        <v>2381</v>
      </c>
      <c r="D632" s="119" t="s">
        <v>897</v>
      </c>
      <c r="E632" s="118" t="s">
        <v>897</v>
      </c>
      <c r="F632" s="130" t="s">
        <v>48</v>
      </c>
      <c r="G632" s="143" t="s">
        <v>2382</v>
      </c>
    </row>
    <row r="633" spans="1:7" customFormat="1" ht="14.25" hidden="1" customHeight="1">
      <c r="A633" s="381">
        <v>45903</v>
      </c>
      <c r="B633" s="226" t="s">
        <v>1343</v>
      </c>
      <c r="C633" s="121" t="s">
        <v>2383</v>
      </c>
      <c r="D633" s="119">
        <v>45903</v>
      </c>
      <c r="E633" s="118" t="s">
        <v>783</v>
      </c>
      <c r="F633" s="130">
        <v>45905</v>
      </c>
      <c r="G633" s="143" t="s">
        <v>2384</v>
      </c>
    </row>
    <row r="634" spans="1:7" customFormat="1" ht="14.25" hidden="1" customHeight="1">
      <c r="A634" s="381">
        <v>45904</v>
      </c>
      <c r="B634" s="226" t="s">
        <v>796</v>
      </c>
      <c r="C634" s="121" t="s">
        <v>2385</v>
      </c>
      <c r="D634" s="119">
        <v>45911</v>
      </c>
      <c r="E634" s="118" t="s">
        <v>783</v>
      </c>
      <c r="F634" s="130">
        <v>45908</v>
      </c>
      <c r="G634" s="143" t="s">
        <v>2386</v>
      </c>
    </row>
    <row r="635" spans="1:7" customFormat="1" ht="14.25" hidden="1" customHeight="1">
      <c r="A635" s="381">
        <v>45904</v>
      </c>
      <c r="B635" s="226" t="s">
        <v>796</v>
      </c>
      <c r="C635" s="121" t="s">
        <v>2387</v>
      </c>
      <c r="D635" s="119">
        <v>45911</v>
      </c>
      <c r="E635" s="118" t="s">
        <v>783</v>
      </c>
      <c r="F635" s="130">
        <v>45908</v>
      </c>
      <c r="G635" s="143" t="s">
        <v>2386</v>
      </c>
    </row>
    <row r="636" spans="1:7" customFormat="1" ht="14.25" hidden="1" customHeight="1">
      <c r="A636" s="381">
        <v>45904</v>
      </c>
      <c r="B636" s="226" t="s">
        <v>834</v>
      </c>
      <c r="C636" s="121" t="s">
        <v>2372</v>
      </c>
      <c r="D636" s="119">
        <v>45908</v>
      </c>
      <c r="E636" s="118" t="s">
        <v>783</v>
      </c>
      <c r="F636" s="130">
        <v>45907</v>
      </c>
      <c r="G636" s="143" t="s">
        <v>2388</v>
      </c>
    </row>
    <row r="637" spans="1:7" customFormat="1" ht="14.25" hidden="1" customHeight="1">
      <c r="A637" s="381">
        <v>45907</v>
      </c>
      <c r="B637" s="226" t="s">
        <v>796</v>
      </c>
      <c r="C637" s="121" t="s">
        <v>2389</v>
      </c>
      <c r="D637" s="119">
        <v>45911</v>
      </c>
      <c r="E637" s="118" t="s">
        <v>783</v>
      </c>
      <c r="F637" s="130">
        <v>45907</v>
      </c>
      <c r="G637" s="143" t="s">
        <v>2390</v>
      </c>
    </row>
    <row r="638" spans="1:7" customFormat="1" ht="14.25" hidden="1" customHeight="1">
      <c r="A638" s="381">
        <v>45907</v>
      </c>
      <c r="B638" s="226" t="s">
        <v>796</v>
      </c>
      <c r="C638" s="121" t="s">
        <v>2391</v>
      </c>
      <c r="D638" s="119">
        <v>45911</v>
      </c>
      <c r="E638" s="118" t="s">
        <v>783</v>
      </c>
      <c r="F638" s="130">
        <v>45907</v>
      </c>
      <c r="G638" s="143" t="s">
        <v>2390</v>
      </c>
    </row>
    <row r="639" spans="1:7" customFormat="1" ht="14.25" hidden="1" customHeight="1">
      <c r="A639" s="381">
        <v>45907</v>
      </c>
      <c r="B639" s="226" t="s">
        <v>178</v>
      </c>
      <c r="C639" s="121" t="s">
        <v>2392</v>
      </c>
      <c r="D639" s="119">
        <v>45909</v>
      </c>
      <c r="E639" s="118" t="s">
        <v>783</v>
      </c>
      <c r="F639" s="130">
        <v>45907</v>
      </c>
      <c r="G639" s="143" t="s">
        <v>2390</v>
      </c>
    </row>
    <row r="640" spans="1:7" customFormat="1" ht="14.25" hidden="1" customHeight="1">
      <c r="A640" s="381">
        <v>45907</v>
      </c>
      <c r="B640" s="226" t="s">
        <v>834</v>
      </c>
      <c r="C640" s="121" t="s">
        <v>2393</v>
      </c>
      <c r="D640" s="119">
        <v>45911</v>
      </c>
      <c r="E640" s="118" t="s">
        <v>783</v>
      </c>
      <c r="F640" s="130">
        <v>45907</v>
      </c>
      <c r="G640" s="143" t="s">
        <v>2394</v>
      </c>
    </row>
    <row r="641" spans="1:7" customFormat="1" ht="14.25" hidden="1" customHeight="1">
      <c r="A641" s="381">
        <v>45908</v>
      </c>
      <c r="B641" s="226" t="s">
        <v>1421</v>
      </c>
      <c r="C641" s="121" t="s">
        <v>2395</v>
      </c>
      <c r="D641" s="119">
        <v>45910</v>
      </c>
      <c r="E641" s="118" t="s">
        <v>783</v>
      </c>
      <c r="F641" s="130">
        <v>45909</v>
      </c>
      <c r="G641" s="143" t="s">
        <v>1836</v>
      </c>
    </row>
    <row r="642" spans="1:7" customFormat="1" ht="14.25" hidden="1" customHeight="1">
      <c r="A642" s="381">
        <v>45908</v>
      </c>
      <c r="B642" s="226" t="s">
        <v>1421</v>
      </c>
      <c r="C642" s="121" t="s">
        <v>2395</v>
      </c>
      <c r="D642" s="119">
        <v>45910</v>
      </c>
      <c r="E642" s="118" t="s">
        <v>82</v>
      </c>
      <c r="F642" s="130">
        <v>45912</v>
      </c>
      <c r="G642" s="143" t="s">
        <v>2396</v>
      </c>
    </row>
    <row r="643" spans="1:7" customFormat="1" ht="14.25" hidden="1" customHeight="1">
      <c r="A643" s="381">
        <v>45909</v>
      </c>
      <c r="B643" s="226" t="s">
        <v>229</v>
      </c>
      <c r="C643" s="121" t="s">
        <v>2397</v>
      </c>
      <c r="D643" s="119" t="s">
        <v>897</v>
      </c>
      <c r="E643" s="118" t="s">
        <v>897</v>
      </c>
      <c r="F643" s="130"/>
      <c r="G643" s="143" t="s">
        <v>2398</v>
      </c>
    </row>
    <row r="644" spans="1:7" customFormat="1" ht="14.25" hidden="1" customHeight="1">
      <c r="A644" s="381">
        <v>45909</v>
      </c>
      <c r="B644" s="226" t="s">
        <v>714</v>
      </c>
      <c r="C644" s="121" t="s">
        <v>2399</v>
      </c>
      <c r="D644" s="119">
        <v>45915</v>
      </c>
      <c r="E644" s="118" t="s">
        <v>1366</v>
      </c>
      <c r="F644" s="130">
        <v>45912</v>
      </c>
      <c r="G644" s="143" t="s">
        <v>1872</v>
      </c>
    </row>
    <row r="645" spans="1:7" customFormat="1" ht="14.25" hidden="1" customHeight="1">
      <c r="A645" s="381">
        <v>45910</v>
      </c>
      <c r="B645" s="226" t="s">
        <v>834</v>
      </c>
      <c r="C645" s="121" t="s">
        <v>2400</v>
      </c>
      <c r="D645" s="119">
        <v>45905</v>
      </c>
      <c r="E645" s="118" t="s">
        <v>783</v>
      </c>
      <c r="F645" s="130">
        <v>45910</v>
      </c>
      <c r="G645" s="143" t="s">
        <v>2401</v>
      </c>
    </row>
    <row r="646" spans="1:7" customFormat="1" ht="14.25" hidden="1" customHeight="1">
      <c r="A646" s="381">
        <v>45910</v>
      </c>
      <c r="B646" s="226" t="s">
        <v>320</v>
      </c>
      <c r="C646" s="121" t="s">
        <v>2402</v>
      </c>
      <c r="D646" s="119">
        <v>45912</v>
      </c>
      <c r="E646" s="118" t="s">
        <v>82</v>
      </c>
      <c r="F646" s="130">
        <v>45912</v>
      </c>
      <c r="G646" s="143" t="s">
        <v>2403</v>
      </c>
    </row>
    <row r="647" spans="1:7" customFormat="1" ht="14.25" hidden="1" customHeight="1">
      <c r="A647" s="403">
        <v>45910</v>
      </c>
      <c r="B647" s="409" t="s">
        <v>714</v>
      </c>
      <c r="C647" s="421" t="s">
        <v>2404</v>
      </c>
      <c r="D647" s="432">
        <v>45915</v>
      </c>
      <c r="E647" s="437" t="s">
        <v>82</v>
      </c>
      <c r="F647" s="130">
        <v>45912</v>
      </c>
      <c r="G647" s="143" t="s">
        <v>2405</v>
      </c>
    </row>
    <row r="648" spans="1:7" customFormat="1" ht="14.25" hidden="1" customHeight="1">
      <c r="A648" s="381">
        <v>45910</v>
      </c>
      <c r="B648" s="226" t="s">
        <v>2406</v>
      </c>
      <c r="C648" s="121" t="s">
        <v>2407</v>
      </c>
      <c r="D648" s="119">
        <v>45912</v>
      </c>
      <c r="E648" s="118" t="s">
        <v>783</v>
      </c>
      <c r="F648" s="130">
        <v>45912</v>
      </c>
      <c r="G648" s="143" t="s">
        <v>2408</v>
      </c>
    </row>
    <row r="649" spans="1:7" customFormat="1" ht="14.25" hidden="1" customHeight="1">
      <c r="A649" s="381">
        <v>45911</v>
      </c>
      <c r="B649" s="226" t="s">
        <v>2409</v>
      </c>
      <c r="C649" s="121" t="s">
        <v>2410</v>
      </c>
      <c r="D649" s="119">
        <v>46283</v>
      </c>
      <c r="E649" s="118" t="s">
        <v>82</v>
      </c>
      <c r="F649" s="445">
        <v>45914</v>
      </c>
      <c r="G649" s="143" t="s">
        <v>2411</v>
      </c>
    </row>
    <row r="650" spans="1:7" customFormat="1" ht="14.25" hidden="1" customHeight="1">
      <c r="A650" s="381">
        <v>45911</v>
      </c>
      <c r="B650" s="226" t="s">
        <v>2409</v>
      </c>
      <c r="C650" s="121" t="s">
        <v>2412</v>
      </c>
      <c r="D650" s="119">
        <v>46283</v>
      </c>
      <c r="E650" s="118" t="s">
        <v>82</v>
      </c>
      <c r="F650" s="445">
        <v>45914</v>
      </c>
      <c r="G650" s="143" t="s">
        <v>2411</v>
      </c>
    </row>
    <row r="651" spans="1:7" customFormat="1" ht="14.25" hidden="1" customHeight="1">
      <c r="A651" s="403">
        <v>45911</v>
      </c>
      <c r="B651" s="409" t="s">
        <v>2409</v>
      </c>
      <c r="C651" s="421" t="s">
        <v>2413</v>
      </c>
      <c r="D651" s="432">
        <v>46283</v>
      </c>
      <c r="E651" s="437" t="s">
        <v>82</v>
      </c>
      <c r="F651" s="445">
        <v>45914</v>
      </c>
      <c r="G651" s="464" t="s">
        <v>2414</v>
      </c>
    </row>
    <row r="652" spans="1:7" customFormat="1" ht="14.25" hidden="1" customHeight="1">
      <c r="A652" s="381">
        <v>45911</v>
      </c>
      <c r="B652" s="226" t="s">
        <v>2415</v>
      </c>
      <c r="C652" s="121" t="s">
        <v>2416</v>
      </c>
      <c r="D652" s="119">
        <v>45916</v>
      </c>
      <c r="E652" s="118" t="s">
        <v>82</v>
      </c>
      <c r="F652" s="445">
        <v>45914</v>
      </c>
      <c r="G652" s="143" t="s">
        <v>2417</v>
      </c>
    </row>
    <row r="653" spans="1:7" customFormat="1" ht="14.25" hidden="1" customHeight="1">
      <c r="A653" s="381">
        <v>45911</v>
      </c>
      <c r="B653" s="226" t="s">
        <v>2415</v>
      </c>
      <c r="C653" s="121" t="s">
        <v>2418</v>
      </c>
      <c r="D653" s="119">
        <v>45916</v>
      </c>
      <c r="E653" s="118" t="s">
        <v>82</v>
      </c>
      <c r="F653" s="130">
        <v>45915</v>
      </c>
      <c r="G653" s="143" t="s">
        <v>2419</v>
      </c>
    </row>
    <row r="654" spans="1:7" customFormat="1" ht="14.25" hidden="1" customHeight="1">
      <c r="A654" s="381">
        <v>45911</v>
      </c>
      <c r="B654" s="226" t="s">
        <v>320</v>
      </c>
      <c r="C654" s="121" t="s">
        <v>2420</v>
      </c>
      <c r="D654" s="119">
        <v>45918</v>
      </c>
      <c r="E654" s="118" t="s">
        <v>82</v>
      </c>
      <c r="F654" s="130">
        <v>45915</v>
      </c>
      <c r="G654" s="143" t="s">
        <v>2421</v>
      </c>
    </row>
    <row r="655" spans="1:7" customFormat="1" ht="14.25" hidden="1" customHeight="1">
      <c r="A655" s="381">
        <v>45911</v>
      </c>
      <c r="B655" s="226" t="s">
        <v>714</v>
      </c>
      <c r="C655" s="141" t="s">
        <v>2422</v>
      </c>
      <c r="D655" s="119">
        <v>45894</v>
      </c>
      <c r="E655" s="118" t="s">
        <v>82</v>
      </c>
      <c r="F655" s="130">
        <v>45915</v>
      </c>
      <c r="G655" s="143" t="s">
        <v>2423</v>
      </c>
    </row>
    <row r="656" spans="1:7" customFormat="1" ht="14.25" hidden="1" customHeight="1">
      <c r="A656" s="381">
        <v>45911</v>
      </c>
      <c r="B656" s="226" t="s">
        <v>1421</v>
      </c>
      <c r="C656" s="121" t="s">
        <v>2424</v>
      </c>
      <c r="D656" s="119">
        <v>45915</v>
      </c>
      <c r="E656" s="118" t="s">
        <v>783</v>
      </c>
      <c r="F656" s="130">
        <v>45912</v>
      </c>
      <c r="G656" s="143" t="s">
        <v>2419</v>
      </c>
    </row>
    <row r="657" spans="1:7" customFormat="1" ht="14.25" hidden="1" customHeight="1">
      <c r="A657" s="403">
        <v>45912</v>
      </c>
      <c r="B657" s="409" t="s">
        <v>320</v>
      </c>
      <c r="C657" s="421" t="s">
        <v>2425</v>
      </c>
      <c r="D657" s="432">
        <v>45916</v>
      </c>
      <c r="E657" s="437" t="s">
        <v>82</v>
      </c>
      <c r="F657" s="445">
        <v>45915</v>
      </c>
      <c r="G657" s="143" t="s">
        <v>2426</v>
      </c>
    </row>
    <row r="658" spans="1:7" customFormat="1" ht="14.25" hidden="1" customHeight="1">
      <c r="A658" s="381">
        <v>45912</v>
      </c>
      <c r="B658" s="226" t="s">
        <v>320</v>
      </c>
      <c r="C658" s="121" t="s">
        <v>2427</v>
      </c>
      <c r="D658" s="119">
        <v>45916</v>
      </c>
      <c r="E658" s="118" t="s">
        <v>82</v>
      </c>
      <c r="F658" s="130">
        <v>45915</v>
      </c>
      <c r="G658" s="455" t="s">
        <v>2428</v>
      </c>
    </row>
    <row r="659" spans="1:7" customFormat="1" ht="14.25" hidden="1" customHeight="1">
      <c r="A659" s="381">
        <v>45912</v>
      </c>
      <c r="B659" s="226" t="s">
        <v>320</v>
      </c>
      <c r="C659" s="121" t="s">
        <v>2429</v>
      </c>
      <c r="D659" s="119">
        <v>45916</v>
      </c>
      <c r="E659" s="118" t="s">
        <v>82</v>
      </c>
      <c r="F659" s="130">
        <v>45915</v>
      </c>
      <c r="G659" s="143" t="s">
        <v>2430</v>
      </c>
    </row>
    <row r="660" spans="1:7" customFormat="1" ht="14.25" hidden="1" customHeight="1">
      <c r="A660" s="381">
        <v>45912</v>
      </c>
      <c r="B660" s="226" t="s">
        <v>320</v>
      </c>
      <c r="C660" s="121" t="s">
        <v>2431</v>
      </c>
      <c r="D660" s="119">
        <v>45918</v>
      </c>
      <c r="E660" s="118" t="s">
        <v>82</v>
      </c>
      <c r="F660" s="130">
        <v>45915</v>
      </c>
      <c r="G660" s="465" t="s">
        <v>2429</v>
      </c>
    </row>
    <row r="661" spans="1:7" customFormat="1" ht="14.25" hidden="1" customHeight="1">
      <c r="A661" s="381">
        <v>45912</v>
      </c>
      <c r="B661" s="226" t="s">
        <v>320</v>
      </c>
      <c r="C661" s="121" t="s">
        <v>2432</v>
      </c>
      <c r="D661" s="119">
        <v>45916</v>
      </c>
      <c r="E661" s="118" t="s">
        <v>82</v>
      </c>
      <c r="F661" s="130">
        <v>45912</v>
      </c>
      <c r="G661" s="143"/>
    </row>
    <row r="662" spans="1:7" customFormat="1" ht="14.25" hidden="1" customHeight="1">
      <c r="A662" s="381">
        <v>45912</v>
      </c>
      <c r="B662" s="226" t="s">
        <v>320</v>
      </c>
      <c r="C662" s="121" t="s">
        <v>2433</v>
      </c>
      <c r="D662" s="119">
        <v>45918</v>
      </c>
      <c r="E662" s="118" t="s">
        <v>82</v>
      </c>
      <c r="F662" s="130">
        <v>45915</v>
      </c>
      <c r="G662" s="143"/>
    </row>
    <row r="663" spans="1:7" customFormat="1" ht="14.25" hidden="1" customHeight="1">
      <c r="A663" s="381">
        <v>45912</v>
      </c>
      <c r="B663" s="226" t="s">
        <v>320</v>
      </c>
      <c r="C663" s="121" t="s">
        <v>2434</v>
      </c>
      <c r="D663" s="119">
        <v>45916</v>
      </c>
      <c r="E663" s="118" t="s">
        <v>82</v>
      </c>
      <c r="F663" s="130">
        <v>45912</v>
      </c>
      <c r="G663" s="143" t="s">
        <v>2435</v>
      </c>
    </row>
    <row r="664" spans="1:7" customFormat="1" ht="14.25" hidden="1" customHeight="1">
      <c r="A664" s="397">
        <v>45915</v>
      </c>
      <c r="B664" s="406" t="s">
        <v>126</v>
      </c>
      <c r="C664" s="430" t="s">
        <v>2436</v>
      </c>
      <c r="D664" s="91" t="s">
        <v>581</v>
      </c>
      <c r="E664" s="141" t="s">
        <v>82</v>
      </c>
      <c r="F664" s="445">
        <v>45917</v>
      </c>
      <c r="G664" s="464" t="s">
        <v>2437</v>
      </c>
    </row>
    <row r="665" spans="1:7" customFormat="1" ht="14.25" hidden="1" customHeight="1">
      <c r="A665" s="381">
        <v>45915</v>
      </c>
      <c r="B665" s="226" t="s">
        <v>267</v>
      </c>
      <c r="C665" s="121" t="s">
        <v>2438</v>
      </c>
      <c r="D665" s="119">
        <v>45915</v>
      </c>
      <c r="E665" s="118" t="s">
        <v>581</v>
      </c>
      <c r="F665" s="130">
        <v>45916</v>
      </c>
      <c r="G665" s="143" t="s">
        <v>2439</v>
      </c>
    </row>
    <row r="666" spans="1:7" customFormat="1" ht="14.25" hidden="1" customHeight="1">
      <c r="A666" s="381">
        <v>45915</v>
      </c>
      <c r="B666" s="226" t="s">
        <v>320</v>
      </c>
      <c r="C666" s="121" t="s">
        <v>2440</v>
      </c>
      <c r="D666" s="119">
        <v>45917</v>
      </c>
      <c r="E666" s="118" t="s">
        <v>82</v>
      </c>
      <c r="F666" s="130">
        <v>45915</v>
      </c>
      <c r="G666" s="143" t="s">
        <v>1682</v>
      </c>
    </row>
    <row r="667" spans="1:7" customFormat="1" ht="14.25" hidden="1" customHeight="1">
      <c r="A667" s="381">
        <v>45916</v>
      </c>
      <c r="B667" s="226" t="s">
        <v>229</v>
      </c>
      <c r="C667" s="141" t="s">
        <v>2441</v>
      </c>
      <c r="D667" s="119" t="s">
        <v>581</v>
      </c>
      <c r="E667" s="118" t="s">
        <v>581</v>
      </c>
      <c r="F667" s="130" t="s">
        <v>581</v>
      </c>
      <c r="G667" s="143" t="s">
        <v>2442</v>
      </c>
    </row>
    <row r="668" spans="1:7" customFormat="1" ht="14.25" hidden="1" customHeight="1">
      <c r="A668" s="381">
        <v>45916</v>
      </c>
      <c r="B668" s="226" t="s">
        <v>435</v>
      </c>
      <c r="C668" s="121" t="s">
        <v>2443</v>
      </c>
      <c r="D668" s="119">
        <v>45918</v>
      </c>
      <c r="E668" s="118" t="s">
        <v>82</v>
      </c>
      <c r="F668" s="130">
        <v>45916</v>
      </c>
      <c r="G668" s="143" t="s">
        <v>2444</v>
      </c>
    </row>
    <row r="669" spans="1:7" ht="14.25" hidden="1" customHeight="1">
      <c r="A669" s="397">
        <v>45917</v>
      </c>
      <c r="B669" s="412" t="s">
        <v>1314</v>
      </c>
      <c r="C669" s="144" t="s">
        <v>2445</v>
      </c>
      <c r="D669" s="488">
        <v>45923</v>
      </c>
      <c r="E669" s="438" t="s">
        <v>82</v>
      </c>
      <c r="F669" s="497">
        <v>45918</v>
      </c>
      <c r="G669" s="489" t="s">
        <v>2295</v>
      </c>
    </row>
    <row r="670" spans="1:7" ht="14.25" hidden="1" customHeight="1">
      <c r="A670" s="397">
        <v>45917</v>
      </c>
      <c r="B670" s="412" t="s">
        <v>1314</v>
      </c>
      <c r="C670" s="144" t="s">
        <v>2446</v>
      </c>
      <c r="D670" s="488">
        <v>45923</v>
      </c>
      <c r="E670" s="438" t="s">
        <v>82</v>
      </c>
      <c r="F670" s="497">
        <v>45922</v>
      </c>
      <c r="G670" s="489" t="s">
        <v>2295</v>
      </c>
    </row>
    <row r="671" spans="1:7" customFormat="1" ht="14.25" hidden="1" customHeight="1">
      <c r="A671" s="381">
        <v>45917</v>
      </c>
      <c r="B671" s="226" t="s">
        <v>412</v>
      </c>
      <c r="C671" s="121" t="s">
        <v>2447</v>
      </c>
      <c r="D671" s="91">
        <v>45919</v>
      </c>
      <c r="E671" s="141" t="s">
        <v>82</v>
      </c>
      <c r="F671" s="130">
        <v>45918</v>
      </c>
      <c r="G671" s="143" t="s">
        <v>2448</v>
      </c>
    </row>
    <row r="672" spans="1:7" customFormat="1" ht="14.25" hidden="1" customHeight="1">
      <c r="A672" s="381">
        <v>45919</v>
      </c>
      <c r="B672" s="228" t="s">
        <v>796</v>
      </c>
      <c r="C672" s="160" t="s">
        <v>2449</v>
      </c>
      <c r="D672" s="91">
        <v>45926</v>
      </c>
      <c r="E672" s="141" t="s">
        <v>82</v>
      </c>
      <c r="F672" s="130">
        <v>45919</v>
      </c>
      <c r="G672" s="143" t="s">
        <v>2450</v>
      </c>
    </row>
    <row r="673" spans="1:7" customFormat="1" ht="14.25" hidden="1" customHeight="1">
      <c r="A673" s="381">
        <v>45922</v>
      </c>
      <c r="B673" s="228" t="s">
        <v>1391</v>
      </c>
      <c r="C673" s="160" t="s">
        <v>2451</v>
      </c>
      <c r="D673" s="91">
        <v>45926</v>
      </c>
      <c r="E673" s="141" t="s">
        <v>82</v>
      </c>
      <c r="F673" s="130">
        <v>45922</v>
      </c>
      <c r="G673" s="143" t="s">
        <v>2295</v>
      </c>
    </row>
    <row r="674" spans="1:7" customFormat="1" ht="14.25" hidden="1" customHeight="1">
      <c r="A674" s="381">
        <v>45922</v>
      </c>
      <c r="B674" s="228" t="s">
        <v>1391</v>
      </c>
      <c r="C674" s="160" t="s">
        <v>2452</v>
      </c>
      <c r="D674" s="91">
        <v>45926</v>
      </c>
      <c r="E674" s="141" t="s">
        <v>82</v>
      </c>
      <c r="F674" s="130">
        <v>45924</v>
      </c>
      <c r="G674" s="143" t="s">
        <v>2295</v>
      </c>
    </row>
    <row r="675" spans="1:7" customFormat="1" ht="14.25" hidden="1" customHeight="1">
      <c r="A675" s="381">
        <v>45922</v>
      </c>
      <c r="B675" s="228" t="s">
        <v>1198</v>
      </c>
      <c r="C675" s="160" t="s">
        <v>2453</v>
      </c>
      <c r="D675" s="91">
        <v>45926</v>
      </c>
      <c r="E675" s="141" t="s">
        <v>82</v>
      </c>
      <c r="F675" s="130">
        <v>45924</v>
      </c>
      <c r="G675" s="143" t="s">
        <v>2295</v>
      </c>
    </row>
    <row r="676" spans="1:7" customFormat="1" ht="14.25" hidden="1" customHeight="1">
      <c r="A676" s="381">
        <v>45922</v>
      </c>
      <c r="B676" s="228" t="s">
        <v>320</v>
      </c>
      <c r="C676" s="160" t="s">
        <v>2454</v>
      </c>
      <c r="D676" s="91">
        <v>45925</v>
      </c>
      <c r="E676" s="141" t="s">
        <v>82</v>
      </c>
      <c r="F676" s="130">
        <v>45922</v>
      </c>
      <c r="G676" s="143" t="s">
        <v>2295</v>
      </c>
    </row>
    <row r="677" spans="1:7" customFormat="1" ht="14.25" hidden="1" customHeight="1">
      <c r="A677" s="381">
        <v>45923</v>
      </c>
      <c r="B677" s="228" t="s">
        <v>796</v>
      </c>
      <c r="C677" s="160" t="s">
        <v>2455</v>
      </c>
      <c r="D677" s="91">
        <v>45925</v>
      </c>
      <c r="E677" s="141" t="s">
        <v>82</v>
      </c>
      <c r="F677" s="130">
        <v>45923</v>
      </c>
      <c r="G677" s="143" t="s">
        <v>2456</v>
      </c>
    </row>
    <row r="678" spans="1:7" customFormat="1" ht="14.25" hidden="1" customHeight="1">
      <c r="A678" s="381">
        <v>45923</v>
      </c>
      <c r="B678" s="228" t="s">
        <v>796</v>
      </c>
      <c r="C678" s="160" t="s">
        <v>2457</v>
      </c>
      <c r="D678" s="91">
        <v>45925</v>
      </c>
      <c r="E678" s="141" t="s">
        <v>82</v>
      </c>
      <c r="F678" s="130">
        <v>45923</v>
      </c>
      <c r="G678" s="143" t="s">
        <v>2456</v>
      </c>
    </row>
    <row r="679" spans="1:7" customFormat="1" ht="14.25" hidden="1" customHeight="1">
      <c r="A679" s="381">
        <v>45923</v>
      </c>
      <c r="B679" s="228" t="s">
        <v>289</v>
      </c>
      <c r="C679" s="160" t="s">
        <v>2458</v>
      </c>
      <c r="D679" s="91">
        <v>45924</v>
      </c>
      <c r="E679" s="141" t="s">
        <v>82</v>
      </c>
      <c r="F679" s="130">
        <v>45924</v>
      </c>
      <c r="G679" s="143" t="s">
        <v>2295</v>
      </c>
    </row>
    <row r="680" spans="1:7" customFormat="1" ht="14.25" hidden="1" customHeight="1">
      <c r="A680" s="381">
        <v>45923</v>
      </c>
      <c r="B680" s="228" t="s">
        <v>293</v>
      </c>
      <c r="C680" s="160" t="s">
        <v>2459</v>
      </c>
      <c r="D680" s="91">
        <v>45937</v>
      </c>
      <c r="E680" s="141" t="s">
        <v>82</v>
      </c>
      <c r="F680" s="130">
        <v>45923</v>
      </c>
      <c r="G680" s="143" t="s">
        <v>2456</v>
      </c>
    </row>
    <row r="681" spans="1:7" customFormat="1" ht="14.25" hidden="1" customHeight="1">
      <c r="A681" s="381">
        <v>45924</v>
      </c>
      <c r="B681" s="228" t="s">
        <v>2460</v>
      </c>
      <c r="C681" s="160" t="s">
        <v>2461</v>
      </c>
      <c r="D681" s="91">
        <v>45926</v>
      </c>
      <c r="E681" s="141" t="s">
        <v>581</v>
      </c>
      <c r="F681" s="130">
        <v>45924</v>
      </c>
      <c r="G681" s="143" t="s">
        <v>2462</v>
      </c>
    </row>
    <row r="682" spans="1:7" customFormat="1" ht="14.25" hidden="1" customHeight="1">
      <c r="A682" s="381">
        <v>45924</v>
      </c>
      <c r="B682" s="228" t="s">
        <v>2460</v>
      </c>
      <c r="C682" s="160" t="s">
        <v>2463</v>
      </c>
      <c r="D682" s="91">
        <v>45926</v>
      </c>
      <c r="E682" s="141" t="s">
        <v>82</v>
      </c>
      <c r="F682" s="130">
        <v>45925</v>
      </c>
      <c r="G682" s="143" t="s">
        <v>2456</v>
      </c>
    </row>
    <row r="683" spans="1:7" customFormat="1" ht="14.25" hidden="1" customHeight="1">
      <c r="A683" s="381">
        <v>45924</v>
      </c>
      <c r="B683" s="228" t="s">
        <v>2460</v>
      </c>
      <c r="C683" s="160" t="s">
        <v>2464</v>
      </c>
      <c r="D683" s="91">
        <v>45924</v>
      </c>
      <c r="E683" s="141" t="s">
        <v>82</v>
      </c>
      <c r="F683" s="130">
        <v>45924</v>
      </c>
      <c r="G683" s="143" t="s">
        <v>2465</v>
      </c>
    </row>
    <row r="684" spans="1:7" customFormat="1" ht="14.25" hidden="1" customHeight="1">
      <c r="A684" s="381">
        <v>45924</v>
      </c>
      <c r="B684" s="414" t="s">
        <v>293</v>
      </c>
      <c r="C684" s="160" t="s">
        <v>2466</v>
      </c>
      <c r="D684" s="91">
        <v>45925</v>
      </c>
      <c r="E684" s="141" t="s">
        <v>82</v>
      </c>
      <c r="F684" s="130">
        <v>45926</v>
      </c>
      <c r="G684" s="143" t="s">
        <v>2467</v>
      </c>
    </row>
    <row r="685" spans="1:7" customFormat="1" ht="14.25" hidden="1" customHeight="1">
      <c r="A685" s="381">
        <v>45925</v>
      </c>
      <c r="B685" s="228" t="s">
        <v>1391</v>
      </c>
      <c r="C685" s="160" t="s">
        <v>2468</v>
      </c>
      <c r="D685" s="91">
        <v>45931</v>
      </c>
      <c r="E685" s="141" t="s">
        <v>783</v>
      </c>
      <c r="F685" s="130">
        <v>45925</v>
      </c>
      <c r="G685" s="143" t="s">
        <v>2469</v>
      </c>
    </row>
    <row r="686" spans="1:7" customFormat="1" ht="14.25" hidden="1" customHeight="1">
      <c r="A686" s="381">
        <v>45925</v>
      </c>
      <c r="B686" s="228" t="s">
        <v>1391</v>
      </c>
      <c r="C686" s="160" t="s">
        <v>2470</v>
      </c>
      <c r="D686" s="91">
        <v>45931</v>
      </c>
      <c r="E686" s="141" t="s">
        <v>783</v>
      </c>
      <c r="F686" s="130">
        <v>45925</v>
      </c>
      <c r="G686" s="143" t="s">
        <v>2469</v>
      </c>
    </row>
    <row r="687" spans="1:7" customFormat="1" ht="14.25" hidden="1" customHeight="1">
      <c r="A687" s="381">
        <v>45925</v>
      </c>
      <c r="B687" s="228" t="s">
        <v>435</v>
      </c>
      <c r="C687" s="160" t="s">
        <v>2471</v>
      </c>
      <c r="D687" s="91">
        <v>45924</v>
      </c>
      <c r="E687" s="141" t="s">
        <v>783</v>
      </c>
      <c r="F687" s="130">
        <v>45924</v>
      </c>
      <c r="G687" s="143" t="s">
        <v>1872</v>
      </c>
    </row>
    <row r="688" spans="1:7" customFormat="1" ht="14.25" hidden="1" customHeight="1">
      <c r="A688" s="381">
        <v>45929</v>
      </c>
      <c r="B688" s="228" t="s">
        <v>2472</v>
      </c>
      <c r="C688" s="160" t="s">
        <v>2473</v>
      </c>
      <c r="D688" s="91">
        <v>45929</v>
      </c>
      <c r="E688" s="141" t="s">
        <v>783</v>
      </c>
      <c r="F688" s="130">
        <v>45929</v>
      </c>
      <c r="G688" s="143" t="s">
        <v>2474</v>
      </c>
    </row>
    <row r="689" spans="1:7" customFormat="1" ht="14.25" hidden="1" customHeight="1">
      <c r="A689" s="381">
        <v>45929</v>
      </c>
      <c r="B689" s="228" t="s">
        <v>289</v>
      </c>
      <c r="C689" s="160" t="s">
        <v>2475</v>
      </c>
      <c r="D689" s="91">
        <v>45936</v>
      </c>
      <c r="E689" s="141" t="s">
        <v>783</v>
      </c>
      <c r="F689" s="130">
        <v>45929</v>
      </c>
      <c r="G689" s="143" t="s">
        <v>1836</v>
      </c>
    </row>
    <row r="690" spans="1:7" customFormat="1" ht="14.25" hidden="1" customHeight="1">
      <c r="A690" s="381">
        <v>45929</v>
      </c>
      <c r="B690" s="228" t="s">
        <v>309</v>
      </c>
      <c r="C690" s="160" t="s">
        <v>2476</v>
      </c>
      <c r="D690" s="91">
        <v>45931</v>
      </c>
      <c r="E690" s="141" t="s">
        <v>783</v>
      </c>
      <c r="F690" s="130">
        <v>45929</v>
      </c>
      <c r="G690" s="143" t="s">
        <v>1402</v>
      </c>
    </row>
    <row r="691" spans="1:7" customFormat="1" ht="14.25" hidden="1" customHeight="1">
      <c r="A691" s="381">
        <v>45929</v>
      </c>
      <c r="B691" s="228" t="s">
        <v>320</v>
      </c>
      <c r="C691" s="160" t="s">
        <v>2477</v>
      </c>
      <c r="D691" s="219">
        <v>45933</v>
      </c>
      <c r="E691" s="228" t="s">
        <v>82</v>
      </c>
      <c r="F691" s="446">
        <v>45932</v>
      </c>
      <c r="G691" s="459" t="s">
        <v>2478</v>
      </c>
    </row>
    <row r="692" spans="1:7" s="180" customFormat="1" ht="14.25" hidden="1" customHeight="1">
      <c r="A692" s="381">
        <v>45929</v>
      </c>
      <c r="B692" s="228" t="s">
        <v>320</v>
      </c>
      <c r="C692" s="160" t="s">
        <v>2479</v>
      </c>
      <c r="D692" s="219">
        <v>45931</v>
      </c>
      <c r="E692" s="439" t="s">
        <v>783</v>
      </c>
      <c r="F692" s="245">
        <v>45929</v>
      </c>
      <c r="G692" s="457" t="s">
        <v>2295</v>
      </c>
    </row>
    <row r="693" spans="1:7" s="180" customFormat="1" ht="14.25" hidden="1" customHeight="1">
      <c r="A693" s="381">
        <v>45929</v>
      </c>
      <c r="B693" s="228" t="s">
        <v>320</v>
      </c>
      <c r="C693" s="160" t="s">
        <v>2480</v>
      </c>
      <c r="D693" s="219">
        <v>45933</v>
      </c>
      <c r="E693" s="439" t="s">
        <v>783</v>
      </c>
      <c r="F693" s="245">
        <v>45930</v>
      </c>
      <c r="G693" s="457" t="s">
        <v>2481</v>
      </c>
    </row>
    <row r="694" spans="1:7" customFormat="1" ht="14.25" hidden="1" customHeight="1">
      <c r="A694" s="381">
        <v>45929</v>
      </c>
      <c r="B694" s="228" t="s">
        <v>447</v>
      </c>
      <c r="C694" s="160" t="s">
        <v>2482</v>
      </c>
      <c r="D694" s="91">
        <v>45933</v>
      </c>
      <c r="E694" s="226" t="s">
        <v>783</v>
      </c>
      <c r="F694" s="224">
        <v>45931</v>
      </c>
      <c r="G694" s="223" t="s">
        <v>2450</v>
      </c>
    </row>
    <row r="695" spans="1:7" s="180" customFormat="1" ht="14.25" hidden="1" customHeight="1">
      <c r="A695" s="381">
        <v>45929</v>
      </c>
      <c r="B695" s="228" t="s">
        <v>447</v>
      </c>
      <c r="C695" s="160" t="s">
        <v>2483</v>
      </c>
      <c r="D695" s="91">
        <v>45933</v>
      </c>
      <c r="E695" s="141" t="s">
        <v>783</v>
      </c>
      <c r="F695" s="130">
        <v>45930</v>
      </c>
      <c r="G695" s="143" t="s">
        <v>1872</v>
      </c>
    </row>
    <row r="696" spans="1:7" customFormat="1" ht="14.25" hidden="1" customHeight="1">
      <c r="A696" s="381">
        <v>45930</v>
      </c>
      <c r="B696" s="228" t="s">
        <v>267</v>
      </c>
      <c r="C696" s="160" t="s">
        <v>2484</v>
      </c>
      <c r="D696" s="91">
        <v>45932</v>
      </c>
      <c r="E696" s="226" t="s">
        <v>783</v>
      </c>
      <c r="F696" s="224">
        <v>45931</v>
      </c>
      <c r="G696" s="223" t="s">
        <v>2450</v>
      </c>
    </row>
    <row r="697" spans="1:7" customFormat="1" ht="14.25" hidden="1" customHeight="1">
      <c r="A697" s="381">
        <v>45930</v>
      </c>
      <c r="B697" s="228" t="s">
        <v>299</v>
      </c>
      <c r="C697" s="160" t="s">
        <v>2485</v>
      </c>
      <c r="D697" s="91">
        <v>45938</v>
      </c>
      <c r="E697" s="141" t="s">
        <v>82</v>
      </c>
      <c r="F697" s="130">
        <v>10</v>
      </c>
      <c r="G697" s="143" t="s">
        <v>2486</v>
      </c>
    </row>
    <row r="698" spans="1:7" customFormat="1" ht="14.25" hidden="1" customHeight="1">
      <c r="A698" s="381">
        <v>45931</v>
      </c>
      <c r="B698" s="228" t="s">
        <v>289</v>
      </c>
      <c r="C698" s="160" t="s">
        <v>2487</v>
      </c>
      <c r="D698" s="91">
        <v>45937</v>
      </c>
      <c r="E698" s="226" t="s">
        <v>82</v>
      </c>
      <c r="F698" s="224">
        <v>45937</v>
      </c>
      <c r="G698" s="223" t="s">
        <v>2486</v>
      </c>
    </row>
    <row r="699" spans="1:7" customFormat="1" ht="14.25" hidden="1" customHeight="1">
      <c r="A699" s="381">
        <v>45932</v>
      </c>
      <c r="B699" s="228" t="s">
        <v>714</v>
      </c>
      <c r="C699" s="160" t="s">
        <v>2488</v>
      </c>
      <c r="D699" s="91">
        <v>45934</v>
      </c>
      <c r="E699" s="226" t="s">
        <v>82</v>
      </c>
      <c r="F699" s="224">
        <v>45932</v>
      </c>
      <c r="G699" s="223" t="s">
        <v>2478</v>
      </c>
    </row>
    <row r="700" spans="1:7" customFormat="1" ht="14.25" hidden="1" customHeight="1">
      <c r="A700" s="381">
        <v>45932</v>
      </c>
      <c r="B700" s="228" t="s">
        <v>1343</v>
      </c>
      <c r="C700" s="160" t="s">
        <v>2489</v>
      </c>
      <c r="D700" s="91">
        <v>45933</v>
      </c>
      <c r="E700" s="226" t="s">
        <v>783</v>
      </c>
      <c r="F700" s="224">
        <v>45933</v>
      </c>
      <c r="G700" s="223" t="s">
        <v>2490</v>
      </c>
    </row>
    <row r="701" spans="1:7" s="180" customFormat="1" ht="14.25" hidden="1" customHeight="1">
      <c r="A701" s="381">
        <v>45933</v>
      </c>
      <c r="B701" s="228" t="s">
        <v>320</v>
      </c>
      <c r="C701" s="160" t="s">
        <v>2491</v>
      </c>
      <c r="D701" s="219">
        <v>45939</v>
      </c>
      <c r="E701" s="228" t="s">
        <v>783</v>
      </c>
      <c r="F701" s="446">
        <v>45933</v>
      </c>
      <c r="G701" s="459" t="s">
        <v>1836</v>
      </c>
    </row>
    <row r="702" spans="1:7" customFormat="1" ht="14.25" hidden="1" customHeight="1">
      <c r="A702" s="382">
        <v>45936</v>
      </c>
      <c r="B702" s="410" t="s">
        <v>364</v>
      </c>
      <c r="C702" s="424" t="s">
        <v>2492</v>
      </c>
      <c r="D702" s="431">
        <v>45938</v>
      </c>
      <c r="E702" s="410" t="s">
        <v>783</v>
      </c>
      <c r="F702" s="224">
        <v>45937</v>
      </c>
      <c r="G702" s="223" t="s">
        <v>2478</v>
      </c>
    </row>
    <row r="703" spans="1:7" customFormat="1" ht="14.25" hidden="1" customHeight="1">
      <c r="A703" s="381">
        <v>45937</v>
      </c>
      <c r="B703" s="228" t="s">
        <v>2460</v>
      </c>
      <c r="C703" s="160" t="s">
        <v>2493</v>
      </c>
      <c r="D703" s="219">
        <v>45940</v>
      </c>
      <c r="E703" s="228" t="s">
        <v>783</v>
      </c>
      <c r="F703" s="224">
        <v>45938</v>
      </c>
      <c r="G703" s="223" t="s">
        <v>2494</v>
      </c>
    </row>
    <row r="704" spans="1:7" customFormat="1" ht="14.25" hidden="1" customHeight="1">
      <c r="A704" s="381">
        <v>45937</v>
      </c>
      <c r="B704" s="406" t="s">
        <v>1391</v>
      </c>
      <c r="C704" s="416" t="s">
        <v>2495</v>
      </c>
      <c r="D704" s="397">
        <v>45943</v>
      </c>
      <c r="E704" s="412" t="s">
        <v>82</v>
      </c>
      <c r="F704" s="225">
        <v>45940</v>
      </c>
      <c r="G704" s="223" t="s">
        <v>2496</v>
      </c>
    </row>
    <row r="705" spans="1:7" customFormat="1" ht="14.25" hidden="1" customHeight="1">
      <c r="A705" s="381">
        <v>45937</v>
      </c>
      <c r="B705" s="204" t="s">
        <v>1391</v>
      </c>
      <c r="C705" s="219" t="s">
        <v>2495</v>
      </c>
      <c r="D705" s="204">
        <v>45943</v>
      </c>
      <c r="E705" s="204" t="s">
        <v>783</v>
      </c>
      <c r="F705" s="225">
        <v>45940</v>
      </c>
      <c r="G705" s="396" t="s">
        <v>2497</v>
      </c>
    </row>
    <row r="706" spans="1:7" customFormat="1" ht="14.25" hidden="1" customHeight="1">
      <c r="A706" s="381">
        <v>45937</v>
      </c>
      <c r="B706" s="406" t="s">
        <v>289</v>
      </c>
      <c r="C706" s="160" t="s">
        <v>2498</v>
      </c>
      <c r="D706" s="203">
        <v>45944</v>
      </c>
      <c r="E706" s="406" t="s">
        <v>783</v>
      </c>
      <c r="F706" s="224">
        <v>45943</v>
      </c>
      <c r="G706" s="223" t="s">
        <v>2499</v>
      </c>
    </row>
    <row r="707" spans="1:7" customFormat="1" ht="14.25" hidden="1" customHeight="1">
      <c r="A707" s="238">
        <v>45937</v>
      </c>
      <c r="B707" s="383" t="s">
        <v>289</v>
      </c>
      <c r="C707" s="250" t="s">
        <v>2500</v>
      </c>
      <c r="D707" s="386">
        <v>45944</v>
      </c>
      <c r="E707" s="383" t="s">
        <v>783</v>
      </c>
      <c r="F707" s="224">
        <v>45943</v>
      </c>
      <c r="G707" s="223" t="s">
        <v>2499</v>
      </c>
    </row>
    <row r="708" spans="1:7" customFormat="1" ht="14.25" hidden="1" customHeight="1">
      <c r="A708" s="381">
        <v>45937</v>
      </c>
      <c r="B708" s="406" t="s">
        <v>1198</v>
      </c>
      <c r="C708" s="160" t="s">
        <v>2501</v>
      </c>
      <c r="D708" s="203">
        <v>45951</v>
      </c>
      <c r="E708" s="406" t="s">
        <v>82</v>
      </c>
      <c r="F708" s="224">
        <v>45940</v>
      </c>
      <c r="G708" s="223" t="s">
        <v>2502</v>
      </c>
    </row>
    <row r="709" spans="1:7" customFormat="1" ht="14.25" hidden="1" customHeight="1">
      <c r="A709" s="382">
        <v>45937</v>
      </c>
      <c r="B709" s="415" t="s">
        <v>1198</v>
      </c>
      <c r="C709" s="123" t="s">
        <v>2503</v>
      </c>
      <c r="D709" s="436">
        <v>45947</v>
      </c>
      <c r="E709" s="415" t="s">
        <v>783</v>
      </c>
      <c r="F709" s="450">
        <v>45943</v>
      </c>
      <c r="G709" s="466" t="s">
        <v>2456</v>
      </c>
    </row>
    <row r="710" spans="1:7" customFormat="1" ht="14.25" hidden="1" customHeight="1">
      <c r="A710" s="381">
        <v>45938</v>
      </c>
      <c r="B710" s="228" t="s">
        <v>267</v>
      </c>
      <c r="C710" s="416" t="s">
        <v>2504</v>
      </c>
      <c r="D710" s="91">
        <v>45944</v>
      </c>
      <c r="E710" s="226" t="s">
        <v>783</v>
      </c>
      <c r="F710" s="224">
        <v>45938</v>
      </c>
      <c r="G710" s="223" t="s">
        <v>2494</v>
      </c>
    </row>
    <row r="711" spans="1:7" customFormat="1" ht="14.25" hidden="1" customHeight="1">
      <c r="A711" s="381">
        <v>45938</v>
      </c>
      <c r="B711" s="228" t="s">
        <v>447</v>
      </c>
      <c r="C711" s="160" t="s">
        <v>2505</v>
      </c>
      <c r="D711" s="219">
        <v>45945</v>
      </c>
      <c r="E711" s="226" t="s">
        <v>783</v>
      </c>
      <c r="F711" s="224">
        <v>45938</v>
      </c>
      <c r="G711" s="223" t="s">
        <v>2494</v>
      </c>
    </row>
    <row r="712" spans="1:7" customFormat="1" ht="14.25" hidden="1" customHeight="1">
      <c r="A712" s="381">
        <v>45939</v>
      </c>
      <c r="B712" s="406" t="s">
        <v>289</v>
      </c>
      <c r="C712" s="416" t="s">
        <v>2506</v>
      </c>
      <c r="D712" s="203">
        <v>45946</v>
      </c>
      <c r="E712" s="406" t="s">
        <v>783</v>
      </c>
      <c r="F712" s="224">
        <v>45943</v>
      </c>
      <c r="G712" s="223" t="s">
        <v>2499</v>
      </c>
    </row>
    <row r="713" spans="1:7" customFormat="1" ht="14.25" hidden="1" customHeight="1">
      <c r="A713" s="381">
        <v>45939</v>
      </c>
      <c r="B713" s="406" t="s">
        <v>289</v>
      </c>
      <c r="C713" s="416" t="s">
        <v>2507</v>
      </c>
      <c r="D713" s="203">
        <v>45946</v>
      </c>
      <c r="E713" s="406" t="s">
        <v>783</v>
      </c>
      <c r="F713" s="224">
        <v>45943</v>
      </c>
      <c r="G713" s="223" t="s">
        <v>2499</v>
      </c>
    </row>
    <row r="714" spans="1:7" customFormat="1" ht="14.25" hidden="1" customHeight="1">
      <c r="A714" s="381">
        <v>45939</v>
      </c>
      <c r="B714" s="406" t="s">
        <v>289</v>
      </c>
      <c r="C714" s="416" t="s">
        <v>2508</v>
      </c>
      <c r="D714" s="203">
        <v>45946</v>
      </c>
      <c r="E714" s="406" t="s">
        <v>783</v>
      </c>
      <c r="F714" s="224">
        <v>45943</v>
      </c>
      <c r="G714" s="223" t="s">
        <v>2499</v>
      </c>
    </row>
    <row r="715" spans="1:7" customFormat="1" ht="14.25" hidden="1" customHeight="1">
      <c r="A715" s="381">
        <v>45939</v>
      </c>
      <c r="B715" s="406" t="s">
        <v>299</v>
      </c>
      <c r="C715" s="416" t="s">
        <v>2509</v>
      </c>
      <c r="D715" s="203">
        <v>45946</v>
      </c>
      <c r="E715" s="406" t="s">
        <v>783</v>
      </c>
      <c r="F715" s="224">
        <v>45943</v>
      </c>
      <c r="G715" s="223" t="s">
        <v>2499</v>
      </c>
    </row>
    <row r="716" spans="1:7" ht="14.25" hidden="1" customHeight="1">
      <c r="A716" s="381">
        <v>45940</v>
      </c>
      <c r="B716" s="406" t="s">
        <v>289</v>
      </c>
      <c r="C716" s="416" t="s">
        <v>2510</v>
      </c>
      <c r="D716" s="203">
        <v>45945</v>
      </c>
      <c r="E716" s="406" t="s">
        <v>82</v>
      </c>
      <c r="F716" s="391">
        <v>45940</v>
      </c>
      <c r="G716" s="394" t="s">
        <v>2502</v>
      </c>
    </row>
    <row r="717" spans="1:7" customFormat="1" ht="14.25" hidden="1" customHeight="1">
      <c r="A717" s="381">
        <v>45943</v>
      </c>
      <c r="B717" s="204" t="s">
        <v>320</v>
      </c>
      <c r="C717" s="219" t="s">
        <v>2511</v>
      </c>
      <c r="D717" s="204">
        <v>45945</v>
      </c>
      <c r="E717" s="204" t="s">
        <v>783</v>
      </c>
      <c r="F717" s="204">
        <v>45953</v>
      </c>
      <c r="G717" s="217" t="s">
        <v>2512</v>
      </c>
    </row>
    <row r="718" spans="1:7" customFormat="1" ht="14.25" hidden="1" customHeight="1">
      <c r="A718" s="381">
        <v>45943</v>
      </c>
      <c r="B718" s="204" t="s">
        <v>363</v>
      </c>
      <c r="C718" s="219" t="s">
        <v>2513</v>
      </c>
      <c r="D718" s="204">
        <v>45943</v>
      </c>
      <c r="E718" s="204" t="s">
        <v>783</v>
      </c>
      <c r="F718" s="204">
        <v>45943</v>
      </c>
      <c r="G718" s="217" t="s">
        <v>2456</v>
      </c>
    </row>
    <row r="719" spans="1:7" customFormat="1" ht="14.25" hidden="1" customHeight="1">
      <c r="A719" s="381">
        <v>45944</v>
      </c>
      <c r="B719" s="204" t="s">
        <v>714</v>
      </c>
      <c r="C719" s="219" t="s">
        <v>2514</v>
      </c>
      <c r="D719" s="204">
        <v>45894</v>
      </c>
      <c r="E719" s="204" t="s">
        <v>783</v>
      </c>
      <c r="F719" s="204">
        <v>45944</v>
      </c>
      <c r="G719" s="217" t="s">
        <v>2515</v>
      </c>
    </row>
    <row r="720" spans="1:7" customFormat="1" ht="14.25" hidden="1" customHeight="1">
      <c r="A720" s="381">
        <v>45944</v>
      </c>
      <c r="B720" s="204" t="s">
        <v>379</v>
      </c>
      <c r="C720" s="219" t="s">
        <v>2516</v>
      </c>
      <c r="D720" s="204">
        <v>45946</v>
      </c>
      <c r="E720" s="204" t="s">
        <v>1675</v>
      </c>
      <c r="F720" s="204">
        <v>45946</v>
      </c>
      <c r="G720" s="217" t="s">
        <v>2517</v>
      </c>
    </row>
    <row r="721" spans="1:7" customFormat="1" ht="14.25" hidden="1" customHeight="1">
      <c r="A721" s="381">
        <v>45945</v>
      </c>
      <c r="B721" s="204" t="s">
        <v>435</v>
      </c>
      <c r="C721" s="219" t="s">
        <v>2518</v>
      </c>
      <c r="D721" s="204">
        <v>45947</v>
      </c>
      <c r="E721" s="204" t="s">
        <v>783</v>
      </c>
      <c r="F721" s="204">
        <v>45947</v>
      </c>
      <c r="G721" s="217" t="s">
        <v>2494</v>
      </c>
    </row>
    <row r="722" spans="1:7" customFormat="1" ht="14.25" hidden="1" customHeight="1">
      <c r="A722" s="381">
        <v>45946</v>
      </c>
      <c r="B722" s="204" t="s">
        <v>309</v>
      </c>
      <c r="C722" s="219" t="s">
        <v>2519</v>
      </c>
      <c r="D722" s="204">
        <v>45951</v>
      </c>
      <c r="E722" s="204" t="s">
        <v>783</v>
      </c>
      <c r="F722" s="204">
        <v>45950</v>
      </c>
      <c r="G722" s="217" t="s">
        <v>2520</v>
      </c>
    </row>
    <row r="723" spans="1:7" customFormat="1" ht="14.25" hidden="1" customHeight="1">
      <c r="A723" s="381">
        <v>45946</v>
      </c>
      <c r="B723" s="204" t="s">
        <v>309</v>
      </c>
      <c r="C723" s="219" t="s">
        <v>2521</v>
      </c>
      <c r="D723" s="204">
        <v>45951</v>
      </c>
      <c r="E723" s="204" t="s">
        <v>783</v>
      </c>
      <c r="F723" s="204">
        <v>45951</v>
      </c>
      <c r="G723" s="217" t="s">
        <v>2522</v>
      </c>
    </row>
    <row r="724" spans="1:7" customFormat="1" ht="14.25" hidden="1" customHeight="1">
      <c r="A724" s="381">
        <v>45947</v>
      </c>
      <c r="B724" s="204" t="s">
        <v>320</v>
      </c>
      <c r="C724" s="219" t="s">
        <v>2523</v>
      </c>
      <c r="D724" s="204">
        <v>45947</v>
      </c>
      <c r="E724" s="204" t="s">
        <v>783</v>
      </c>
      <c r="F724" s="204">
        <v>45951</v>
      </c>
      <c r="G724" s="217" t="s">
        <v>2520</v>
      </c>
    </row>
    <row r="725" spans="1:7" customFormat="1" ht="14.25" hidden="1" customHeight="1">
      <c r="A725" s="381">
        <v>45950</v>
      </c>
      <c r="B725" s="204" t="s">
        <v>330</v>
      </c>
      <c r="C725" s="219" t="s">
        <v>2524</v>
      </c>
      <c r="D725" s="204">
        <v>45953</v>
      </c>
      <c r="E725" s="204" t="s">
        <v>783</v>
      </c>
      <c r="F725" s="204">
        <v>45953</v>
      </c>
      <c r="G725" s="217" t="s">
        <v>2525</v>
      </c>
    </row>
    <row r="726" spans="1:7" customFormat="1" ht="14.25" hidden="1" customHeight="1">
      <c r="A726" s="381">
        <v>45950</v>
      </c>
      <c r="B726" s="204" t="s">
        <v>330</v>
      </c>
      <c r="C726" s="219" t="s">
        <v>2526</v>
      </c>
      <c r="D726" s="204">
        <v>45953</v>
      </c>
      <c r="E726" s="204" t="s">
        <v>783</v>
      </c>
      <c r="F726" s="204">
        <v>45953</v>
      </c>
      <c r="G726" s="217" t="s">
        <v>2527</v>
      </c>
    </row>
    <row r="727" spans="1:7" customFormat="1" ht="14.25" hidden="1" customHeight="1">
      <c r="A727" s="381">
        <v>45950</v>
      </c>
      <c r="B727" s="204" t="s">
        <v>330</v>
      </c>
      <c r="C727" s="219" t="s">
        <v>2528</v>
      </c>
      <c r="D727" s="204">
        <v>45953</v>
      </c>
      <c r="E727" s="204" t="s">
        <v>783</v>
      </c>
      <c r="F727" s="204">
        <v>45953</v>
      </c>
      <c r="G727" s="217" t="s">
        <v>2527</v>
      </c>
    </row>
    <row r="728" spans="1:7" customFormat="1" ht="14.25" hidden="1" customHeight="1">
      <c r="A728" s="381">
        <v>45951</v>
      </c>
      <c r="B728" s="204" t="s">
        <v>2460</v>
      </c>
      <c r="C728" s="219" t="s">
        <v>2529</v>
      </c>
      <c r="D728" s="204">
        <v>45952</v>
      </c>
      <c r="E728" s="204" t="s">
        <v>783</v>
      </c>
      <c r="F728" s="204">
        <v>45951</v>
      </c>
      <c r="G728" s="217" t="s">
        <v>2522</v>
      </c>
    </row>
    <row r="729" spans="1:7" customFormat="1" ht="14.25" hidden="1" customHeight="1">
      <c r="A729" s="381">
        <v>45951</v>
      </c>
      <c r="B729" s="204" t="s">
        <v>435</v>
      </c>
      <c r="C729" s="219" t="s">
        <v>2530</v>
      </c>
      <c r="D729" s="204">
        <v>45953</v>
      </c>
      <c r="E729" s="204" t="s">
        <v>783</v>
      </c>
      <c r="F729" s="204">
        <v>45952</v>
      </c>
      <c r="G729" s="217" t="s">
        <v>2531</v>
      </c>
    </row>
    <row r="730" spans="1:7" customFormat="1" ht="14.25" hidden="1" customHeight="1">
      <c r="A730" s="381">
        <v>45953</v>
      </c>
      <c r="B730" s="204" t="s">
        <v>2532</v>
      </c>
      <c r="C730" s="219" t="s">
        <v>2533</v>
      </c>
      <c r="D730" s="204">
        <v>45957</v>
      </c>
      <c r="E730" s="204" t="s">
        <v>1675</v>
      </c>
      <c r="F730" s="204">
        <v>45954</v>
      </c>
      <c r="G730" s="217" t="s">
        <v>2534</v>
      </c>
    </row>
    <row r="731" spans="1:7" customFormat="1" ht="14.25" hidden="1" customHeight="1">
      <c r="A731" s="381">
        <v>45953</v>
      </c>
      <c r="B731" s="204" t="s">
        <v>417</v>
      </c>
      <c r="C731" s="219" t="s">
        <v>2535</v>
      </c>
      <c r="D731" s="204">
        <v>45961</v>
      </c>
      <c r="E731" s="204" t="s">
        <v>783</v>
      </c>
      <c r="F731" s="204">
        <v>45959</v>
      </c>
      <c r="G731" s="217" t="s">
        <v>2494</v>
      </c>
    </row>
    <row r="732" spans="1:7" customFormat="1" ht="14.25" hidden="1" customHeight="1">
      <c r="A732" s="381">
        <v>45954</v>
      </c>
      <c r="B732" s="204" t="s">
        <v>1198</v>
      </c>
      <c r="C732" s="219" t="s">
        <v>2536</v>
      </c>
      <c r="D732" s="204">
        <v>45968</v>
      </c>
      <c r="E732" s="204" t="s">
        <v>783</v>
      </c>
      <c r="F732" s="204">
        <v>45959</v>
      </c>
      <c r="G732" s="219"/>
    </row>
    <row r="733" spans="1:7" customFormat="1" ht="14.25" hidden="1" customHeight="1">
      <c r="A733" s="381">
        <v>45954</v>
      </c>
      <c r="B733" s="204" t="s">
        <v>363</v>
      </c>
      <c r="C733" s="219" t="s">
        <v>2537</v>
      </c>
      <c r="D733" s="204">
        <v>45957</v>
      </c>
      <c r="E733" s="204" t="s">
        <v>783</v>
      </c>
      <c r="F733" s="204">
        <v>45957</v>
      </c>
      <c r="G733" s="217" t="s">
        <v>2494</v>
      </c>
    </row>
    <row r="734" spans="1:7" customFormat="1" ht="14.25" hidden="1" customHeight="1">
      <c r="A734" s="381">
        <v>45957</v>
      </c>
      <c r="B734" s="204" t="s">
        <v>830</v>
      </c>
      <c r="C734" s="219" t="s">
        <v>2538</v>
      </c>
      <c r="D734" s="204">
        <v>45960</v>
      </c>
      <c r="E734" s="204" t="s">
        <v>783</v>
      </c>
      <c r="F734" s="204">
        <v>45957</v>
      </c>
      <c r="G734" s="217" t="s">
        <v>2539</v>
      </c>
    </row>
    <row r="735" spans="1:7" customFormat="1" ht="14.25" hidden="1" customHeight="1">
      <c r="A735" s="381">
        <v>45957</v>
      </c>
      <c r="B735" s="204" t="s">
        <v>289</v>
      </c>
      <c r="C735" s="219" t="s">
        <v>2540</v>
      </c>
      <c r="D735" s="204">
        <v>45960</v>
      </c>
      <c r="E735" s="204" t="s">
        <v>783</v>
      </c>
      <c r="F735" s="204">
        <v>45957</v>
      </c>
      <c r="G735" s="217" t="s">
        <v>2494</v>
      </c>
    </row>
    <row r="736" spans="1:7" customFormat="1" ht="14.25" hidden="1" customHeight="1">
      <c r="A736" s="381">
        <v>45957</v>
      </c>
      <c r="B736" s="204" t="s">
        <v>320</v>
      </c>
      <c r="C736" s="219" t="s">
        <v>2511</v>
      </c>
      <c r="D736" s="204">
        <v>45957</v>
      </c>
      <c r="E736" s="204" t="s">
        <v>1675</v>
      </c>
      <c r="F736" s="204">
        <v>45957</v>
      </c>
      <c r="G736" s="217" t="s">
        <v>2494</v>
      </c>
    </row>
    <row r="737" spans="1:9" customFormat="1" ht="14.25" hidden="1" customHeight="1">
      <c r="A737" s="381">
        <v>45957</v>
      </c>
      <c r="B737" s="204" t="s">
        <v>359</v>
      </c>
      <c r="C737" s="425" t="s">
        <v>2541</v>
      </c>
      <c r="D737" s="204">
        <v>45958</v>
      </c>
      <c r="E737" s="204" t="s">
        <v>1675</v>
      </c>
      <c r="F737" s="204">
        <v>45958</v>
      </c>
      <c r="G737" s="217" t="s">
        <v>2494</v>
      </c>
    </row>
    <row r="738" spans="1:9" customFormat="1" ht="14.25" hidden="1" customHeight="1">
      <c r="A738" s="381">
        <v>45957</v>
      </c>
      <c r="B738" s="204" t="s">
        <v>364</v>
      </c>
      <c r="C738" s="419" t="s">
        <v>2542</v>
      </c>
      <c r="D738" s="204">
        <v>45959</v>
      </c>
      <c r="E738" s="204" t="s">
        <v>783</v>
      </c>
      <c r="F738" s="204">
        <v>45957</v>
      </c>
      <c r="G738" s="217" t="s">
        <v>2494</v>
      </c>
    </row>
    <row r="739" spans="1:9" customFormat="1" ht="14.25" hidden="1" customHeight="1">
      <c r="A739" s="381">
        <v>45958</v>
      </c>
      <c r="B739" s="204" t="s">
        <v>2460</v>
      </c>
      <c r="C739" s="219" t="s">
        <v>2543</v>
      </c>
      <c r="D739" s="204">
        <v>45964</v>
      </c>
      <c r="E739" s="204" t="s">
        <v>783</v>
      </c>
      <c r="F739" s="204">
        <v>45958</v>
      </c>
      <c r="G739" s="217" t="s">
        <v>2494</v>
      </c>
    </row>
    <row r="740" spans="1:9" customFormat="1" ht="14.25" hidden="1" customHeight="1">
      <c r="A740" s="381">
        <v>45958</v>
      </c>
      <c r="B740" s="204" t="s">
        <v>1164</v>
      </c>
      <c r="C740" s="219" t="s">
        <v>2544</v>
      </c>
      <c r="D740" s="204">
        <v>45965</v>
      </c>
      <c r="E740" s="204" t="s">
        <v>783</v>
      </c>
      <c r="F740" s="204">
        <v>45960</v>
      </c>
      <c r="G740" s="219" t="s">
        <v>2545</v>
      </c>
    </row>
    <row r="741" spans="1:9" customFormat="1" ht="14.25" hidden="1" customHeight="1">
      <c r="A741" s="382">
        <v>45960</v>
      </c>
      <c r="B741" s="408" t="s">
        <v>2546</v>
      </c>
      <c r="C741" s="431" t="s">
        <v>2547</v>
      </c>
      <c r="D741" s="408">
        <v>45964</v>
      </c>
      <c r="E741" s="408" t="s">
        <v>783</v>
      </c>
      <c r="F741" s="204">
        <v>45960</v>
      </c>
      <c r="G741" s="219" t="s">
        <v>2548</v>
      </c>
    </row>
    <row r="742" spans="1:9" customFormat="1" ht="14.25" hidden="1" customHeight="1">
      <c r="A742" s="401">
        <v>45964</v>
      </c>
      <c r="B742" s="204" t="s">
        <v>834</v>
      </c>
      <c r="C742" s="219" t="s">
        <v>2549</v>
      </c>
      <c r="D742" s="219">
        <v>45964</v>
      </c>
      <c r="E742" s="204" t="s">
        <v>783</v>
      </c>
      <c r="F742" s="225">
        <v>45964</v>
      </c>
      <c r="G742" s="219" t="s">
        <v>2494</v>
      </c>
    </row>
    <row r="743" spans="1:9" customFormat="1" ht="14.25" hidden="1" customHeight="1">
      <c r="A743" s="401">
        <v>45964</v>
      </c>
      <c r="B743" s="204" t="s">
        <v>320</v>
      </c>
      <c r="C743" s="219" t="s">
        <v>2550</v>
      </c>
      <c r="D743" s="219">
        <v>45968</v>
      </c>
      <c r="E743" s="204" t="s">
        <v>783</v>
      </c>
      <c r="F743" s="225">
        <v>45964</v>
      </c>
      <c r="G743" s="219" t="s">
        <v>2494</v>
      </c>
    </row>
    <row r="744" spans="1:9" customFormat="1" ht="14.25" hidden="1" customHeight="1">
      <c r="A744" s="401">
        <v>45964</v>
      </c>
      <c r="B744" s="204" t="s">
        <v>714</v>
      </c>
      <c r="C744" s="219" t="s">
        <v>2551</v>
      </c>
      <c r="D744" s="219">
        <v>45968</v>
      </c>
      <c r="E744" s="204" t="s">
        <v>783</v>
      </c>
      <c r="F744" s="225">
        <v>45964</v>
      </c>
      <c r="G744" s="219" t="s">
        <v>2494</v>
      </c>
    </row>
    <row r="745" spans="1:9" customFormat="1" ht="14.25" hidden="1" customHeight="1">
      <c r="A745" s="401">
        <v>45965</v>
      </c>
      <c r="B745" s="251" t="s">
        <v>379</v>
      </c>
      <c r="C745" s="252" t="s">
        <v>2552</v>
      </c>
      <c r="D745" s="252">
        <v>45971</v>
      </c>
      <c r="E745" s="254" t="s">
        <v>783</v>
      </c>
      <c r="F745" s="390">
        <v>45970</v>
      </c>
      <c r="G745" s="259" t="s">
        <v>2494</v>
      </c>
    </row>
    <row r="746" spans="1:9" customFormat="1" ht="14.25" hidden="1" customHeight="1">
      <c r="A746" s="401">
        <v>45965</v>
      </c>
      <c r="B746" s="251" t="s">
        <v>1384</v>
      </c>
      <c r="C746" s="911" t="s">
        <v>2553</v>
      </c>
      <c r="D746" s="251">
        <v>45971</v>
      </c>
      <c r="E746" s="254" t="s">
        <v>783</v>
      </c>
      <c r="F746" s="254">
        <v>45970</v>
      </c>
      <c r="G746" s="259" t="s">
        <v>2494</v>
      </c>
      <c r="H746" s="225"/>
      <c r="I746" s="219"/>
    </row>
    <row r="747" spans="1:9" customFormat="1" ht="14.25" hidden="1" customHeight="1">
      <c r="A747" s="401">
        <v>45965</v>
      </c>
      <c r="B747" s="251" t="s">
        <v>1665</v>
      </c>
      <c r="C747" s="911" t="s">
        <v>2554</v>
      </c>
      <c r="D747" s="251" t="s">
        <v>672</v>
      </c>
      <c r="E747" s="254" t="s">
        <v>783</v>
      </c>
      <c r="F747" s="252">
        <v>45971</v>
      </c>
      <c r="G747" s="259" t="s">
        <v>2555</v>
      </c>
    </row>
    <row r="748" spans="1:9" customFormat="1" ht="14.25" hidden="1" customHeight="1">
      <c r="A748" s="401">
        <v>45966</v>
      </c>
      <c r="B748" s="25" t="s">
        <v>830</v>
      </c>
      <c r="C748" s="423" t="s">
        <v>2556</v>
      </c>
      <c r="D748" s="20">
        <v>45968</v>
      </c>
      <c r="E748" s="438" t="s">
        <v>783</v>
      </c>
      <c r="F748" s="242">
        <v>45966</v>
      </c>
      <c r="G748" s="453" t="s">
        <v>2494</v>
      </c>
    </row>
    <row r="749" spans="1:9" customFormat="1" ht="14.25" hidden="1" customHeight="1">
      <c r="A749" s="404">
        <v>45966</v>
      </c>
      <c r="B749" s="413" t="s">
        <v>1391</v>
      </c>
      <c r="C749" s="912" t="s">
        <v>2557</v>
      </c>
      <c r="D749" s="413">
        <v>45971</v>
      </c>
      <c r="E749" s="443" t="s">
        <v>783</v>
      </c>
      <c r="F749" s="449">
        <v>45971</v>
      </c>
      <c r="G749" s="462" t="s">
        <v>2494</v>
      </c>
    </row>
    <row r="750" spans="1:9" customFormat="1" ht="14.25" hidden="1" customHeight="1">
      <c r="A750" s="401">
        <v>45966</v>
      </c>
      <c r="B750" s="251" t="s">
        <v>1391</v>
      </c>
      <c r="C750" s="911" t="s">
        <v>2558</v>
      </c>
      <c r="D750" s="251">
        <v>45971</v>
      </c>
      <c r="E750" s="254" t="s">
        <v>783</v>
      </c>
      <c r="F750" s="252">
        <v>45971</v>
      </c>
      <c r="G750" s="259" t="s">
        <v>2494</v>
      </c>
    </row>
    <row r="751" spans="1:9" customFormat="1" ht="14.25" hidden="1" customHeight="1">
      <c r="A751" s="401">
        <v>45966</v>
      </c>
      <c r="B751" s="251" t="s">
        <v>417</v>
      </c>
      <c r="C751" s="911" t="s">
        <v>2559</v>
      </c>
      <c r="D751" s="251">
        <v>45975</v>
      </c>
      <c r="E751" s="254" t="s">
        <v>783</v>
      </c>
      <c r="F751" s="252"/>
      <c r="G751" s="259" t="s">
        <v>2560</v>
      </c>
    </row>
    <row r="752" spans="1:9" customFormat="1" ht="14.25" hidden="1" customHeight="1">
      <c r="A752" s="401">
        <v>45967</v>
      </c>
      <c r="B752" s="251" t="s">
        <v>2460</v>
      </c>
      <c r="C752" s="911" t="s">
        <v>2561</v>
      </c>
      <c r="D752" s="251">
        <v>45972</v>
      </c>
      <c r="E752" s="254" t="s">
        <v>783</v>
      </c>
      <c r="F752" s="252">
        <v>45969</v>
      </c>
      <c r="G752" s="259" t="s">
        <v>2534</v>
      </c>
    </row>
    <row r="753" spans="1:7" customFormat="1" ht="14.25" hidden="1" customHeight="1">
      <c r="A753" s="401">
        <v>45972</v>
      </c>
      <c r="B753" s="251" t="s">
        <v>2562</v>
      </c>
      <c r="C753" s="911" t="s">
        <v>2563</v>
      </c>
      <c r="D753" s="251">
        <v>45976</v>
      </c>
      <c r="E753" s="254" t="s">
        <v>783</v>
      </c>
      <c r="F753" s="252">
        <v>45972</v>
      </c>
      <c r="G753" s="259" t="s">
        <v>2564</v>
      </c>
    </row>
    <row r="754" spans="1:7" customFormat="1" ht="14.25" hidden="1" customHeight="1">
      <c r="A754" s="401">
        <v>45972</v>
      </c>
      <c r="B754" s="251" t="s">
        <v>830</v>
      </c>
      <c r="C754" s="911" t="s">
        <v>2565</v>
      </c>
      <c r="D754" s="251">
        <v>45974</v>
      </c>
      <c r="E754" s="254" t="s">
        <v>783</v>
      </c>
      <c r="F754" s="252">
        <v>45972</v>
      </c>
      <c r="G754" s="259" t="s">
        <v>2534</v>
      </c>
    </row>
    <row r="755" spans="1:7" customFormat="1" ht="14.25" hidden="1" customHeight="1">
      <c r="A755" s="401">
        <v>45972</v>
      </c>
      <c r="B755" s="251" t="s">
        <v>417</v>
      </c>
      <c r="C755" s="911" t="s">
        <v>2566</v>
      </c>
      <c r="D755" s="251">
        <v>45963</v>
      </c>
      <c r="E755" s="254" t="s">
        <v>1675</v>
      </c>
      <c r="F755" s="251">
        <v>45982</v>
      </c>
      <c r="G755" s="259" t="s">
        <v>2567</v>
      </c>
    </row>
    <row r="756" spans="1:7" customFormat="1" ht="14.25" hidden="1" customHeight="1">
      <c r="A756" s="401">
        <v>45974</v>
      </c>
      <c r="B756" s="251" t="s">
        <v>121</v>
      </c>
      <c r="C756" s="911" t="s">
        <v>2568</v>
      </c>
      <c r="D756" s="251">
        <v>45976</v>
      </c>
      <c r="E756" s="254" t="s">
        <v>783</v>
      </c>
      <c r="F756" s="252">
        <v>45974</v>
      </c>
      <c r="G756" s="259" t="s">
        <v>2494</v>
      </c>
    </row>
    <row r="757" spans="1:7" customFormat="1" ht="14.25" hidden="1" customHeight="1">
      <c r="A757" s="401">
        <v>45974</v>
      </c>
      <c r="B757" s="251" t="s">
        <v>1391</v>
      </c>
      <c r="C757" s="911" t="s">
        <v>2569</v>
      </c>
      <c r="D757" s="251">
        <v>45981</v>
      </c>
      <c r="E757" s="254" t="s">
        <v>783</v>
      </c>
      <c r="F757" s="252">
        <v>45971</v>
      </c>
      <c r="G757" s="259" t="s">
        <v>2494</v>
      </c>
    </row>
    <row r="758" spans="1:7" customFormat="1" ht="14.25" hidden="1" customHeight="1">
      <c r="A758" s="401">
        <v>45974</v>
      </c>
      <c r="B758" s="251" t="s">
        <v>1391</v>
      </c>
      <c r="C758" s="911" t="s">
        <v>2570</v>
      </c>
      <c r="D758" s="251">
        <v>45981</v>
      </c>
      <c r="E758" s="254" t="s">
        <v>783</v>
      </c>
      <c r="F758" s="252">
        <v>45971</v>
      </c>
      <c r="G758" s="259" t="s">
        <v>2494</v>
      </c>
    </row>
    <row r="759" spans="1:7" customFormat="1" ht="14.25" hidden="1" customHeight="1">
      <c r="A759" s="401">
        <v>45978</v>
      </c>
      <c r="B759" s="251" t="s">
        <v>1391</v>
      </c>
      <c r="C759" s="911" t="s">
        <v>2571</v>
      </c>
      <c r="D759" s="251">
        <v>45965</v>
      </c>
      <c r="E759" s="254" t="s">
        <v>783</v>
      </c>
      <c r="F759" s="252">
        <v>45978</v>
      </c>
      <c r="G759" s="259"/>
    </row>
    <row r="760" spans="1:7" customFormat="1" ht="14.25" hidden="1" customHeight="1">
      <c r="A760" s="401">
        <v>45979</v>
      </c>
      <c r="B760" s="251" t="s">
        <v>830</v>
      </c>
      <c r="C760" s="911" t="s">
        <v>2572</v>
      </c>
      <c r="D760" s="251">
        <v>45981</v>
      </c>
      <c r="E760" s="254" t="s">
        <v>783</v>
      </c>
      <c r="F760" s="252">
        <v>45979</v>
      </c>
      <c r="G760" s="259" t="s">
        <v>2534</v>
      </c>
    </row>
    <row r="761" spans="1:7" customFormat="1" ht="14.25" hidden="1" customHeight="1">
      <c r="A761" s="402">
        <v>45980</v>
      </c>
      <c r="B761" s="270" t="s">
        <v>2460</v>
      </c>
      <c r="C761" s="913" t="s">
        <v>2573</v>
      </c>
      <c r="D761" s="270">
        <v>45987</v>
      </c>
      <c r="E761" s="271" t="s">
        <v>783</v>
      </c>
      <c r="F761" s="270">
        <v>45985</v>
      </c>
      <c r="G761" s="451" t="s">
        <v>2494</v>
      </c>
    </row>
    <row r="762" spans="1:7" customFormat="1" ht="14.25" hidden="1" customHeight="1">
      <c r="A762" s="401">
        <v>45980</v>
      </c>
      <c r="B762" s="251" t="s">
        <v>2460</v>
      </c>
      <c r="C762" s="911" t="s">
        <v>2574</v>
      </c>
      <c r="D762" s="251">
        <v>45987</v>
      </c>
      <c r="E762" s="254" t="s">
        <v>783</v>
      </c>
      <c r="F762" s="251">
        <v>45985</v>
      </c>
      <c r="G762" s="259" t="s">
        <v>2494</v>
      </c>
    </row>
    <row r="763" spans="1:7" customFormat="1" ht="14.25" hidden="1" customHeight="1">
      <c r="A763" s="400">
        <v>45980</v>
      </c>
      <c r="B763" s="272" t="s">
        <v>2460</v>
      </c>
      <c r="C763" s="914" t="s">
        <v>2575</v>
      </c>
      <c r="D763" s="272">
        <v>45987</v>
      </c>
      <c r="E763" s="273" t="s">
        <v>783</v>
      </c>
      <c r="F763" s="272">
        <v>45985</v>
      </c>
      <c r="G763" s="274" t="s">
        <v>2494</v>
      </c>
    </row>
    <row r="764" spans="1:7" customFormat="1" ht="14.25" hidden="1" customHeight="1">
      <c r="A764" s="401">
        <v>45980</v>
      </c>
      <c r="B764" s="251" t="s">
        <v>2460</v>
      </c>
      <c r="C764" s="911" t="s">
        <v>2576</v>
      </c>
      <c r="D764" s="251">
        <v>45987</v>
      </c>
      <c r="E764" s="254" t="s">
        <v>783</v>
      </c>
      <c r="F764" s="251">
        <v>45985</v>
      </c>
      <c r="G764" s="259" t="s">
        <v>2494</v>
      </c>
    </row>
    <row r="765" spans="1:7" customFormat="1" ht="14.25" hidden="1" customHeight="1">
      <c r="A765" s="401">
        <v>45980</v>
      </c>
      <c r="B765" s="251" t="s">
        <v>2460</v>
      </c>
      <c r="C765" s="911" t="s">
        <v>2577</v>
      </c>
      <c r="D765" s="251">
        <v>45987</v>
      </c>
      <c r="E765" s="254" t="s">
        <v>783</v>
      </c>
      <c r="F765" s="251">
        <v>45985</v>
      </c>
      <c r="G765" s="259" t="s">
        <v>2494</v>
      </c>
    </row>
    <row r="766" spans="1:7" customFormat="1" ht="14.25" hidden="1" customHeight="1">
      <c r="A766" s="401">
        <v>45980</v>
      </c>
      <c r="B766" s="251" t="s">
        <v>2460</v>
      </c>
      <c r="C766" s="911" t="s">
        <v>2578</v>
      </c>
      <c r="D766" s="251">
        <v>45987</v>
      </c>
      <c r="E766" s="254" t="s">
        <v>783</v>
      </c>
      <c r="F766" s="251">
        <v>45986</v>
      </c>
      <c r="G766" s="259" t="s">
        <v>2494</v>
      </c>
    </row>
    <row r="767" spans="1:7" customFormat="1" ht="14.25" hidden="1" customHeight="1">
      <c r="A767" s="402">
        <v>45980</v>
      </c>
      <c r="B767" s="270" t="s">
        <v>289</v>
      </c>
      <c r="C767" s="913" t="s">
        <v>2579</v>
      </c>
      <c r="D767" s="270">
        <v>45987</v>
      </c>
      <c r="E767" s="271" t="s">
        <v>783</v>
      </c>
      <c r="F767" s="270">
        <v>45981</v>
      </c>
      <c r="G767" s="451" t="s">
        <v>2499</v>
      </c>
    </row>
    <row r="768" spans="1:7" customFormat="1" ht="14.25" hidden="1" customHeight="1">
      <c r="A768" s="401">
        <v>45982</v>
      </c>
      <c r="B768" s="251" t="s">
        <v>435</v>
      </c>
      <c r="C768" s="19"/>
      <c r="D768" s="251">
        <v>45987</v>
      </c>
      <c r="E768" s="254" t="s">
        <v>783</v>
      </c>
      <c r="F768" s="251">
        <v>45985</v>
      </c>
      <c r="G768" s="259" t="s">
        <v>2494</v>
      </c>
    </row>
    <row r="769" spans="1:7" customFormat="1" ht="14.25" hidden="1" customHeight="1">
      <c r="A769" s="400">
        <v>45985</v>
      </c>
      <c r="B769" s="272" t="s">
        <v>254</v>
      </c>
      <c r="C769" s="420" t="s">
        <v>2580</v>
      </c>
      <c r="D769" s="272">
        <v>45988</v>
      </c>
      <c r="E769" s="273" t="s">
        <v>783</v>
      </c>
      <c r="F769" s="272">
        <v>45986</v>
      </c>
      <c r="G769" s="274" t="s">
        <v>2499</v>
      </c>
    </row>
    <row r="770" spans="1:7" customFormat="1" ht="14.25" hidden="1" customHeight="1">
      <c r="A770" s="401">
        <v>45985</v>
      </c>
      <c r="B770" s="251" t="s">
        <v>1343</v>
      </c>
      <c r="C770" s="911" t="s">
        <v>2581</v>
      </c>
      <c r="D770" s="251">
        <v>45987</v>
      </c>
      <c r="E770" s="254" t="s">
        <v>783</v>
      </c>
      <c r="F770" s="251">
        <v>45985</v>
      </c>
      <c r="G770" s="259" t="s">
        <v>2494</v>
      </c>
    </row>
    <row r="771" spans="1:7" customFormat="1" ht="14.25" hidden="1" customHeight="1">
      <c r="A771" s="401">
        <v>45986</v>
      </c>
      <c r="B771" s="251" t="s">
        <v>149</v>
      </c>
      <c r="C771" s="269" t="s">
        <v>2582</v>
      </c>
      <c r="D771" s="251">
        <v>45986</v>
      </c>
      <c r="E771" s="254" t="s">
        <v>783</v>
      </c>
      <c r="F771" s="251">
        <v>45986</v>
      </c>
      <c r="G771" s="259" t="s">
        <v>2494</v>
      </c>
    </row>
    <row r="772" spans="1:7" customFormat="1" ht="14.25" hidden="1" customHeight="1">
      <c r="A772" s="401">
        <v>45986</v>
      </c>
      <c r="B772" s="251" t="s">
        <v>267</v>
      </c>
      <c r="C772" s="269" t="s">
        <v>2583</v>
      </c>
      <c r="D772" s="251">
        <v>45989</v>
      </c>
      <c r="E772" s="254" t="s">
        <v>783</v>
      </c>
      <c r="F772" s="251">
        <v>45986</v>
      </c>
      <c r="G772" s="259" t="s">
        <v>2494</v>
      </c>
    </row>
    <row r="773" spans="1:7" customFormat="1" ht="14.25" hidden="1" customHeight="1">
      <c r="A773" s="401">
        <v>45987</v>
      </c>
      <c r="B773" s="251" t="s">
        <v>830</v>
      </c>
      <c r="C773" s="269" t="s">
        <v>2584</v>
      </c>
      <c r="D773" s="251">
        <v>45992</v>
      </c>
      <c r="E773" s="254" t="s">
        <v>783</v>
      </c>
      <c r="F773" s="251">
        <v>45987</v>
      </c>
      <c r="G773" s="259" t="s">
        <v>2585</v>
      </c>
    </row>
    <row r="774" spans="1:7" customFormat="1" ht="14.25" hidden="1" customHeight="1">
      <c r="A774" s="401">
        <v>45987</v>
      </c>
      <c r="B774" s="251" t="s">
        <v>1391</v>
      </c>
      <c r="C774" s="269" t="s">
        <v>2586</v>
      </c>
      <c r="D774" s="251">
        <v>45986</v>
      </c>
      <c r="E774" s="254" t="s">
        <v>783</v>
      </c>
      <c r="F774" s="251">
        <v>45992</v>
      </c>
      <c r="G774" s="463" t="s">
        <v>2587</v>
      </c>
    </row>
    <row r="775" spans="1:7" customFormat="1" ht="14.25" hidden="1" customHeight="1">
      <c r="A775" s="401">
        <v>45987</v>
      </c>
      <c r="B775" s="251" t="s">
        <v>289</v>
      </c>
      <c r="C775" s="269" t="s">
        <v>2588</v>
      </c>
      <c r="D775" s="251">
        <v>45994</v>
      </c>
      <c r="E775" s="254" t="s">
        <v>783</v>
      </c>
      <c r="F775" s="251">
        <v>45993</v>
      </c>
      <c r="G775" s="259" t="s">
        <v>2499</v>
      </c>
    </row>
    <row r="776" spans="1:7" customFormat="1" ht="14.25" hidden="1" customHeight="1">
      <c r="A776" s="401">
        <v>45987</v>
      </c>
      <c r="B776" s="251" t="s">
        <v>289</v>
      </c>
      <c r="C776" s="269" t="s">
        <v>2589</v>
      </c>
      <c r="D776" s="251">
        <v>45994</v>
      </c>
      <c r="E776" s="254" t="s">
        <v>783</v>
      </c>
      <c r="F776" s="251">
        <v>45993</v>
      </c>
      <c r="G776" s="259" t="s">
        <v>2499</v>
      </c>
    </row>
    <row r="777" spans="1:7" customFormat="1" ht="14.25" hidden="1" customHeight="1">
      <c r="A777" s="401">
        <v>45987</v>
      </c>
      <c r="B777" s="251" t="s">
        <v>289</v>
      </c>
      <c r="C777" s="269" t="s">
        <v>2590</v>
      </c>
      <c r="D777" s="251">
        <v>45994</v>
      </c>
      <c r="E777" s="254" t="s">
        <v>783</v>
      </c>
      <c r="F777" s="251">
        <v>45993</v>
      </c>
      <c r="G777" s="259" t="s">
        <v>2499</v>
      </c>
    </row>
    <row r="778" spans="1:7" customFormat="1" ht="14.25" hidden="1" customHeight="1">
      <c r="A778" s="401">
        <v>45987</v>
      </c>
      <c r="B778" s="251" t="s">
        <v>289</v>
      </c>
      <c r="C778" s="269" t="s">
        <v>2591</v>
      </c>
      <c r="D778" s="251">
        <v>45994</v>
      </c>
      <c r="E778" s="254" t="s">
        <v>783</v>
      </c>
      <c r="F778" s="251">
        <v>45993</v>
      </c>
      <c r="G778" s="259" t="s">
        <v>2499</v>
      </c>
    </row>
    <row r="779" spans="1:7" customFormat="1" ht="14.25" hidden="1" customHeight="1">
      <c r="A779" s="401">
        <v>45987</v>
      </c>
      <c r="B779" s="251" t="s">
        <v>320</v>
      </c>
      <c r="C779" s="269" t="s">
        <v>2592</v>
      </c>
      <c r="D779" s="251">
        <v>45992</v>
      </c>
      <c r="E779" s="254" t="s">
        <v>783</v>
      </c>
      <c r="F779" s="251">
        <v>45987</v>
      </c>
      <c r="G779" s="259" t="s">
        <v>2494</v>
      </c>
    </row>
    <row r="780" spans="1:7" customFormat="1" ht="14.25" hidden="1" customHeight="1">
      <c r="A780" s="401">
        <v>45992</v>
      </c>
      <c r="B780" s="251" t="s">
        <v>267</v>
      </c>
      <c r="C780" s="269" t="s">
        <v>2593</v>
      </c>
      <c r="D780" s="251">
        <v>45994</v>
      </c>
      <c r="E780" s="254" t="s">
        <v>783</v>
      </c>
      <c r="F780" s="251">
        <v>45993</v>
      </c>
      <c r="G780" s="462" t="s">
        <v>2494</v>
      </c>
    </row>
    <row r="781" spans="1:7" customFormat="1" ht="14.25" hidden="1" customHeight="1">
      <c r="A781" s="401">
        <v>45992</v>
      </c>
      <c r="B781" s="251" t="s">
        <v>320</v>
      </c>
      <c r="C781" s="269" t="s">
        <v>2594</v>
      </c>
      <c r="D781" s="251">
        <v>45992</v>
      </c>
      <c r="E781" s="254" t="s">
        <v>783</v>
      </c>
      <c r="F781" s="251">
        <v>45987</v>
      </c>
      <c r="G781" s="259" t="s">
        <v>2494</v>
      </c>
    </row>
    <row r="782" spans="1:7" customFormat="1" ht="14.25" hidden="1" customHeight="1">
      <c r="A782" s="401">
        <v>45992</v>
      </c>
      <c r="B782" s="251" t="s">
        <v>320</v>
      </c>
      <c r="C782" s="269" t="s">
        <v>2595</v>
      </c>
      <c r="D782" s="251">
        <v>45994</v>
      </c>
      <c r="E782" s="254" t="s">
        <v>783</v>
      </c>
      <c r="F782" s="251">
        <v>45993</v>
      </c>
      <c r="G782" s="259" t="s">
        <v>2499</v>
      </c>
    </row>
    <row r="783" spans="1:7" customFormat="1" ht="14.25" hidden="1" customHeight="1">
      <c r="A783" s="401">
        <v>45993</v>
      </c>
      <c r="B783" s="251" t="s">
        <v>309</v>
      </c>
      <c r="C783" s="269" t="s">
        <v>2596</v>
      </c>
      <c r="D783" s="251">
        <v>45994</v>
      </c>
      <c r="E783" s="254" t="s">
        <v>783</v>
      </c>
      <c r="F783" s="251">
        <v>45993</v>
      </c>
      <c r="G783" s="259" t="s">
        <v>2494</v>
      </c>
    </row>
    <row r="784" spans="1:7" customFormat="1" ht="14.25" hidden="1" customHeight="1">
      <c r="A784" s="401">
        <v>45993</v>
      </c>
      <c r="B784" s="251" t="s">
        <v>320</v>
      </c>
      <c r="C784" s="269" t="s">
        <v>2597</v>
      </c>
      <c r="D784" s="251">
        <v>45995</v>
      </c>
      <c r="E784" s="254" t="s">
        <v>783</v>
      </c>
      <c r="F784" s="251">
        <v>45993</v>
      </c>
      <c r="G784" s="259" t="s">
        <v>2494</v>
      </c>
    </row>
    <row r="785" spans="1:7" customFormat="1" ht="14.25" hidden="1" customHeight="1">
      <c r="A785" s="401">
        <v>45993</v>
      </c>
      <c r="B785" s="251" t="s">
        <v>320</v>
      </c>
      <c r="C785" s="269" t="s">
        <v>2598</v>
      </c>
      <c r="D785" s="251">
        <v>45996</v>
      </c>
      <c r="E785" s="254" t="s">
        <v>783</v>
      </c>
      <c r="F785" s="251">
        <v>45993</v>
      </c>
      <c r="G785" s="259" t="s">
        <v>2494</v>
      </c>
    </row>
    <row r="786" spans="1:7" customFormat="1" ht="14.25" hidden="1" customHeight="1">
      <c r="A786" s="402">
        <v>45993</v>
      </c>
      <c r="B786" s="270" t="s">
        <v>379</v>
      </c>
      <c r="C786" s="417" t="s">
        <v>2599</v>
      </c>
      <c r="D786" s="270">
        <v>45995</v>
      </c>
      <c r="E786" s="254" t="s">
        <v>783</v>
      </c>
      <c r="F786" s="270">
        <v>45994</v>
      </c>
      <c r="G786" s="451" t="s">
        <v>2499</v>
      </c>
    </row>
    <row r="787" spans="1:7" customFormat="1" ht="14.25" hidden="1" customHeight="1">
      <c r="A787" s="401">
        <v>45993</v>
      </c>
      <c r="B787" s="251" t="s">
        <v>379</v>
      </c>
      <c r="C787" s="269" t="s">
        <v>2600</v>
      </c>
      <c r="D787" s="251">
        <v>45995</v>
      </c>
      <c r="E787" s="254" t="s">
        <v>783</v>
      </c>
      <c r="F787" s="251">
        <v>45994</v>
      </c>
      <c r="G787" s="451" t="s">
        <v>2499</v>
      </c>
    </row>
    <row r="788" spans="1:7" customFormat="1" ht="14.25" hidden="1" customHeight="1">
      <c r="A788" s="400">
        <v>45993</v>
      </c>
      <c r="B788" s="272" t="s">
        <v>379</v>
      </c>
      <c r="C788" s="302" t="s">
        <v>2601</v>
      </c>
      <c r="D788" s="272">
        <v>45995</v>
      </c>
      <c r="E788" s="273" t="s">
        <v>783</v>
      </c>
      <c r="F788" s="272">
        <v>45994</v>
      </c>
      <c r="G788" s="274" t="s">
        <v>2499</v>
      </c>
    </row>
    <row r="789" spans="1:7" customFormat="1" ht="14.25" hidden="1" customHeight="1">
      <c r="A789" s="401">
        <v>45993</v>
      </c>
      <c r="B789" s="251" t="s">
        <v>379</v>
      </c>
      <c r="C789" s="269" t="s">
        <v>2602</v>
      </c>
      <c r="D789" s="251">
        <v>45995</v>
      </c>
      <c r="E789" s="254" t="s">
        <v>783</v>
      </c>
      <c r="F789" s="251">
        <v>45993</v>
      </c>
      <c r="G789" s="259" t="s">
        <v>2603</v>
      </c>
    </row>
    <row r="790" spans="1:7" customFormat="1" ht="14.25" hidden="1" customHeight="1">
      <c r="A790" s="401">
        <v>45993</v>
      </c>
      <c r="B790" s="251" t="s">
        <v>1665</v>
      </c>
      <c r="C790" s="277" t="s">
        <v>2604</v>
      </c>
      <c r="D790" s="251">
        <v>46000</v>
      </c>
      <c r="E790" s="254" t="s">
        <v>783</v>
      </c>
      <c r="F790" s="251">
        <v>45999</v>
      </c>
      <c r="G790" s="259" t="s">
        <v>2548</v>
      </c>
    </row>
    <row r="791" spans="1:7" customFormat="1" ht="14.25" hidden="1" customHeight="1">
      <c r="A791" s="401">
        <v>45993</v>
      </c>
      <c r="B791" s="251" t="s">
        <v>1665</v>
      </c>
      <c r="C791" s="277" t="s">
        <v>2605</v>
      </c>
      <c r="D791" s="251">
        <v>46000</v>
      </c>
      <c r="E791" s="254" t="s">
        <v>783</v>
      </c>
      <c r="F791" s="251">
        <v>45999</v>
      </c>
      <c r="G791" s="259" t="s">
        <v>2548</v>
      </c>
    </row>
    <row r="792" spans="1:7" customFormat="1" ht="14.25" hidden="1" customHeight="1">
      <c r="A792" s="401">
        <v>45993</v>
      </c>
      <c r="B792" s="251" t="s">
        <v>435</v>
      </c>
      <c r="C792" s="269" t="s">
        <v>2606</v>
      </c>
      <c r="D792" s="251">
        <v>45993</v>
      </c>
      <c r="E792" s="254" t="s">
        <v>783</v>
      </c>
      <c r="F792" s="251">
        <v>45993</v>
      </c>
      <c r="G792" s="259" t="s">
        <v>2494</v>
      </c>
    </row>
    <row r="793" spans="1:7" customFormat="1" ht="14.25" hidden="1" customHeight="1">
      <c r="A793" s="401">
        <v>45993</v>
      </c>
      <c r="B793" s="251" t="s">
        <v>447</v>
      </c>
      <c r="C793" s="269" t="s">
        <v>2607</v>
      </c>
      <c r="D793" s="251">
        <v>45994</v>
      </c>
      <c r="E793" s="254" t="s">
        <v>783</v>
      </c>
      <c r="F793" s="251">
        <v>45993</v>
      </c>
      <c r="G793" s="279" t="s">
        <v>2608</v>
      </c>
    </row>
    <row r="794" spans="1:7" customFormat="1" ht="14.25" hidden="1" customHeight="1">
      <c r="A794" s="402">
        <v>45994</v>
      </c>
      <c r="B794" s="408" t="s">
        <v>992</v>
      </c>
      <c r="C794" s="418" t="s">
        <v>2609</v>
      </c>
      <c r="D794" s="408" t="s">
        <v>672</v>
      </c>
      <c r="E794" s="436" t="s">
        <v>783</v>
      </c>
      <c r="F794" s="408">
        <v>45999</v>
      </c>
      <c r="G794" s="452" t="s">
        <v>2610</v>
      </c>
    </row>
    <row r="795" spans="1:7" customFormat="1" ht="14.25" hidden="1" customHeight="1">
      <c r="A795" s="401">
        <v>45994</v>
      </c>
      <c r="B795" s="204" t="s">
        <v>417</v>
      </c>
      <c r="C795" s="278" t="s">
        <v>2566</v>
      </c>
      <c r="D795" s="204" t="s">
        <v>672</v>
      </c>
      <c r="E795" s="203" t="s">
        <v>783</v>
      </c>
      <c r="F795" s="204"/>
      <c r="G795" s="280" t="s">
        <v>2499</v>
      </c>
    </row>
    <row r="796" spans="1:7" customFormat="1" ht="14.25" hidden="1" customHeight="1">
      <c r="A796" s="401">
        <v>46000</v>
      </c>
      <c r="B796" s="251" t="s">
        <v>289</v>
      </c>
      <c r="C796" s="303" t="s">
        <v>2611</v>
      </c>
      <c r="D796" s="251">
        <v>46006</v>
      </c>
      <c r="E796" s="254" t="s">
        <v>783</v>
      </c>
      <c r="F796" s="251">
        <v>46002</v>
      </c>
      <c r="G796" s="451" t="s">
        <v>2612</v>
      </c>
    </row>
    <row r="797" spans="1:7" customFormat="1" ht="14.25" hidden="1" customHeight="1">
      <c r="A797" s="401">
        <v>46000</v>
      </c>
      <c r="B797" s="251" t="s">
        <v>289</v>
      </c>
      <c r="C797" s="303" t="s">
        <v>2613</v>
      </c>
      <c r="D797" s="251">
        <v>46006</v>
      </c>
      <c r="E797" s="254" t="s">
        <v>783</v>
      </c>
      <c r="F797" s="251">
        <v>46002</v>
      </c>
      <c r="G797" s="259" t="s">
        <v>2612</v>
      </c>
    </row>
    <row r="798" spans="1:7" customFormat="1" ht="14.25" hidden="1" customHeight="1">
      <c r="A798" s="401">
        <v>46000</v>
      </c>
      <c r="B798" s="251" t="s">
        <v>289</v>
      </c>
      <c r="C798" s="303" t="s">
        <v>2614</v>
      </c>
      <c r="D798" s="251">
        <v>46006</v>
      </c>
      <c r="E798" s="254" t="s">
        <v>783</v>
      </c>
      <c r="F798" s="251">
        <v>46002</v>
      </c>
      <c r="G798" s="259" t="s">
        <v>2612</v>
      </c>
    </row>
    <row r="799" spans="1:7" customFormat="1" ht="14.25" hidden="1" customHeight="1">
      <c r="A799" s="401">
        <v>46002</v>
      </c>
      <c r="B799" s="251" t="s">
        <v>379</v>
      </c>
      <c r="C799" s="303" t="s">
        <v>2615</v>
      </c>
      <c r="D799" s="251">
        <v>46003</v>
      </c>
      <c r="E799" s="254" t="s">
        <v>783</v>
      </c>
      <c r="F799" s="251">
        <v>46002</v>
      </c>
      <c r="G799" s="259" t="s">
        <v>2548</v>
      </c>
    </row>
    <row r="800" spans="1:7" customFormat="1" ht="14.25" hidden="1" customHeight="1">
      <c r="A800" s="401">
        <v>46003</v>
      </c>
      <c r="B800" s="251" t="s">
        <v>435</v>
      </c>
      <c r="C800" s="269" t="s">
        <v>2616</v>
      </c>
      <c r="D800" s="251">
        <v>46007</v>
      </c>
      <c r="E800" s="254" t="s">
        <v>783</v>
      </c>
      <c r="F800" s="251">
        <v>46003</v>
      </c>
      <c r="G800" s="451" t="s">
        <v>2548</v>
      </c>
    </row>
    <row r="801" spans="1:7" customFormat="1" ht="14.25" hidden="1" customHeight="1">
      <c r="A801" s="401">
        <v>46003</v>
      </c>
      <c r="B801" s="251" t="s">
        <v>435</v>
      </c>
      <c r="C801" s="269" t="s">
        <v>2617</v>
      </c>
      <c r="D801" s="251">
        <v>46007</v>
      </c>
      <c r="E801" s="254" t="s">
        <v>783</v>
      </c>
      <c r="F801" s="251">
        <v>46003</v>
      </c>
      <c r="G801" s="451" t="s">
        <v>2548</v>
      </c>
    </row>
    <row r="802" spans="1:7" customFormat="1" ht="14.25" hidden="1" customHeight="1">
      <c r="A802" s="401">
        <v>46003</v>
      </c>
      <c r="B802" s="251" t="s">
        <v>447</v>
      </c>
      <c r="C802" s="269" t="s">
        <v>2618</v>
      </c>
      <c r="D802" s="251">
        <v>46003</v>
      </c>
      <c r="E802" s="254" t="s">
        <v>783</v>
      </c>
      <c r="F802" s="251">
        <v>46003</v>
      </c>
      <c r="G802" s="279" t="s">
        <v>2548</v>
      </c>
    </row>
    <row r="803" spans="1:7" customFormat="1" ht="14.25" hidden="1" customHeight="1">
      <c r="A803" s="401">
        <v>46006</v>
      </c>
      <c r="B803" s="251" t="s">
        <v>289</v>
      </c>
      <c r="C803" s="277" t="s">
        <v>2619</v>
      </c>
      <c r="D803" s="251">
        <v>46013</v>
      </c>
      <c r="E803" s="254" t="s">
        <v>783</v>
      </c>
      <c r="F803" s="251">
        <v>46012</v>
      </c>
      <c r="G803" s="279" t="s">
        <v>2494</v>
      </c>
    </row>
    <row r="804" spans="1:7" customFormat="1" ht="14.25" hidden="1" customHeight="1">
      <c r="A804" s="401">
        <v>46006</v>
      </c>
      <c r="B804" s="251" t="s">
        <v>1665</v>
      </c>
      <c r="C804" s="277" t="s">
        <v>2620</v>
      </c>
      <c r="D804" s="251">
        <v>46013</v>
      </c>
      <c r="E804" s="254" t="s">
        <v>783</v>
      </c>
      <c r="F804" s="251">
        <v>46012</v>
      </c>
      <c r="G804" s="279" t="s">
        <v>2494</v>
      </c>
    </row>
    <row r="805" spans="1:7" customFormat="1" ht="14.25" hidden="1" customHeight="1">
      <c r="A805" s="401">
        <v>46006</v>
      </c>
      <c r="B805" s="251" t="s">
        <v>1665</v>
      </c>
      <c r="C805" s="277" t="s">
        <v>2621</v>
      </c>
      <c r="D805" s="251">
        <v>46013</v>
      </c>
      <c r="E805" s="254" t="s">
        <v>783</v>
      </c>
      <c r="F805" s="251">
        <v>46013</v>
      </c>
      <c r="G805" s="279" t="s">
        <v>2494</v>
      </c>
    </row>
    <row r="806" spans="1:7" customFormat="1" ht="14.25" hidden="1" customHeight="1">
      <c r="A806" s="401">
        <v>46008</v>
      </c>
      <c r="B806" s="251" t="s">
        <v>149</v>
      </c>
      <c r="C806" s="277" t="s">
        <v>2622</v>
      </c>
      <c r="D806" s="251">
        <v>46010</v>
      </c>
      <c r="E806" s="254" t="s">
        <v>783</v>
      </c>
      <c r="F806" s="251">
        <v>46008</v>
      </c>
      <c r="G806" s="279" t="s">
        <v>2494</v>
      </c>
    </row>
    <row r="807" spans="1:7" customFormat="1" ht="14.25" hidden="1" customHeight="1">
      <c r="A807" s="401">
        <v>46008</v>
      </c>
      <c r="B807" s="251" t="s">
        <v>2313</v>
      </c>
      <c r="C807" s="277" t="s">
        <v>2623</v>
      </c>
      <c r="D807" s="251">
        <v>46008</v>
      </c>
      <c r="E807" s="254" t="s">
        <v>783</v>
      </c>
      <c r="F807" s="251">
        <v>46008</v>
      </c>
      <c r="G807" s="279" t="s">
        <v>2494</v>
      </c>
    </row>
    <row r="808" spans="1:7" customFormat="1" ht="14.25" hidden="1" customHeight="1">
      <c r="A808" s="401">
        <v>46009</v>
      </c>
      <c r="B808" s="251" t="s">
        <v>289</v>
      </c>
      <c r="C808" s="277" t="s">
        <v>2624</v>
      </c>
      <c r="D808" s="251">
        <v>46016</v>
      </c>
      <c r="E808" s="254" t="s">
        <v>783</v>
      </c>
      <c r="F808" s="251">
        <v>46012</v>
      </c>
      <c r="G808" s="279" t="s">
        <v>2494</v>
      </c>
    </row>
    <row r="809" spans="1:7" customFormat="1" ht="14.25" hidden="1" customHeight="1">
      <c r="A809" s="401">
        <v>46009</v>
      </c>
      <c r="B809" s="251" t="s">
        <v>1343</v>
      </c>
      <c r="C809" s="277" t="s">
        <v>2625</v>
      </c>
      <c r="D809" s="251">
        <v>45663</v>
      </c>
      <c r="E809" s="254" t="s">
        <v>783</v>
      </c>
      <c r="F809" s="251">
        <v>46012</v>
      </c>
      <c r="G809" s="279" t="s">
        <v>2494</v>
      </c>
    </row>
    <row r="810" spans="1:7" customFormat="1" ht="14.25" hidden="1" customHeight="1">
      <c r="A810" s="401">
        <v>46010</v>
      </c>
      <c r="B810" s="251" t="s">
        <v>2626</v>
      </c>
      <c r="C810" s="277" t="s">
        <v>2627</v>
      </c>
      <c r="D810" s="251">
        <v>46013</v>
      </c>
      <c r="E810" s="254" t="s">
        <v>783</v>
      </c>
      <c r="F810" s="251">
        <v>46013</v>
      </c>
      <c r="G810" s="279" t="s">
        <v>2494</v>
      </c>
    </row>
    <row r="811" spans="1:7" customFormat="1" ht="14.25" hidden="1" customHeight="1">
      <c r="A811" s="401">
        <v>46013</v>
      </c>
      <c r="B811" s="251" t="s">
        <v>1343</v>
      </c>
      <c r="C811" s="277" t="s">
        <v>2628</v>
      </c>
      <c r="D811" s="251">
        <v>46013</v>
      </c>
      <c r="E811" s="254" t="s">
        <v>783</v>
      </c>
      <c r="F811" s="251">
        <v>46021</v>
      </c>
      <c r="G811" s="279" t="s">
        <v>2494</v>
      </c>
    </row>
    <row r="812" spans="1:7" customFormat="1" ht="14.25" hidden="1" customHeight="1">
      <c r="A812" s="401">
        <v>46013</v>
      </c>
      <c r="B812" s="251" t="s">
        <v>417</v>
      </c>
      <c r="C812" s="277" t="s">
        <v>2629</v>
      </c>
      <c r="D812" s="251">
        <v>46014</v>
      </c>
      <c r="E812" s="254" t="s">
        <v>783</v>
      </c>
      <c r="F812" s="251">
        <v>46021</v>
      </c>
      <c r="G812" s="279" t="s">
        <v>2494</v>
      </c>
    </row>
    <row r="813" spans="1:7" customFormat="1" ht="14.25" hidden="1" customHeight="1">
      <c r="A813" s="401">
        <v>46017</v>
      </c>
      <c r="B813" s="251" t="s">
        <v>1391</v>
      </c>
      <c r="C813" s="277" t="s">
        <v>2630</v>
      </c>
      <c r="D813" s="251">
        <v>46017</v>
      </c>
      <c r="E813" s="254" t="s">
        <v>1675</v>
      </c>
      <c r="F813" s="251">
        <v>46020</v>
      </c>
      <c r="G813" s="279" t="s">
        <v>2631</v>
      </c>
    </row>
    <row r="814" spans="1:7" customFormat="1" ht="14.25" hidden="1" customHeight="1">
      <c r="A814" s="401">
        <v>46020</v>
      </c>
      <c r="B814" s="251" t="s">
        <v>2632</v>
      </c>
      <c r="C814" s="277" t="s">
        <v>2633</v>
      </c>
      <c r="D814" s="251">
        <v>46024</v>
      </c>
      <c r="E814" s="254" t="s">
        <v>783</v>
      </c>
      <c r="F814" s="251">
        <v>46027</v>
      </c>
      <c r="G814" s="279" t="s">
        <v>2634</v>
      </c>
    </row>
    <row r="815" spans="1:7" customFormat="1" ht="14.25" hidden="1" customHeight="1">
      <c r="A815" s="401">
        <v>46020</v>
      </c>
      <c r="B815" s="251" t="s">
        <v>320</v>
      </c>
      <c r="C815" s="277" t="s">
        <v>2635</v>
      </c>
      <c r="D815" s="251">
        <v>46022</v>
      </c>
      <c r="E815" s="254" t="s">
        <v>783</v>
      </c>
      <c r="F815" s="251">
        <v>46387</v>
      </c>
      <c r="G815" s="279" t="s">
        <v>2499</v>
      </c>
    </row>
    <row r="816" spans="1:7" customFormat="1" ht="14.25" hidden="1" customHeight="1">
      <c r="A816" s="401">
        <v>46021</v>
      </c>
      <c r="B816" s="251" t="s">
        <v>343</v>
      </c>
      <c r="C816" s="277" t="s">
        <v>2636</v>
      </c>
      <c r="D816" s="251">
        <v>46021</v>
      </c>
      <c r="E816" s="254" t="s">
        <v>783</v>
      </c>
      <c r="F816" s="251">
        <v>46021</v>
      </c>
      <c r="G816" s="279" t="s">
        <v>2637</v>
      </c>
    </row>
    <row r="817" spans="1:7" customFormat="1" ht="14.25" hidden="1" customHeight="1">
      <c r="A817" s="401">
        <v>46027</v>
      </c>
      <c r="B817" s="251" t="s">
        <v>2313</v>
      </c>
      <c r="C817" s="277" t="s">
        <v>2638</v>
      </c>
      <c r="D817" s="251">
        <v>46028</v>
      </c>
      <c r="E817" s="254" t="s">
        <v>783</v>
      </c>
      <c r="F817" s="251">
        <v>46028</v>
      </c>
      <c r="G817" s="279" t="s">
        <v>2639</v>
      </c>
    </row>
    <row r="818" spans="1:7" customFormat="1" ht="14.25" hidden="1" customHeight="1">
      <c r="A818" s="401">
        <v>46042</v>
      </c>
      <c r="B818" s="204" t="s">
        <v>229</v>
      </c>
      <c r="C818" s="278" t="s">
        <v>2640</v>
      </c>
      <c r="D818" s="204">
        <v>46027</v>
      </c>
      <c r="E818" s="203" t="s">
        <v>783</v>
      </c>
      <c r="F818" s="204">
        <v>46027</v>
      </c>
      <c r="G818" s="280" t="s">
        <v>2499</v>
      </c>
    </row>
    <row r="819" spans="1:7" customFormat="1" ht="14.25" hidden="1" customHeight="1">
      <c r="A819" s="401">
        <v>46052</v>
      </c>
      <c r="B819" s="204" t="s">
        <v>254</v>
      </c>
      <c r="C819" s="278" t="s">
        <v>2641</v>
      </c>
      <c r="D819" s="204">
        <v>46058</v>
      </c>
      <c r="E819" s="203" t="s">
        <v>783</v>
      </c>
      <c r="F819" s="204">
        <v>46055</v>
      </c>
      <c r="G819" s="280" t="s">
        <v>2499</v>
      </c>
    </row>
    <row r="820" spans="1:7" customFormat="1" ht="14.25" hidden="1" customHeight="1">
      <c r="A820" s="401">
        <v>46052</v>
      </c>
      <c r="B820" s="204" t="s">
        <v>254</v>
      </c>
      <c r="C820" s="278" t="s">
        <v>2642</v>
      </c>
      <c r="D820" s="204">
        <v>46058</v>
      </c>
      <c r="E820" s="203" t="s">
        <v>783</v>
      </c>
      <c r="F820" s="204">
        <v>46055</v>
      </c>
      <c r="G820" s="280" t="s">
        <v>2499</v>
      </c>
    </row>
    <row r="821" spans="1:7" customFormat="1" ht="14.25" hidden="1" customHeight="1">
      <c r="A821" s="401">
        <v>46051</v>
      </c>
      <c r="B821" s="204" t="s">
        <v>267</v>
      </c>
      <c r="C821" s="278" t="s">
        <v>2643</v>
      </c>
      <c r="D821" s="204">
        <v>46058</v>
      </c>
      <c r="E821" s="203" t="s">
        <v>783</v>
      </c>
      <c r="F821" s="204">
        <v>46054</v>
      </c>
      <c r="G821" s="280" t="s">
        <v>2499</v>
      </c>
    </row>
    <row r="822" spans="1:7" customFormat="1" ht="14.25" hidden="1" customHeight="1">
      <c r="A822" s="401">
        <v>46028</v>
      </c>
      <c r="B822" s="204" t="s">
        <v>289</v>
      </c>
      <c r="C822" s="278" t="s">
        <v>2644</v>
      </c>
      <c r="D822" s="204">
        <v>46035</v>
      </c>
      <c r="E822" s="203" t="s">
        <v>783</v>
      </c>
      <c r="F822" s="204">
        <v>46034</v>
      </c>
      <c r="G822" s="280" t="s">
        <v>2499</v>
      </c>
    </row>
    <row r="823" spans="1:7" customFormat="1" ht="14.25" hidden="1" customHeight="1">
      <c r="A823" s="401">
        <v>46045</v>
      </c>
      <c r="B823" s="204" t="s">
        <v>2645</v>
      </c>
      <c r="C823" s="278" t="s">
        <v>2646</v>
      </c>
      <c r="D823" s="204">
        <v>46049</v>
      </c>
      <c r="E823" s="203" t="s">
        <v>783</v>
      </c>
      <c r="F823" s="204">
        <v>46049</v>
      </c>
      <c r="G823" s="280" t="s">
        <v>2499</v>
      </c>
    </row>
    <row r="824" spans="1:7" customFormat="1" ht="14.25" hidden="1" customHeight="1">
      <c r="A824" s="401">
        <v>46048</v>
      </c>
      <c r="B824" s="204" t="s">
        <v>330</v>
      </c>
      <c r="C824" s="278" t="s">
        <v>2647</v>
      </c>
      <c r="D824" s="204">
        <v>46055</v>
      </c>
      <c r="E824" s="203" t="s">
        <v>783</v>
      </c>
      <c r="F824" s="225">
        <v>46051</v>
      </c>
      <c r="G824" s="395" t="s">
        <v>2499</v>
      </c>
    </row>
    <row r="825" spans="1:7" customFormat="1" ht="14.25" hidden="1" customHeight="1">
      <c r="A825" s="401">
        <v>46036</v>
      </c>
      <c r="B825" s="204" t="s">
        <v>363</v>
      </c>
      <c r="C825" s="278" t="s">
        <v>2648</v>
      </c>
      <c r="D825" s="204">
        <v>46043</v>
      </c>
      <c r="E825" s="203" t="s">
        <v>783</v>
      </c>
      <c r="F825" s="204">
        <v>46041</v>
      </c>
      <c r="G825" s="280" t="s">
        <v>2649</v>
      </c>
    </row>
    <row r="826" spans="1:7" customFormat="1" ht="14.25" hidden="1" customHeight="1">
      <c r="A826" s="401">
        <v>46037</v>
      </c>
      <c r="B826" s="204" t="s">
        <v>447</v>
      </c>
      <c r="C826" s="278" t="s">
        <v>2650</v>
      </c>
      <c r="D826" s="204">
        <v>46037</v>
      </c>
      <c r="E826" s="203" t="s">
        <v>783</v>
      </c>
      <c r="F826" s="204">
        <v>46037</v>
      </c>
      <c r="G826" s="280" t="s">
        <v>2651</v>
      </c>
    </row>
    <row r="827" spans="1:7" customFormat="1" ht="14.25" hidden="1" customHeight="1">
      <c r="A827" s="401">
        <v>46052</v>
      </c>
      <c r="B827" s="204" t="s">
        <v>96</v>
      </c>
      <c r="C827" s="278" t="s">
        <v>2652</v>
      </c>
      <c r="D827" s="204">
        <v>46056</v>
      </c>
      <c r="E827" s="203" t="s">
        <v>783</v>
      </c>
      <c r="F827" s="204">
        <v>46054</v>
      </c>
      <c r="G827" s="280" t="s">
        <v>2494</v>
      </c>
    </row>
    <row r="828" spans="1:7" customFormat="1" ht="14.25" hidden="1" customHeight="1">
      <c r="A828" s="381">
        <v>46028</v>
      </c>
      <c r="B828" s="226" t="s">
        <v>830</v>
      </c>
      <c r="C828" s="121" t="s">
        <v>2572</v>
      </c>
      <c r="D828" s="119">
        <v>46029</v>
      </c>
      <c r="E828" s="118" t="s">
        <v>783</v>
      </c>
      <c r="F828" s="391">
        <v>46029</v>
      </c>
      <c r="G828" s="153" t="s">
        <v>2494</v>
      </c>
    </row>
    <row r="829" spans="1:7" customFormat="1" ht="14.25" hidden="1" customHeight="1">
      <c r="A829" s="401">
        <v>46034</v>
      </c>
      <c r="B829" s="204" t="s">
        <v>121</v>
      </c>
      <c r="C829" s="278" t="s">
        <v>2653</v>
      </c>
      <c r="D829" s="204">
        <v>46035</v>
      </c>
      <c r="E829" s="203" t="s">
        <v>783</v>
      </c>
      <c r="F829" s="204">
        <v>46034</v>
      </c>
      <c r="G829" s="280" t="s">
        <v>2494</v>
      </c>
    </row>
    <row r="830" spans="1:7" customFormat="1" ht="14.25" hidden="1" customHeight="1">
      <c r="A830" s="401">
        <v>46045</v>
      </c>
      <c r="B830" s="204" t="s">
        <v>121</v>
      </c>
      <c r="C830" s="278" t="s">
        <v>2654</v>
      </c>
      <c r="D830" s="204">
        <v>46047</v>
      </c>
      <c r="E830" s="203" t="s">
        <v>783</v>
      </c>
      <c r="F830" s="204">
        <v>46045</v>
      </c>
      <c r="G830" s="280" t="s">
        <v>2494</v>
      </c>
    </row>
    <row r="831" spans="1:7" customFormat="1" ht="14.25" hidden="1" customHeight="1">
      <c r="A831" s="401">
        <v>46042</v>
      </c>
      <c r="B831" s="204" t="s">
        <v>267</v>
      </c>
      <c r="C831" s="278" t="s">
        <v>2655</v>
      </c>
      <c r="D831" s="204">
        <v>46044</v>
      </c>
      <c r="E831" s="203" t="s">
        <v>783</v>
      </c>
      <c r="F831" s="204">
        <v>46044</v>
      </c>
      <c r="G831" s="280" t="s">
        <v>2494</v>
      </c>
    </row>
    <row r="832" spans="1:7" customFormat="1" ht="14.25" hidden="1" customHeight="1">
      <c r="A832" s="401">
        <v>46048</v>
      </c>
      <c r="B832" s="204" t="s">
        <v>267</v>
      </c>
      <c r="C832" s="278" t="s">
        <v>2656</v>
      </c>
      <c r="D832" s="204">
        <v>46055</v>
      </c>
      <c r="E832" s="203" t="s">
        <v>783</v>
      </c>
      <c r="F832" s="204">
        <v>46049</v>
      </c>
      <c r="G832" s="280" t="s">
        <v>2494</v>
      </c>
    </row>
    <row r="833" spans="1:7" customFormat="1" ht="14.25" hidden="1" customHeight="1">
      <c r="A833" s="401">
        <v>46037</v>
      </c>
      <c r="B833" s="204" t="s">
        <v>364</v>
      </c>
      <c r="C833" s="278" t="s">
        <v>2657</v>
      </c>
      <c r="D833" s="204">
        <v>46038</v>
      </c>
      <c r="E833" s="203" t="s">
        <v>783</v>
      </c>
      <c r="F833" s="204">
        <v>46041</v>
      </c>
      <c r="G833" s="280" t="s">
        <v>2494</v>
      </c>
    </row>
    <row r="834" spans="1:7" customFormat="1" ht="14.25" hidden="1" customHeight="1">
      <c r="A834" s="467">
        <v>46048</v>
      </c>
      <c r="B834" s="25" t="s">
        <v>379</v>
      </c>
      <c r="C834" s="19" t="s">
        <v>2658</v>
      </c>
      <c r="D834" s="20">
        <v>46038</v>
      </c>
      <c r="E834" s="438" t="s">
        <v>783</v>
      </c>
      <c r="F834" s="242">
        <v>46038</v>
      </c>
      <c r="G834" s="128" t="s">
        <v>2494</v>
      </c>
    </row>
    <row r="835" spans="1:7" customFormat="1" ht="14.25" hidden="1" customHeight="1">
      <c r="A835" s="401">
        <v>46027</v>
      </c>
      <c r="B835" s="251" t="s">
        <v>1384</v>
      </c>
      <c r="C835" s="277" t="s">
        <v>2659</v>
      </c>
      <c r="D835" s="251">
        <v>46029</v>
      </c>
      <c r="E835" s="254" t="s">
        <v>783</v>
      </c>
      <c r="F835" s="251">
        <v>46028</v>
      </c>
      <c r="G835" s="279" t="s">
        <v>2494</v>
      </c>
    </row>
    <row r="836" spans="1:7" customFormat="1" ht="14.25" hidden="1" customHeight="1">
      <c r="A836" s="401">
        <v>46028</v>
      </c>
      <c r="B836" s="204" t="s">
        <v>1384</v>
      </c>
      <c r="C836" s="278" t="s">
        <v>2660</v>
      </c>
      <c r="D836" s="204">
        <v>46029</v>
      </c>
      <c r="E836" s="203" t="s">
        <v>783</v>
      </c>
      <c r="F836" s="204">
        <v>46029</v>
      </c>
      <c r="G836" s="280" t="s">
        <v>2494</v>
      </c>
    </row>
    <row r="837" spans="1:7" customFormat="1" ht="14.25" hidden="1" customHeight="1">
      <c r="A837" s="401">
        <v>46035</v>
      </c>
      <c r="B837" s="204" t="s">
        <v>1384</v>
      </c>
      <c r="C837" s="278" t="s">
        <v>2661</v>
      </c>
      <c r="D837" s="204">
        <v>46037</v>
      </c>
      <c r="E837" s="203" t="s">
        <v>783</v>
      </c>
      <c r="F837" s="204">
        <v>46038</v>
      </c>
      <c r="G837" s="280" t="s">
        <v>2494</v>
      </c>
    </row>
    <row r="838" spans="1:7" customFormat="1" ht="15.75" hidden="1" customHeight="1">
      <c r="A838" s="401">
        <v>46027</v>
      </c>
      <c r="B838" s="251" t="s">
        <v>417</v>
      </c>
      <c r="C838" s="277" t="s">
        <v>2662</v>
      </c>
      <c r="D838" s="251">
        <v>46052</v>
      </c>
      <c r="E838" s="254" t="s">
        <v>783</v>
      </c>
      <c r="F838" s="251">
        <v>46027</v>
      </c>
      <c r="G838" s="279" t="s">
        <v>2494</v>
      </c>
    </row>
    <row r="839" spans="1:7" customFormat="1" ht="15.75" hidden="1" customHeight="1">
      <c r="A839" s="400">
        <v>46027</v>
      </c>
      <c r="B839" s="272" t="s">
        <v>435</v>
      </c>
      <c r="C839" s="358" t="s">
        <v>2663</v>
      </c>
      <c r="D839" s="272">
        <v>46030</v>
      </c>
      <c r="E839" s="273" t="s">
        <v>783</v>
      </c>
      <c r="F839" s="272">
        <v>46028</v>
      </c>
      <c r="G839" s="359" t="s">
        <v>2494</v>
      </c>
    </row>
    <row r="840" spans="1:7" customFormat="1" ht="15.75" hidden="1" customHeight="1">
      <c r="A840" s="400">
        <v>46043</v>
      </c>
      <c r="B840" s="384" t="s">
        <v>435</v>
      </c>
      <c r="C840" s="426" t="s">
        <v>2664</v>
      </c>
      <c r="D840" s="387">
        <v>46043</v>
      </c>
      <c r="E840" s="389" t="s">
        <v>783</v>
      </c>
      <c r="F840" s="379">
        <v>46043</v>
      </c>
      <c r="G840" s="176" t="s">
        <v>2494</v>
      </c>
    </row>
    <row r="841" spans="1:7" customFormat="1" ht="15.75" hidden="1" customHeight="1">
      <c r="A841" s="400">
        <v>46034</v>
      </c>
      <c r="B841" s="249" t="s">
        <v>1391</v>
      </c>
      <c r="C841" s="385" t="s">
        <v>2665</v>
      </c>
      <c r="D841" s="249">
        <v>46039</v>
      </c>
      <c r="E841" s="386" t="s">
        <v>783</v>
      </c>
      <c r="F841" s="249">
        <v>46034</v>
      </c>
      <c r="G841" s="393" t="s">
        <v>2666</v>
      </c>
    </row>
    <row r="842" spans="1:7" customFormat="1" ht="15.75" hidden="1" customHeight="1">
      <c r="A842" s="400">
        <v>46034</v>
      </c>
      <c r="B842" s="249" t="s">
        <v>1391</v>
      </c>
      <c r="C842" s="385" t="s">
        <v>2667</v>
      </c>
      <c r="D842" s="249">
        <v>46039</v>
      </c>
      <c r="E842" s="386" t="s">
        <v>783</v>
      </c>
      <c r="F842" s="249">
        <v>46034</v>
      </c>
      <c r="G842" s="393" t="s">
        <v>2666</v>
      </c>
    </row>
    <row r="843" spans="1:7" customFormat="1" ht="15.75" hidden="1" customHeight="1">
      <c r="A843" s="400">
        <v>46034</v>
      </c>
      <c r="B843" s="249" t="s">
        <v>343</v>
      </c>
      <c r="C843" s="385" t="s">
        <v>2668</v>
      </c>
      <c r="D843" s="249">
        <v>46034</v>
      </c>
      <c r="E843" s="386" t="s">
        <v>783</v>
      </c>
      <c r="F843" s="249">
        <v>46034</v>
      </c>
      <c r="G843" s="393" t="s">
        <v>2666</v>
      </c>
    </row>
    <row r="844" spans="1:7" customFormat="1" ht="15.75" hidden="1" customHeight="1">
      <c r="A844" s="404">
        <v>46034</v>
      </c>
      <c r="B844" s="411" t="s">
        <v>121</v>
      </c>
      <c r="C844" s="427" t="s">
        <v>2669</v>
      </c>
      <c r="D844" s="411">
        <v>46035</v>
      </c>
      <c r="E844" s="440" t="s">
        <v>783</v>
      </c>
      <c r="F844" s="411">
        <v>46034</v>
      </c>
      <c r="G844" s="458" t="s">
        <v>2670</v>
      </c>
    </row>
    <row r="845" spans="1:7" customFormat="1" ht="15.75" hidden="1" customHeight="1">
      <c r="A845" s="400">
        <v>46034</v>
      </c>
      <c r="B845" s="249" t="s">
        <v>1391</v>
      </c>
      <c r="C845" s="385" t="s">
        <v>2671</v>
      </c>
      <c r="D845" s="249">
        <v>46035</v>
      </c>
      <c r="E845" s="386" t="s">
        <v>783</v>
      </c>
      <c r="F845" s="249">
        <v>46034</v>
      </c>
      <c r="G845" s="393" t="s">
        <v>2670</v>
      </c>
    </row>
    <row r="846" spans="1:7" customFormat="1" ht="15.75" hidden="1" customHeight="1">
      <c r="A846" s="400">
        <v>46037</v>
      </c>
      <c r="B846" s="249" t="s">
        <v>320</v>
      </c>
      <c r="C846" s="385" t="s">
        <v>2672</v>
      </c>
      <c r="D846" s="249">
        <v>46042</v>
      </c>
      <c r="E846" s="386" t="s">
        <v>783</v>
      </c>
      <c r="F846" s="249">
        <v>46051</v>
      </c>
      <c r="G846" s="393" t="s">
        <v>2548</v>
      </c>
    </row>
    <row r="847" spans="1:7" customFormat="1" ht="15.75" hidden="1" customHeight="1">
      <c r="A847" s="400">
        <v>46042</v>
      </c>
      <c r="B847" s="249" t="s">
        <v>2460</v>
      </c>
      <c r="C847" s="385" t="s">
        <v>2673</v>
      </c>
      <c r="D847" s="249">
        <v>46042</v>
      </c>
      <c r="E847" s="386" t="s">
        <v>783</v>
      </c>
      <c r="F847" s="249"/>
      <c r="G847" s="393" t="s">
        <v>2674</v>
      </c>
    </row>
    <row r="848" spans="1:7" customFormat="1" ht="15.75" hidden="1" customHeight="1">
      <c r="A848" s="404">
        <v>46037</v>
      </c>
      <c r="B848" s="411" t="s">
        <v>202</v>
      </c>
      <c r="C848" s="427" t="s">
        <v>2675</v>
      </c>
      <c r="D848" s="411">
        <v>46043</v>
      </c>
      <c r="E848" s="440" t="s">
        <v>783</v>
      </c>
      <c r="F848" s="411">
        <v>46041</v>
      </c>
      <c r="G848" s="458" t="s">
        <v>1402</v>
      </c>
    </row>
    <row r="849" spans="1:7" customFormat="1" ht="15.75" hidden="1" customHeight="1">
      <c r="A849" s="400">
        <v>46042</v>
      </c>
      <c r="B849" s="249" t="s">
        <v>267</v>
      </c>
      <c r="C849" s="385" t="s">
        <v>2676</v>
      </c>
      <c r="D849" s="249">
        <v>46044</v>
      </c>
      <c r="E849" s="386" t="s">
        <v>783</v>
      </c>
      <c r="F849" s="249">
        <v>46044</v>
      </c>
      <c r="G849" s="393" t="s">
        <v>1402</v>
      </c>
    </row>
    <row r="850" spans="1:7" customFormat="1" ht="15.75" hidden="1" customHeight="1">
      <c r="A850" s="400">
        <v>46045</v>
      </c>
      <c r="B850" s="249" t="s">
        <v>379</v>
      </c>
      <c r="C850" s="385" t="s">
        <v>2677</v>
      </c>
      <c r="D850" s="249">
        <v>46051</v>
      </c>
      <c r="E850" s="386" t="s">
        <v>783</v>
      </c>
      <c r="F850" s="249">
        <v>46045</v>
      </c>
      <c r="G850" s="393" t="s">
        <v>1402</v>
      </c>
    </row>
    <row r="851" spans="1:7" customFormat="1" ht="15.75" hidden="1" customHeight="1">
      <c r="A851" s="400">
        <v>46049</v>
      </c>
      <c r="B851" s="249" t="s">
        <v>435</v>
      </c>
      <c r="C851" s="385" t="s">
        <v>2678</v>
      </c>
      <c r="D851" s="249">
        <v>46049</v>
      </c>
      <c r="E851" s="386" t="s">
        <v>783</v>
      </c>
      <c r="F851" s="249">
        <v>46049</v>
      </c>
      <c r="G851" s="393" t="s">
        <v>1402</v>
      </c>
    </row>
    <row r="852" spans="1:7" customFormat="1" ht="15.75" hidden="1" customHeight="1">
      <c r="A852" s="400">
        <v>46052</v>
      </c>
      <c r="B852" s="249" t="s">
        <v>254</v>
      </c>
      <c r="C852" s="385" t="s">
        <v>2679</v>
      </c>
      <c r="D852" s="249">
        <v>46058</v>
      </c>
      <c r="E852" s="386" t="s">
        <v>783</v>
      </c>
      <c r="F852" s="249">
        <v>46056</v>
      </c>
      <c r="G852" s="393" t="s">
        <v>2680</v>
      </c>
    </row>
    <row r="853" spans="1:7" customFormat="1" ht="15.75" hidden="1" customHeight="1">
      <c r="A853" s="400">
        <v>46052</v>
      </c>
      <c r="B853" s="249" t="s">
        <v>254</v>
      </c>
      <c r="C853" s="385" t="s">
        <v>2681</v>
      </c>
      <c r="D853" s="249">
        <v>46058</v>
      </c>
      <c r="E853" s="386" t="s">
        <v>783</v>
      </c>
      <c r="F853" s="249">
        <v>46056</v>
      </c>
      <c r="G853" s="393" t="s">
        <v>2680</v>
      </c>
    </row>
    <row r="854" spans="1:7" customFormat="1" ht="15.75" hidden="1" customHeight="1">
      <c r="A854" s="400">
        <v>46036</v>
      </c>
      <c r="B854" s="249" t="s">
        <v>121</v>
      </c>
      <c r="C854" s="385" t="s">
        <v>2669</v>
      </c>
      <c r="D854" s="249">
        <v>46036</v>
      </c>
      <c r="E854" s="386" t="s">
        <v>783</v>
      </c>
      <c r="F854" s="249">
        <v>46036</v>
      </c>
      <c r="G854" s="393" t="s">
        <v>2534</v>
      </c>
    </row>
    <row r="855" spans="1:7" customFormat="1" ht="15.75" hidden="1" customHeight="1">
      <c r="A855" s="400">
        <v>46036</v>
      </c>
      <c r="B855" s="249" t="s">
        <v>412</v>
      </c>
      <c r="C855" s="385" t="s">
        <v>2682</v>
      </c>
      <c r="D855" s="249">
        <v>46038</v>
      </c>
      <c r="E855" s="386" t="s">
        <v>783</v>
      </c>
      <c r="F855" s="249">
        <v>46041</v>
      </c>
      <c r="G855" s="428" t="s">
        <v>2683</v>
      </c>
    </row>
    <row r="856" spans="1:7" customFormat="1" ht="15.75" hidden="1" customHeight="1">
      <c r="A856" s="400">
        <v>46042</v>
      </c>
      <c r="B856" s="249" t="s">
        <v>412</v>
      </c>
      <c r="C856" s="385" t="s">
        <v>2682</v>
      </c>
      <c r="D856" s="249">
        <v>46044</v>
      </c>
      <c r="E856" s="386" t="s">
        <v>783</v>
      </c>
      <c r="F856" s="249">
        <v>46044</v>
      </c>
      <c r="G856" s="393" t="s">
        <v>2684</v>
      </c>
    </row>
    <row r="857" spans="1:7" customFormat="1" ht="15.75" hidden="1" customHeight="1">
      <c r="A857" s="400">
        <v>46054</v>
      </c>
      <c r="B857" s="249" t="s">
        <v>1391</v>
      </c>
      <c r="C857" s="385" t="s">
        <v>2685</v>
      </c>
      <c r="D857" s="249">
        <v>46057</v>
      </c>
      <c r="E857" s="386" t="s">
        <v>783</v>
      </c>
      <c r="F857" s="249">
        <v>46054</v>
      </c>
      <c r="G857" s="393" t="s">
        <v>2494</v>
      </c>
    </row>
    <row r="858" spans="1:7" ht="15.75" hidden="1" customHeight="1">
      <c r="A858" s="490">
        <v>46054</v>
      </c>
      <c r="B858" s="386" t="s">
        <v>1314</v>
      </c>
      <c r="C858" s="491" t="s">
        <v>2686</v>
      </c>
      <c r="D858" s="386">
        <v>46058</v>
      </c>
      <c r="E858" s="386" t="s">
        <v>783</v>
      </c>
      <c r="F858" s="386">
        <v>46057</v>
      </c>
      <c r="G858" s="492" t="s">
        <v>2494</v>
      </c>
    </row>
    <row r="859" spans="1:7" ht="15.75" hidden="1" customHeight="1">
      <c r="A859" s="490">
        <v>46054</v>
      </c>
      <c r="B859" s="386" t="s">
        <v>1314</v>
      </c>
      <c r="C859" s="491" t="s">
        <v>2687</v>
      </c>
      <c r="D859" s="386">
        <v>46058</v>
      </c>
      <c r="E859" s="386" t="s">
        <v>783</v>
      </c>
      <c r="F859" s="386">
        <v>46054</v>
      </c>
      <c r="G859" s="492" t="s">
        <v>2494</v>
      </c>
    </row>
    <row r="860" spans="1:7" customFormat="1" ht="15.75" hidden="1" customHeight="1">
      <c r="A860" s="400">
        <v>46054</v>
      </c>
      <c r="B860" s="249" t="s">
        <v>330</v>
      </c>
      <c r="C860" s="385" t="s">
        <v>2688</v>
      </c>
      <c r="D860" s="249">
        <v>46058</v>
      </c>
      <c r="E860" s="386" t="s">
        <v>783</v>
      </c>
      <c r="F860" s="249">
        <v>46054</v>
      </c>
      <c r="G860" s="393" t="s">
        <v>2494</v>
      </c>
    </row>
    <row r="861" spans="1:7" customFormat="1" ht="15.75" hidden="1" customHeight="1">
      <c r="A861" s="400">
        <v>46054</v>
      </c>
      <c r="B861" s="272" t="s">
        <v>379</v>
      </c>
      <c r="C861" s="358" t="s">
        <v>2689</v>
      </c>
      <c r="D861" s="272">
        <v>46059</v>
      </c>
      <c r="E861" s="273" t="s">
        <v>783</v>
      </c>
      <c r="F861" s="272">
        <v>46063</v>
      </c>
      <c r="G861" s="359" t="s">
        <v>2494</v>
      </c>
    </row>
    <row r="862" spans="1:7" customFormat="1" ht="15.75" hidden="1" customHeight="1">
      <c r="A862" s="400">
        <v>46055</v>
      </c>
      <c r="B862" s="249" t="s">
        <v>2690</v>
      </c>
      <c r="C862" s="385" t="s">
        <v>2691</v>
      </c>
      <c r="D862" s="249">
        <v>46062</v>
      </c>
      <c r="E862" s="386" t="s">
        <v>783</v>
      </c>
      <c r="F862" s="249">
        <v>46056</v>
      </c>
      <c r="G862" s="393" t="s">
        <v>2499</v>
      </c>
    </row>
    <row r="863" spans="1:7" customFormat="1" ht="15.75" hidden="1" customHeight="1">
      <c r="A863" s="400">
        <v>46055</v>
      </c>
      <c r="B863" s="249" t="s">
        <v>320</v>
      </c>
      <c r="C863" s="385" t="s">
        <v>2692</v>
      </c>
      <c r="D863" s="249">
        <v>46057</v>
      </c>
      <c r="E863" s="386" t="s">
        <v>783</v>
      </c>
      <c r="F863" s="249">
        <v>46055</v>
      </c>
      <c r="G863" s="393" t="s">
        <v>2499</v>
      </c>
    </row>
    <row r="864" spans="1:7" ht="15.75" hidden="1" customHeight="1">
      <c r="A864" s="490">
        <v>46055</v>
      </c>
      <c r="B864" s="386" t="s">
        <v>1314</v>
      </c>
      <c r="C864" s="491" t="s">
        <v>2693</v>
      </c>
      <c r="D864" s="386">
        <v>46058</v>
      </c>
      <c r="E864" s="386" t="s">
        <v>783</v>
      </c>
      <c r="F864" s="386">
        <v>46057</v>
      </c>
      <c r="G864" s="492" t="s">
        <v>2494</v>
      </c>
    </row>
    <row r="865" spans="1:7" customFormat="1" ht="15.75" hidden="1" customHeight="1">
      <c r="A865" s="400">
        <v>46055</v>
      </c>
      <c r="B865" s="249" t="s">
        <v>1343</v>
      </c>
      <c r="C865" s="385" t="s">
        <v>2694</v>
      </c>
      <c r="D865" s="249">
        <v>46062</v>
      </c>
      <c r="E865" s="386" t="s">
        <v>783</v>
      </c>
      <c r="F865" s="249">
        <v>46056</v>
      </c>
      <c r="G865" s="393" t="s">
        <v>2499</v>
      </c>
    </row>
    <row r="866" spans="1:7" customFormat="1" ht="15.75" hidden="1" customHeight="1">
      <c r="A866" s="400">
        <v>46055</v>
      </c>
      <c r="B866" s="249" t="s">
        <v>1164</v>
      </c>
      <c r="C866" s="385" t="s">
        <v>2695</v>
      </c>
      <c r="D866" s="249">
        <v>46058</v>
      </c>
      <c r="E866" s="386" t="s">
        <v>783</v>
      </c>
      <c r="F866" s="249">
        <v>46056</v>
      </c>
      <c r="G866" s="393" t="s">
        <v>2494</v>
      </c>
    </row>
    <row r="867" spans="1:7" customFormat="1" ht="15.75" hidden="1" customHeight="1">
      <c r="A867" s="400">
        <v>46056</v>
      </c>
      <c r="B867" s="249" t="s">
        <v>320</v>
      </c>
      <c r="C867" s="385" t="s">
        <v>2696</v>
      </c>
      <c r="D867" s="249">
        <v>46058</v>
      </c>
      <c r="E867" s="386" t="s">
        <v>783</v>
      </c>
      <c r="F867" s="249">
        <v>46056</v>
      </c>
      <c r="G867" s="393" t="s">
        <v>2494</v>
      </c>
    </row>
    <row r="868" spans="1:7" customFormat="1" ht="15.75" hidden="1" customHeight="1">
      <c r="A868" s="400">
        <v>46056</v>
      </c>
      <c r="B868" s="272" t="s">
        <v>330</v>
      </c>
      <c r="C868" s="358" t="s">
        <v>2697</v>
      </c>
      <c r="D868" s="272">
        <v>46058</v>
      </c>
      <c r="E868" s="273" t="s">
        <v>783</v>
      </c>
      <c r="F868" s="272">
        <v>46058</v>
      </c>
      <c r="G868" s="359" t="s">
        <v>2494</v>
      </c>
    </row>
    <row r="869" spans="1:7" customFormat="1" ht="15.75" hidden="1" customHeight="1">
      <c r="A869" s="400">
        <v>46058</v>
      </c>
      <c r="B869" s="272" t="s">
        <v>114</v>
      </c>
      <c r="C869" s="358" t="s">
        <v>2698</v>
      </c>
      <c r="D869" s="272">
        <v>46065</v>
      </c>
      <c r="E869" s="273" t="s">
        <v>783</v>
      </c>
      <c r="F869" s="272">
        <v>46063</v>
      </c>
      <c r="G869" s="359" t="s">
        <v>2499</v>
      </c>
    </row>
    <row r="870" spans="1:7" customFormat="1" ht="15.75" hidden="1" customHeight="1">
      <c r="A870" s="400">
        <v>46058</v>
      </c>
      <c r="B870" s="249" t="s">
        <v>121</v>
      </c>
      <c r="C870" s="385" t="s">
        <v>2699</v>
      </c>
      <c r="D870" s="249">
        <v>46064</v>
      </c>
      <c r="E870" s="386" t="s">
        <v>783</v>
      </c>
      <c r="F870" s="249">
        <v>46058</v>
      </c>
      <c r="G870" s="393" t="s">
        <v>2494</v>
      </c>
    </row>
    <row r="871" spans="1:7" customFormat="1" ht="15.75" hidden="1" customHeight="1">
      <c r="A871" s="400">
        <v>46058</v>
      </c>
      <c r="B871" s="272" t="s">
        <v>178</v>
      </c>
      <c r="C871" s="358" t="s">
        <v>2700</v>
      </c>
      <c r="D871" s="272">
        <v>46058</v>
      </c>
      <c r="E871" s="273" t="s">
        <v>783</v>
      </c>
      <c r="F871" s="272">
        <v>46063</v>
      </c>
      <c r="G871" s="359" t="s">
        <v>2494</v>
      </c>
    </row>
    <row r="872" spans="1:7" customFormat="1" ht="15.75" hidden="1" customHeight="1">
      <c r="A872" s="400">
        <v>46058</v>
      </c>
      <c r="B872" s="249" t="s">
        <v>267</v>
      </c>
      <c r="C872" s="385" t="s">
        <v>2701</v>
      </c>
      <c r="D872" s="249">
        <v>46058</v>
      </c>
      <c r="E872" s="386" t="s">
        <v>783</v>
      </c>
      <c r="F872" s="249">
        <v>46058</v>
      </c>
      <c r="G872" s="393" t="s">
        <v>2702</v>
      </c>
    </row>
    <row r="873" spans="1:7" customFormat="1" ht="15.75" hidden="1" customHeight="1">
      <c r="A873" s="400">
        <v>46058</v>
      </c>
      <c r="B873" s="249" t="s">
        <v>417</v>
      </c>
      <c r="C873" s="385" t="s">
        <v>2703</v>
      </c>
      <c r="D873" s="249">
        <v>46058</v>
      </c>
      <c r="E873" s="386" t="s">
        <v>783</v>
      </c>
      <c r="F873" s="249">
        <v>46058</v>
      </c>
      <c r="G873" s="393" t="s">
        <v>2702</v>
      </c>
    </row>
    <row r="874" spans="1:7" customFormat="1" ht="15.75" hidden="1" customHeight="1">
      <c r="A874" s="400">
        <v>46058</v>
      </c>
      <c r="B874" s="249" t="s">
        <v>417</v>
      </c>
      <c r="C874" s="385" t="s">
        <v>2704</v>
      </c>
      <c r="D874" s="249">
        <v>46058</v>
      </c>
      <c r="E874" s="386" t="s">
        <v>783</v>
      </c>
      <c r="F874" s="249">
        <v>46058</v>
      </c>
      <c r="G874" s="393" t="s">
        <v>2494</v>
      </c>
    </row>
    <row r="875" spans="1:7" customFormat="1" ht="15.75" hidden="1" customHeight="1">
      <c r="A875" s="400">
        <v>46058</v>
      </c>
      <c r="B875" s="249" t="s">
        <v>1164</v>
      </c>
      <c r="C875" s="385" t="s">
        <v>2705</v>
      </c>
      <c r="D875" s="249">
        <v>46058</v>
      </c>
      <c r="E875" s="386" t="s">
        <v>783</v>
      </c>
      <c r="F875" s="249">
        <v>46058</v>
      </c>
      <c r="G875" s="393" t="s">
        <v>2702</v>
      </c>
    </row>
    <row r="876" spans="1:7" customFormat="1" ht="15.75" hidden="1" customHeight="1">
      <c r="A876" s="400">
        <v>46058</v>
      </c>
      <c r="B876" s="272" t="s">
        <v>1164</v>
      </c>
      <c r="C876" s="358" t="s">
        <v>2706</v>
      </c>
      <c r="D876" s="272">
        <v>46062</v>
      </c>
      <c r="E876" s="273" t="s">
        <v>783</v>
      </c>
      <c r="F876" s="272">
        <v>46063</v>
      </c>
      <c r="G876" s="359" t="s">
        <v>2494</v>
      </c>
    </row>
    <row r="877" spans="1:7" customFormat="1" ht="15.75" hidden="1" customHeight="1">
      <c r="A877" s="400">
        <v>46062</v>
      </c>
      <c r="B877" s="272" t="s">
        <v>363</v>
      </c>
      <c r="C877" s="358" t="s">
        <v>2707</v>
      </c>
      <c r="D877" s="272">
        <v>46064</v>
      </c>
      <c r="E877" s="273" t="s">
        <v>783</v>
      </c>
      <c r="F877" s="272">
        <v>46063</v>
      </c>
      <c r="G877" s="359" t="s">
        <v>2494</v>
      </c>
    </row>
    <row r="878" spans="1:7" customFormat="1" ht="15.75" hidden="1" customHeight="1">
      <c r="A878" s="400">
        <v>46062</v>
      </c>
      <c r="B878" s="272" t="s">
        <v>1343</v>
      </c>
      <c r="C878" s="358" t="s">
        <v>2708</v>
      </c>
      <c r="D878" s="272">
        <v>46064</v>
      </c>
      <c r="E878" s="273" t="s">
        <v>783</v>
      </c>
      <c r="F878" s="272">
        <v>46063</v>
      </c>
      <c r="G878" s="359" t="s">
        <v>2494</v>
      </c>
    </row>
    <row r="879" spans="1:7" customFormat="1" ht="15.75" hidden="1" customHeight="1">
      <c r="A879" s="400">
        <v>46062</v>
      </c>
      <c r="B879" s="272" t="s">
        <v>1164</v>
      </c>
      <c r="C879" s="358" t="s">
        <v>2709</v>
      </c>
      <c r="D879" s="272">
        <v>46064</v>
      </c>
      <c r="E879" s="273" t="s">
        <v>783</v>
      </c>
      <c r="F879" s="272">
        <v>46063</v>
      </c>
      <c r="G879" s="359" t="s">
        <v>2494</v>
      </c>
    </row>
    <row r="880" spans="1:7" customFormat="1" ht="15.75" hidden="1" customHeight="1">
      <c r="A880" s="400">
        <v>46062</v>
      </c>
      <c r="B880" s="272" t="s">
        <v>1164</v>
      </c>
      <c r="C880" s="358" t="s">
        <v>2710</v>
      </c>
      <c r="D880" s="272">
        <v>46066</v>
      </c>
      <c r="E880" s="273" t="s">
        <v>783</v>
      </c>
      <c r="F880" s="272">
        <v>46063</v>
      </c>
      <c r="G880" s="359" t="s">
        <v>2494</v>
      </c>
    </row>
    <row r="881" spans="1:7" customFormat="1" ht="15.75" hidden="1" customHeight="1">
      <c r="A881" s="400">
        <v>46063</v>
      </c>
      <c r="B881" s="272" t="s">
        <v>830</v>
      </c>
      <c r="C881" s="358" t="s">
        <v>2711</v>
      </c>
      <c r="D881" s="272">
        <v>46063</v>
      </c>
      <c r="E881" s="273" t="s">
        <v>783</v>
      </c>
      <c r="F881" s="272">
        <v>46063</v>
      </c>
      <c r="G881" s="359" t="s">
        <v>2494</v>
      </c>
    </row>
    <row r="882" spans="1:7" customFormat="1" ht="15.75" hidden="1" customHeight="1">
      <c r="A882" s="400">
        <v>46063</v>
      </c>
      <c r="B882" s="272" t="s">
        <v>830</v>
      </c>
      <c r="C882" s="358" t="s">
        <v>2712</v>
      </c>
      <c r="D882" s="272">
        <v>46063</v>
      </c>
      <c r="E882" s="273" t="s">
        <v>783</v>
      </c>
      <c r="F882" s="272">
        <v>46063</v>
      </c>
      <c r="G882" s="359" t="s">
        <v>2494</v>
      </c>
    </row>
    <row r="883" spans="1:7" customFormat="1" ht="15.75" hidden="1" customHeight="1">
      <c r="A883" s="400">
        <v>46063</v>
      </c>
      <c r="B883" s="272" t="s">
        <v>1391</v>
      </c>
      <c r="C883" s="358" t="s">
        <v>2713</v>
      </c>
      <c r="D883" s="272">
        <v>46058</v>
      </c>
      <c r="E883" s="273" t="s">
        <v>783</v>
      </c>
      <c r="F883" s="272">
        <v>46063</v>
      </c>
      <c r="G883" s="359" t="s">
        <v>2499</v>
      </c>
    </row>
    <row r="884" spans="1:7" customFormat="1" ht="15.75" hidden="1" customHeight="1">
      <c r="A884" s="400">
        <v>46063</v>
      </c>
      <c r="B884" s="272" t="s">
        <v>320</v>
      </c>
      <c r="C884" s="358" t="s">
        <v>2696</v>
      </c>
      <c r="D884" s="272">
        <v>46058</v>
      </c>
      <c r="E884" s="273" t="s">
        <v>783</v>
      </c>
      <c r="F884" s="272">
        <v>46058</v>
      </c>
      <c r="G884" s="359" t="s">
        <v>2494</v>
      </c>
    </row>
    <row r="885" spans="1:7" customFormat="1" ht="15.75" hidden="1" customHeight="1">
      <c r="A885" s="400">
        <v>46063</v>
      </c>
      <c r="B885" s="272" t="s">
        <v>343</v>
      </c>
      <c r="C885" s="358" t="s">
        <v>2714</v>
      </c>
      <c r="D885" s="272">
        <v>46069</v>
      </c>
      <c r="E885" s="273" t="s">
        <v>783</v>
      </c>
      <c r="F885" s="272">
        <v>46066</v>
      </c>
      <c r="G885" s="359" t="s">
        <v>2499</v>
      </c>
    </row>
    <row r="886" spans="1:7" customFormat="1" ht="15.75" hidden="1" customHeight="1">
      <c r="A886" s="400">
        <v>46063</v>
      </c>
      <c r="B886" s="272" t="s">
        <v>1164</v>
      </c>
      <c r="C886" s="358" t="s">
        <v>2715</v>
      </c>
      <c r="D886" s="272">
        <v>46067</v>
      </c>
      <c r="E886" s="273" t="s">
        <v>783</v>
      </c>
      <c r="F886" s="272">
        <v>46063</v>
      </c>
      <c r="G886" s="359" t="s">
        <v>2494</v>
      </c>
    </row>
    <row r="887" spans="1:7" customFormat="1" ht="15.75" hidden="1" customHeight="1">
      <c r="A887" s="400">
        <v>46063</v>
      </c>
      <c r="B887" s="272" t="s">
        <v>1164</v>
      </c>
      <c r="C887" s="358" t="s">
        <v>2716</v>
      </c>
      <c r="D887" s="272">
        <v>46070</v>
      </c>
      <c r="E887" s="273" t="s">
        <v>783</v>
      </c>
      <c r="F887" s="272">
        <v>46063</v>
      </c>
      <c r="G887" s="359" t="s">
        <v>2494</v>
      </c>
    </row>
    <row r="888" spans="1:7" customFormat="1" ht="15.75" hidden="1" customHeight="1">
      <c r="A888" s="400">
        <v>46064</v>
      </c>
      <c r="B888" s="272" t="s">
        <v>309</v>
      </c>
      <c r="C888" s="358" t="s">
        <v>2717</v>
      </c>
      <c r="D888" s="272">
        <v>46071</v>
      </c>
      <c r="E888" s="273" t="s">
        <v>783</v>
      </c>
      <c r="F888" s="272">
        <v>46066</v>
      </c>
      <c r="G888" s="359" t="s">
        <v>2499</v>
      </c>
    </row>
    <row r="889" spans="1:7" customFormat="1" ht="15.75" hidden="1" customHeight="1">
      <c r="A889" s="400">
        <v>46064</v>
      </c>
      <c r="B889" s="272" t="s">
        <v>309</v>
      </c>
      <c r="C889" s="358" t="s">
        <v>2718</v>
      </c>
      <c r="D889" s="272">
        <v>46071</v>
      </c>
      <c r="E889" s="273" t="s">
        <v>783</v>
      </c>
      <c r="F889" s="272">
        <v>46066</v>
      </c>
      <c r="G889" s="359" t="s">
        <v>2499</v>
      </c>
    </row>
    <row r="890" spans="1:7" customFormat="1" ht="15.75" hidden="1" customHeight="1">
      <c r="A890" s="400" t="s">
        <v>2719</v>
      </c>
      <c r="B890" s="272" t="s">
        <v>1009</v>
      </c>
      <c r="C890" s="358" t="s">
        <v>2720</v>
      </c>
      <c r="D890" s="272" t="s">
        <v>2719</v>
      </c>
      <c r="E890" s="273" t="s">
        <v>2721</v>
      </c>
      <c r="F890" s="272">
        <v>46020</v>
      </c>
      <c r="G890" s="359" t="s">
        <v>2499</v>
      </c>
    </row>
    <row r="891" spans="1:7" customFormat="1" ht="15.75" hidden="1" customHeight="1">
      <c r="A891" s="400">
        <v>46065</v>
      </c>
      <c r="B891" s="272" t="s">
        <v>343</v>
      </c>
      <c r="C891" s="358" t="s">
        <v>2722</v>
      </c>
      <c r="D891" s="272">
        <v>46065</v>
      </c>
      <c r="E891" s="273" t="s">
        <v>783</v>
      </c>
      <c r="F891" s="272">
        <v>46065</v>
      </c>
      <c r="G891" s="359" t="s">
        <v>2494</v>
      </c>
    </row>
    <row r="892" spans="1:7" ht="15.75" hidden="1" customHeight="1">
      <c r="A892" s="490">
        <v>46065</v>
      </c>
      <c r="B892" s="273" t="s">
        <v>1314</v>
      </c>
      <c r="C892" s="493" t="s">
        <v>2723</v>
      </c>
      <c r="D892" s="273">
        <v>46072</v>
      </c>
      <c r="E892" s="273" t="s">
        <v>783</v>
      </c>
      <c r="F892" s="273">
        <v>46071</v>
      </c>
      <c r="G892" s="494" t="s">
        <v>2499</v>
      </c>
    </row>
    <row r="893" spans="1:7" customFormat="1" ht="15.75" hidden="1" customHeight="1">
      <c r="A893" s="400">
        <v>46066</v>
      </c>
      <c r="B893" s="272" t="s">
        <v>343</v>
      </c>
      <c r="C893" s="358" t="s">
        <v>2724</v>
      </c>
      <c r="D893" s="272">
        <v>46069</v>
      </c>
      <c r="E893" s="273" t="s">
        <v>783</v>
      </c>
      <c r="F893" s="272">
        <v>46066</v>
      </c>
      <c r="G893" s="359" t="s">
        <v>2494</v>
      </c>
    </row>
    <row r="894" spans="1:7" ht="15.75" hidden="1" customHeight="1">
      <c r="A894" s="498">
        <v>46070</v>
      </c>
      <c r="B894" s="8" t="s">
        <v>202</v>
      </c>
      <c r="C894" s="13" t="s">
        <v>2725</v>
      </c>
      <c r="D894" s="495">
        <v>46079</v>
      </c>
      <c r="E894" s="255" t="s">
        <v>783</v>
      </c>
      <c r="F894" s="286">
        <v>46070</v>
      </c>
      <c r="G894" s="475" t="s">
        <v>2494</v>
      </c>
    </row>
    <row r="895" spans="1:7" ht="15.75" hidden="1" customHeight="1">
      <c r="A895" s="498">
        <v>46070</v>
      </c>
      <c r="B895" s="8" t="s">
        <v>202</v>
      </c>
      <c r="C895" s="13" t="s">
        <v>2726</v>
      </c>
      <c r="D895" s="495">
        <v>46079</v>
      </c>
      <c r="E895" s="255" t="s">
        <v>783</v>
      </c>
      <c r="F895" s="286">
        <v>46070</v>
      </c>
      <c r="G895" s="475" t="s">
        <v>2494</v>
      </c>
    </row>
    <row r="896" spans="1:7" ht="15.75" hidden="1" customHeight="1">
      <c r="A896" s="490">
        <v>46071</v>
      </c>
      <c r="B896" s="273" t="s">
        <v>289</v>
      </c>
      <c r="C896" s="493" t="s">
        <v>2727</v>
      </c>
      <c r="D896" s="273">
        <v>46078</v>
      </c>
      <c r="E896" s="501" t="s">
        <v>783</v>
      </c>
      <c r="F896" s="501">
        <v>46077</v>
      </c>
      <c r="G896" s="502"/>
    </row>
    <row r="897" spans="1:7" ht="15.75" hidden="1" customHeight="1">
      <c r="A897" s="490">
        <v>46071</v>
      </c>
      <c r="B897" s="273" t="s">
        <v>1164</v>
      </c>
      <c r="C897" s="493" t="s">
        <v>2728</v>
      </c>
      <c r="D897" s="500">
        <v>46078</v>
      </c>
      <c r="E897" s="271" t="s">
        <v>783</v>
      </c>
      <c r="F897" s="271">
        <v>46077</v>
      </c>
      <c r="G897" s="613" t="s">
        <v>2494</v>
      </c>
    </row>
    <row r="898" spans="1:7" ht="15.75" hidden="1" customHeight="1">
      <c r="A898" s="490">
        <v>46071</v>
      </c>
      <c r="B898" s="273" t="s">
        <v>417</v>
      </c>
      <c r="C898" s="493" t="s">
        <v>2729</v>
      </c>
      <c r="D898" s="500">
        <v>46071</v>
      </c>
      <c r="E898" s="254" t="s">
        <v>783</v>
      </c>
      <c r="F898" s="254">
        <v>46071</v>
      </c>
      <c r="G898" s="614" t="s">
        <v>2730</v>
      </c>
    </row>
    <row r="899" spans="1:7" ht="15.75" hidden="1" customHeight="1">
      <c r="A899" s="490">
        <v>46076</v>
      </c>
      <c r="B899" s="273" t="s">
        <v>289</v>
      </c>
      <c r="C899" s="493" t="s">
        <v>2731</v>
      </c>
      <c r="D899" s="500" t="s">
        <v>672</v>
      </c>
      <c r="E899" s="273" t="s">
        <v>783</v>
      </c>
      <c r="F899" s="611">
        <v>46077</v>
      </c>
      <c r="G899" s="193"/>
    </row>
    <row r="900" spans="1:7" ht="15.75" hidden="1" customHeight="1">
      <c r="A900" s="490">
        <v>46073</v>
      </c>
      <c r="B900" s="273" t="s">
        <v>309</v>
      </c>
      <c r="C900" s="493" t="s">
        <v>2732</v>
      </c>
      <c r="D900" s="500">
        <v>46078</v>
      </c>
      <c r="E900" s="254" t="s">
        <v>783</v>
      </c>
      <c r="F900" s="26">
        <v>46073</v>
      </c>
      <c r="G900" s="152" t="s">
        <v>2733</v>
      </c>
    </row>
    <row r="901" spans="1:7" ht="15.75" hidden="1" customHeight="1">
      <c r="A901" s="490">
        <v>46073</v>
      </c>
      <c r="B901" s="273" t="s">
        <v>309</v>
      </c>
      <c r="C901" s="493" t="s">
        <v>2734</v>
      </c>
      <c r="D901" s="500">
        <v>46078</v>
      </c>
      <c r="E901" s="254" t="s">
        <v>783</v>
      </c>
      <c r="F901" s="26">
        <v>46077</v>
      </c>
      <c r="G901" s="152"/>
    </row>
    <row r="902" spans="1:7" ht="15.75" hidden="1" customHeight="1">
      <c r="A902" s="606">
        <v>46066</v>
      </c>
      <c r="B902" s="501" t="s">
        <v>330</v>
      </c>
      <c r="C902" s="607" t="s">
        <v>2735</v>
      </c>
      <c r="D902" s="608">
        <v>45707</v>
      </c>
      <c r="E902" s="271" t="s">
        <v>783</v>
      </c>
      <c r="F902" s="609">
        <v>46073</v>
      </c>
      <c r="G902" s="187" t="s">
        <v>2736</v>
      </c>
    </row>
    <row r="903" spans="1:7" s="604" customFormat="1" ht="15.75" hidden="1" customHeight="1">
      <c r="A903" s="596">
        <v>46076</v>
      </c>
      <c r="B903" s="602" t="s">
        <v>299</v>
      </c>
      <c r="C903" s="605" t="s">
        <v>2737</v>
      </c>
      <c r="D903" s="602" t="s">
        <v>672</v>
      </c>
      <c r="E903" s="602" t="s">
        <v>783</v>
      </c>
      <c r="F903" s="596">
        <v>46077</v>
      </c>
      <c r="G903" s="603" t="s">
        <v>2494</v>
      </c>
    </row>
    <row r="904" spans="1:7" ht="15.75" hidden="1" customHeight="1">
      <c r="A904" s="490">
        <v>46077</v>
      </c>
      <c r="B904" s="273" t="s">
        <v>1164</v>
      </c>
      <c r="C904" s="493" t="s">
        <v>2709</v>
      </c>
      <c r="D904" s="500">
        <v>46077</v>
      </c>
      <c r="E904" s="273" t="s">
        <v>783</v>
      </c>
      <c r="F904" s="611">
        <v>46077</v>
      </c>
      <c r="G904" s="193"/>
    </row>
    <row r="905" spans="1:7" ht="15.75" hidden="1" customHeight="1">
      <c r="A905" s="490">
        <v>46076</v>
      </c>
      <c r="B905" s="273" t="s">
        <v>178</v>
      </c>
      <c r="C905" s="493" t="s">
        <v>2738</v>
      </c>
      <c r="D905" s="500" t="s">
        <v>672</v>
      </c>
      <c r="E905" s="254" t="s">
        <v>783</v>
      </c>
      <c r="F905" s="26">
        <v>46077</v>
      </c>
      <c r="G905" s="499" t="s">
        <v>2494</v>
      </c>
    </row>
    <row r="906" spans="1:7" ht="15.75" hidden="1" customHeight="1">
      <c r="A906" s="512">
        <v>46078</v>
      </c>
      <c r="B906" s="386" t="s">
        <v>178</v>
      </c>
      <c r="C906" s="491" t="s">
        <v>2739</v>
      </c>
      <c r="D906" s="513">
        <v>46085</v>
      </c>
      <c r="E906" s="203" t="s">
        <v>783</v>
      </c>
      <c r="F906" s="26">
        <v>46083</v>
      </c>
      <c r="G906" s="514" t="s">
        <v>2740</v>
      </c>
    </row>
    <row r="907" spans="1:7" ht="15.75" hidden="1" customHeight="1">
      <c r="A907" s="512">
        <v>46077</v>
      </c>
      <c r="B907" s="386" t="s">
        <v>309</v>
      </c>
      <c r="C907" s="491" t="s">
        <v>2741</v>
      </c>
      <c r="D907" s="513">
        <v>46084</v>
      </c>
      <c r="E907" s="203" t="s">
        <v>783</v>
      </c>
      <c r="F907" s="26">
        <v>46080</v>
      </c>
      <c r="G907" s="514" t="s">
        <v>2742</v>
      </c>
    </row>
    <row r="908" spans="1:7" ht="15.75" hidden="1" customHeight="1">
      <c r="A908" s="598">
        <v>46077</v>
      </c>
      <c r="B908" s="599" t="s">
        <v>309</v>
      </c>
      <c r="C908" s="600" t="s">
        <v>2743</v>
      </c>
      <c r="D908" s="601">
        <v>46084</v>
      </c>
      <c r="E908" s="436" t="s">
        <v>783</v>
      </c>
      <c r="F908" s="609">
        <v>46080</v>
      </c>
      <c r="G908" s="610" t="s">
        <v>2742</v>
      </c>
    </row>
    <row r="909" spans="1:7" s="604" customFormat="1" ht="15.75" hidden="1" customHeight="1">
      <c r="A909" s="596">
        <v>46078</v>
      </c>
      <c r="B909" s="602" t="s">
        <v>299</v>
      </c>
      <c r="C909" s="605" t="s">
        <v>2744</v>
      </c>
      <c r="D909" s="602">
        <v>46080</v>
      </c>
      <c r="E909" s="602" t="s">
        <v>783</v>
      </c>
      <c r="F909" s="596">
        <v>46078</v>
      </c>
      <c r="G909" s="603" t="s">
        <v>1402</v>
      </c>
    </row>
    <row r="910" spans="1:7" s="604" customFormat="1" ht="15.75" hidden="1" customHeight="1">
      <c r="A910" s="596">
        <v>46078</v>
      </c>
      <c r="B910" s="602" t="s">
        <v>299</v>
      </c>
      <c r="C910" s="605" t="s">
        <v>2745</v>
      </c>
      <c r="D910" s="602">
        <v>46080</v>
      </c>
      <c r="E910" s="596" t="s">
        <v>783</v>
      </c>
      <c r="F910" s="596">
        <v>46078</v>
      </c>
      <c r="G910" s="603" t="s">
        <v>1402</v>
      </c>
    </row>
    <row r="911" spans="1:7" s="604" customFormat="1" ht="15.75" hidden="1" customHeight="1">
      <c r="A911" s="596">
        <v>46078</v>
      </c>
      <c r="B911" s="602" t="s">
        <v>299</v>
      </c>
      <c r="C911" s="605" t="s">
        <v>2746</v>
      </c>
      <c r="D911" s="602">
        <v>46080</v>
      </c>
      <c r="E911" s="602" t="s">
        <v>783</v>
      </c>
      <c r="F911" s="596">
        <v>46078</v>
      </c>
      <c r="G911" s="603" t="s">
        <v>2494</v>
      </c>
    </row>
    <row r="912" spans="1:7" ht="15.75" hidden="1" customHeight="1">
      <c r="A912" s="512">
        <v>46078</v>
      </c>
      <c r="B912" s="386" t="s">
        <v>254</v>
      </c>
      <c r="C912" s="491" t="s">
        <v>2747</v>
      </c>
      <c r="D912" s="513">
        <v>46078</v>
      </c>
      <c r="E912" s="386" t="s">
        <v>783</v>
      </c>
      <c r="F912" s="611">
        <v>46078</v>
      </c>
      <c r="G912" s="492" t="s">
        <v>2494</v>
      </c>
    </row>
    <row r="913" spans="1:7" ht="15.75" hidden="1" customHeight="1">
      <c r="A913" s="512">
        <v>46079</v>
      </c>
      <c r="B913" s="386" t="s">
        <v>2313</v>
      </c>
      <c r="C913" s="491" t="s">
        <v>2748</v>
      </c>
      <c r="D913" s="513">
        <v>46086</v>
      </c>
      <c r="E913" s="203" t="s">
        <v>783</v>
      </c>
      <c r="F913" s="26">
        <v>46080</v>
      </c>
      <c r="G913" s="514" t="s">
        <v>2548</v>
      </c>
    </row>
    <row r="914" spans="1:7" ht="15.75" hidden="1" customHeight="1">
      <c r="A914" s="512">
        <v>46079</v>
      </c>
      <c r="B914" s="386" t="s">
        <v>114</v>
      </c>
      <c r="C914" s="491" t="s">
        <v>2749</v>
      </c>
      <c r="D914" s="513">
        <v>46086</v>
      </c>
      <c r="E914" s="203" t="s">
        <v>783</v>
      </c>
      <c r="F914" s="26">
        <v>46083</v>
      </c>
      <c r="G914" s="514" t="s">
        <v>2740</v>
      </c>
    </row>
    <row r="915" spans="1:7" ht="15.75" hidden="1" customHeight="1">
      <c r="A915" s="512">
        <v>46079</v>
      </c>
      <c r="B915" s="386" t="s">
        <v>1164</v>
      </c>
      <c r="C915" s="491" t="s">
        <v>2750</v>
      </c>
      <c r="D915" s="513">
        <v>46083</v>
      </c>
      <c r="E915" s="203" t="s">
        <v>783</v>
      </c>
      <c r="F915" s="26">
        <v>46080</v>
      </c>
      <c r="G915" s="514" t="s">
        <v>2751</v>
      </c>
    </row>
    <row r="916" spans="1:7" ht="15.75" hidden="1" customHeight="1">
      <c r="A916" s="512">
        <v>46079</v>
      </c>
      <c r="B916" s="386" t="s">
        <v>267</v>
      </c>
      <c r="C916" s="491" t="s">
        <v>2752</v>
      </c>
      <c r="D916" s="513">
        <v>46084</v>
      </c>
      <c r="E916" s="203" t="s">
        <v>783</v>
      </c>
      <c r="F916" s="26">
        <v>46080</v>
      </c>
      <c r="G916" s="514" t="s">
        <v>2751</v>
      </c>
    </row>
    <row r="917" spans="1:7" ht="15.75" hidden="1" customHeight="1">
      <c r="A917" s="512">
        <v>46084</v>
      </c>
      <c r="B917" s="386" t="s">
        <v>2753</v>
      </c>
      <c r="C917" s="491" t="s">
        <v>2754</v>
      </c>
      <c r="D917" s="513">
        <v>46086</v>
      </c>
      <c r="E917" s="203" t="s">
        <v>783</v>
      </c>
      <c r="F917" s="26">
        <v>46084</v>
      </c>
      <c r="G917" s="514" t="s">
        <v>2494</v>
      </c>
    </row>
    <row r="918" spans="1:7" ht="15.75" hidden="1" customHeight="1">
      <c r="A918" s="512">
        <v>46083</v>
      </c>
      <c r="B918" s="386" t="s">
        <v>114</v>
      </c>
      <c r="C918" s="491" t="s">
        <v>2755</v>
      </c>
      <c r="D918" s="513">
        <v>46087</v>
      </c>
      <c r="E918" s="203" t="s">
        <v>783</v>
      </c>
      <c r="F918" s="26">
        <v>46085</v>
      </c>
      <c r="G918" s="514" t="s">
        <v>2494</v>
      </c>
    </row>
    <row r="919" spans="1:7" ht="15.75" hidden="1" customHeight="1">
      <c r="A919" s="512">
        <v>46083</v>
      </c>
      <c r="B919" s="386" t="s">
        <v>830</v>
      </c>
      <c r="C919" s="491" t="s">
        <v>2756</v>
      </c>
      <c r="D919" s="513">
        <v>46086</v>
      </c>
      <c r="E919" s="203" t="s">
        <v>783</v>
      </c>
      <c r="F919" s="26">
        <v>46083</v>
      </c>
      <c r="G919" s="514" t="s">
        <v>2740</v>
      </c>
    </row>
    <row r="920" spans="1:7" ht="15.75" hidden="1" customHeight="1">
      <c r="A920" s="512">
        <v>46090</v>
      </c>
      <c r="B920" s="386" t="s">
        <v>796</v>
      </c>
      <c r="C920" s="491" t="s">
        <v>2757</v>
      </c>
      <c r="D920" s="513">
        <v>46097</v>
      </c>
      <c r="E920" s="203" t="s">
        <v>783</v>
      </c>
      <c r="F920" s="26">
        <v>46094</v>
      </c>
      <c r="G920" s="514" t="s">
        <v>2494</v>
      </c>
    </row>
    <row r="921" spans="1:7" ht="15.75" hidden="1" customHeight="1">
      <c r="A921" s="512">
        <v>46090</v>
      </c>
      <c r="B921" s="386" t="s">
        <v>796</v>
      </c>
      <c r="C921" s="491" t="s">
        <v>2758</v>
      </c>
      <c r="D921" s="513">
        <v>46097</v>
      </c>
      <c r="E921" s="203" t="s">
        <v>783</v>
      </c>
      <c r="F921" s="26">
        <v>46094</v>
      </c>
      <c r="G921" s="514" t="s">
        <v>2494</v>
      </c>
    </row>
    <row r="922" spans="1:7" ht="15.75" hidden="1" customHeight="1">
      <c r="A922" s="512">
        <v>46090</v>
      </c>
      <c r="B922" s="386" t="s">
        <v>796</v>
      </c>
      <c r="C922" s="491" t="s">
        <v>2759</v>
      </c>
      <c r="D922" s="513">
        <v>46097</v>
      </c>
      <c r="E922" s="203" t="s">
        <v>783</v>
      </c>
      <c r="F922" s="26">
        <v>46094</v>
      </c>
      <c r="G922" s="514" t="s">
        <v>2494</v>
      </c>
    </row>
    <row r="923" spans="1:7" ht="15.75" hidden="1" customHeight="1">
      <c r="A923" s="512">
        <v>46087</v>
      </c>
      <c r="B923" s="386" t="s">
        <v>178</v>
      </c>
      <c r="C923" s="491" t="s">
        <v>2738</v>
      </c>
      <c r="D923" s="513" t="s">
        <v>672</v>
      </c>
      <c r="E923" s="203" t="s">
        <v>783</v>
      </c>
      <c r="F923" s="26">
        <v>46091</v>
      </c>
      <c r="G923" s="514" t="s">
        <v>2494</v>
      </c>
    </row>
    <row r="924" spans="1:7" ht="15.75" hidden="1" customHeight="1">
      <c r="A924" s="512">
        <v>46083</v>
      </c>
      <c r="B924" s="386" t="s">
        <v>202</v>
      </c>
      <c r="C924" s="491" t="s">
        <v>2760</v>
      </c>
      <c r="D924" s="513">
        <v>46087</v>
      </c>
      <c r="E924" s="203" t="s">
        <v>783</v>
      </c>
      <c r="F924" s="26">
        <v>46085</v>
      </c>
      <c r="G924" s="514" t="s">
        <v>2761</v>
      </c>
    </row>
    <row r="925" spans="1:7" ht="15.75" hidden="1" customHeight="1">
      <c r="A925" s="598">
        <v>46084</v>
      </c>
      <c r="B925" s="599" t="s">
        <v>1391</v>
      </c>
      <c r="C925" s="600" t="s">
        <v>2762</v>
      </c>
      <c r="D925" s="601" t="s">
        <v>672</v>
      </c>
      <c r="E925" s="436" t="s">
        <v>783</v>
      </c>
      <c r="F925" s="26">
        <v>46087</v>
      </c>
      <c r="G925" s="514" t="s">
        <v>2763</v>
      </c>
    </row>
    <row r="926" spans="1:7" ht="15.75" hidden="1" customHeight="1">
      <c r="A926" s="596">
        <v>46093</v>
      </c>
      <c r="B926" s="203" t="s">
        <v>267</v>
      </c>
      <c r="C926" s="597" t="s">
        <v>2764</v>
      </c>
      <c r="D926" s="203">
        <v>46094</v>
      </c>
      <c r="E926" s="436" t="s">
        <v>783</v>
      </c>
      <c r="F926" s="26">
        <v>46093</v>
      </c>
      <c r="G926" s="514" t="s">
        <v>2494</v>
      </c>
    </row>
    <row r="927" spans="1:7" ht="15.75" hidden="1" customHeight="1">
      <c r="A927" s="203">
        <v>46106</v>
      </c>
      <c r="B927" s="203" t="s">
        <v>267</v>
      </c>
      <c r="C927" s="514" t="s">
        <v>2765</v>
      </c>
      <c r="D927" s="203">
        <v>46076</v>
      </c>
      <c r="E927" s="203" t="s">
        <v>783</v>
      </c>
      <c r="F927" s="203">
        <v>46114</v>
      </c>
      <c r="G927" s="152" t="s">
        <v>2494</v>
      </c>
    </row>
    <row r="928" spans="1:7" ht="15.75" hidden="1" customHeight="1">
      <c r="A928" s="203">
        <v>46106</v>
      </c>
      <c r="B928" s="203" t="s">
        <v>267</v>
      </c>
      <c r="C928" s="514" t="s">
        <v>2766</v>
      </c>
      <c r="D928" s="203">
        <v>46108</v>
      </c>
      <c r="E928" s="436" t="s">
        <v>783</v>
      </c>
      <c r="F928" s="203">
        <v>46120</v>
      </c>
      <c r="G928" s="152" t="s">
        <v>2767</v>
      </c>
    </row>
    <row r="929" spans="1:7" ht="15.75" hidden="1" customHeight="1">
      <c r="A929" s="596">
        <v>46087</v>
      </c>
      <c r="B929" s="203" t="s">
        <v>834</v>
      </c>
      <c r="C929" s="597" t="s">
        <v>2768</v>
      </c>
      <c r="D929" s="203">
        <v>46091</v>
      </c>
      <c r="E929" s="436" t="s">
        <v>783</v>
      </c>
      <c r="F929" s="26">
        <v>46090</v>
      </c>
      <c r="G929" s="514" t="s">
        <v>2499</v>
      </c>
    </row>
    <row r="930" spans="1:7" ht="15.75" hidden="1" customHeight="1">
      <c r="A930" s="596">
        <v>46083</v>
      </c>
      <c r="B930" s="203" t="s">
        <v>834</v>
      </c>
      <c r="C930" s="597" t="s">
        <v>2769</v>
      </c>
      <c r="D930" s="203">
        <v>46087</v>
      </c>
      <c r="E930" s="203" t="s">
        <v>783</v>
      </c>
      <c r="F930" s="26">
        <v>46090</v>
      </c>
      <c r="G930" s="514" t="s">
        <v>2494</v>
      </c>
    </row>
    <row r="931" spans="1:7" ht="15.75" hidden="1" customHeight="1">
      <c r="A931" s="596">
        <v>46087</v>
      </c>
      <c r="B931" s="203" t="s">
        <v>289</v>
      </c>
      <c r="C931" s="597" t="s">
        <v>2770</v>
      </c>
      <c r="D931" s="203">
        <v>46094</v>
      </c>
      <c r="E931" s="436" t="s">
        <v>783</v>
      </c>
      <c r="F931" s="26">
        <v>46090</v>
      </c>
      <c r="G931" s="514" t="s">
        <v>2499</v>
      </c>
    </row>
    <row r="932" spans="1:7" ht="15.75" hidden="1" customHeight="1">
      <c r="A932" s="596">
        <v>46087</v>
      </c>
      <c r="B932" s="203" t="s">
        <v>289</v>
      </c>
      <c r="C932" s="597" t="s">
        <v>2771</v>
      </c>
      <c r="D932" s="203">
        <v>46094</v>
      </c>
      <c r="E932" s="203" t="s">
        <v>783</v>
      </c>
      <c r="F932" s="26">
        <v>46090</v>
      </c>
      <c r="G932" s="514" t="s">
        <v>2499</v>
      </c>
    </row>
    <row r="933" spans="1:7" ht="15.75" hidden="1" customHeight="1">
      <c r="A933" s="596">
        <v>46087</v>
      </c>
      <c r="B933" s="203" t="s">
        <v>289</v>
      </c>
      <c r="C933" s="597" t="s">
        <v>2772</v>
      </c>
      <c r="D933" s="203">
        <v>46094</v>
      </c>
      <c r="E933" s="203" t="s">
        <v>783</v>
      </c>
      <c r="F933" s="26">
        <v>46090</v>
      </c>
      <c r="G933" s="514" t="s">
        <v>2499</v>
      </c>
    </row>
    <row r="934" spans="1:7" ht="15.75" hidden="1" customHeight="1">
      <c r="A934" s="596">
        <v>46087</v>
      </c>
      <c r="B934" s="203" t="s">
        <v>289</v>
      </c>
      <c r="C934" s="597" t="s">
        <v>2773</v>
      </c>
      <c r="D934" s="203">
        <v>46094</v>
      </c>
      <c r="E934" s="436" t="s">
        <v>783</v>
      </c>
      <c r="F934" s="26">
        <v>46090</v>
      </c>
      <c r="G934" s="514" t="s">
        <v>2499</v>
      </c>
    </row>
    <row r="935" spans="1:7" ht="15.75" hidden="1" customHeight="1">
      <c r="A935" s="596">
        <v>46087</v>
      </c>
      <c r="B935" s="203" t="s">
        <v>289</v>
      </c>
      <c r="C935" s="597" t="s">
        <v>2774</v>
      </c>
      <c r="D935" s="203">
        <v>46094</v>
      </c>
      <c r="E935" s="436" t="s">
        <v>783</v>
      </c>
      <c r="F935" s="26">
        <v>46090</v>
      </c>
      <c r="G935" s="514" t="s">
        <v>2499</v>
      </c>
    </row>
    <row r="936" spans="1:7" ht="15.75" hidden="1" customHeight="1">
      <c r="A936" s="596">
        <v>46087</v>
      </c>
      <c r="B936" s="203" t="s">
        <v>289</v>
      </c>
      <c r="C936" s="597" t="s">
        <v>2775</v>
      </c>
      <c r="D936" s="203">
        <v>46094</v>
      </c>
      <c r="E936" s="203" t="s">
        <v>783</v>
      </c>
      <c r="F936" s="26">
        <v>46090</v>
      </c>
      <c r="G936" s="514" t="s">
        <v>2499</v>
      </c>
    </row>
    <row r="937" spans="1:7" ht="15.75" hidden="1" customHeight="1">
      <c r="A937" s="512">
        <v>46087</v>
      </c>
      <c r="B937" s="386" t="s">
        <v>289</v>
      </c>
      <c r="C937" s="491" t="s">
        <v>2776</v>
      </c>
      <c r="D937" s="513">
        <v>46094</v>
      </c>
      <c r="E937" s="203" t="s">
        <v>783</v>
      </c>
      <c r="F937" s="26">
        <v>46091</v>
      </c>
      <c r="G937" s="514" t="s">
        <v>2494</v>
      </c>
    </row>
    <row r="938" spans="1:7" ht="15.75" hidden="1" customHeight="1">
      <c r="A938" s="512">
        <v>46087</v>
      </c>
      <c r="B938" s="386" t="s">
        <v>289</v>
      </c>
      <c r="C938" s="491" t="s">
        <v>2777</v>
      </c>
      <c r="D938" s="513">
        <v>46094</v>
      </c>
      <c r="E938" s="203" t="s">
        <v>783</v>
      </c>
      <c r="F938" s="26">
        <v>46091</v>
      </c>
      <c r="G938" s="514" t="s">
        <v>2494</v>
      </c>
    </row>
    <row r="939" spans="1:7" ht="15.75" hidden="1" customHeight="1">
      <c r="A939" s="512">
        <v>46087</v>
      </c>
      <c r="B939" s="386" t="s">
        <v>289</v>
      </c>
      <c r="C939" s="491" t="s">
        <v>2778</v>
      </c>
      <c r="D939" s="513">
        <v>46094</v>
      </c>
      <c r="E939" s="203" t="s">
        <v>783</v>
      </c>
      <c r="F939" s="26">
        <v>46091</v>
      </c>
      <c r="G939" s="514" t="s">
        <v>2494</v>
      </c>
    </row>
    <row r="940" spans="1:7" ht="15.75" hidden="1" customHeight="1">
      <c r="A940" s="512">
        <v>46087</v>
      </c>
      <c r="B940" s="386" t="s">
        <v>289</v>
      </c>
      <c r="C940" s="491" t="s">
        <v>2779</v>
      </c>
      <c r="D940" s="513">
        <v>46094</v>
      </c>
      <c r="E940" s="203" t="s">
        <v>783</v>
      </c>
      <c r="F940" s="26">
        <v>46091</v>
      </c>
      <c r="G940" s="514" t="s">
        <v>2494</v>
      </c>
    </row>
    <row r="941" spans="1:7" ht="15.75" hidden="1" customHeight="1">
      <c r="A941" s="512">
        <v>46087</v>
      </c>
      <c r="B941" s="386" t="s">
        <v>289</v>
      </c>
      <c r="C941" s="491" t="s">
        <v>2780</v>
      </c>
      <c r="D941" s="513">
        <v>46094</v>
      </c>
      <c r="E941" s="203" t="s">
        <v>783</v>
      </c>
      <c r="F941" s="26">
        <v>46091</v>
      </c>
      <c r="G941" s="514" t="s">
        <v>2494</v>
      </c>
    </row>
    <row r="942" spans="1:7" ht="15.75" hidden="1" customHeight="1">
      <c r="A942" s="386">
        <v>46106</v>
      </c>
      <c r="B942" s="386" t="s">
        <v>320</v>
      </c>
      <c r="C942" s="492" t="s">
        <v>2781</v>
      </c>
      <c r="D942" s="513">
        <v>46108</v>
      </c>
      <c r="E942" s="203" t="s">
        <v>783</v>
      </c>
      <c r="F942" s="203"/>
      <c r="G942" s="152" t="s">
        <v>1402</v>
      </c>
    </row>
    <row r="943" spans="1:7" ht="15.75" hidden="1" customHeight="1">
      <c r="A943" s="386">
        <v>46105</v>
      </c>
      <c r="B943" s="386" t="s">
        <v>320</v>
      </c>
      <c r="C943" s="492" t="s">
        <v>2782</v>
      </c>
      <c r="D943" s="513">
        <v>46107</v>
      </c>
      <c r="E943" s="203" t="s">
        <v>783</v>
      </c>
      <c r="F943" s="203"/>
      <c r="G943" s="152" t="s">
        <v>1402</v>
      </c>
    </row>
    <row r="944" spans="1:7" ht="27" hidden="1" customHeight="1">
      <c r="A944" s="386">
        <v>46099</v>
      </c>
      <c r="B944" s="386" t="s">
        <v>352</v>
      </c>
      <c r="C944" s="492" t="s">
        <v>2783</v>
      </c>
      <c r="D944" s="513">
        <v>46105</v>
      </c>
      <c r="E944" s="203" t="s">
        <v>783</v>
      </c>
      <c r="F944" s="203">
        <v>46099</v>
      </c>
      <c r="G944" s="627" t="s">
        <v>2666</v>
      </c>
    </row>
    <row r="945" spans="1:7" ht="15.75" hidden="1" customHeight="1">
      <c r="A945" s="386">
        <v>46101</v>
      </c>
      <c r="B945" s="386" t="s">
        <v>359</v>
      </c>
      <c r="C945" s="492" t="s">
        <v>2784</v>
      </c>
      <c r="D945" s="513">
        <v>46104</v>
      </c>
      <c r="E945" s="203" t="s">
        <v>2785</v>
      </c>
      <c r="F945" s="203"/>
      <c r="G945" s="152"/>
    </row>
    <row r="946" spans="1:7" ht="15.75" hidden="1" customHeight="1">
      <c r="A946" s="386">
        <v>46106</v>
      </c>
      <c r="B946" s="386" t="s">
        <v>363</v>
      </c>
      <c r="C946" s="492" t="s">
        <v>2786</v>
      </c>
      <c r="D946" s="513">
        <v>46113</v>
      </c>
      <c r="E946" s="203" t="s">
        <v>783</v>
      </c>
      <c r="F946" s="203"/>
      <c r="G946" s="152" t="s">
        <v>2494</v>
      </c>
    </row>
    <row r="947" spans="1:7" ht="15.75" hidden="1" customHeight="1">
      <c r="A947" s="386">
        <v>46099</v>
      </c>
      <c r="B947" s="386" t="s">
        <v>363</v>
      </c>
      <c r="C947" s="492" t="s">
        <v>2787</v>
      </c>
      <c r="D947" s="513">
        <v>46106</v>
      </c>
      <c r="E947" s="203" t="s">
        <v>783</v>
      </c>
      <c r="F947" s="203"/>
      <c r="G947" s="627"/>
    </row>
    <row r="948" spans="1:7" ht="15.75" hidden="1" customHeight="1">
      <c r="A948" s="512">
        <v>46097</v>
      </c>
      <c r="B948" s="386" t="s">
        <v>379</v>
      </c>
      <c r="C948" s="491" t="s">
        <v>2788</v>
      </c>
      <c r="D948" s="513">
        <v>46101</v>
      </c>
      <c r="E948" s="203" t="s">
        <v>783</v>
      </c>
      <c r="F948" s="26">
        <v>46097</v>
      </c>
      <c r="G948" s="514" t="s">
        <v>2494</v>
      </c>
    </row>
    <row r="949" spans="1:7" ht="15.75" hidden="1" customHeight="1">
      <c r="A949" s="596">
        <v>46097</v>
      </c>
      <c r="B949" s="386" t="s">
        <v>379</v>
      </c>
      <c r="C949" s="491" t="s">
        <v>2789</v>
      </c>
      <c r="D949" s="513">
        <v>46101</v>
      </c>
      <c r="E949" s="203" t="s">
        <v>783</v>
      </c>
      <c r="F949" s="26">
        <v>46097</v>
      </c>
      <c r="G949" s="514" t="s">
        <v>2494</v>
      </c>
    </row>
    <row r="950" spans="1:7" ht="31.5" hidden="1" customHeight="1">
      <c r="A950" s="596">
        <v>46097</v>
      </c>
      <c r="B950" s="203" t="s">
        <v>379</v>
      </c>
      <c r="C950" s="597" t="s">
        <v>2790</v>
      </c>
      <c r="D950" s="203">
        <v>46101</v>
      </c>
      <c r="E950" s="203" t="s">
        <v>783</v>
      </c>
      <c r="F950" s="26">
        <v>46097</v>
      </c>
      <c r="G950" s="514" t="s">
        <v>2494</v>
      </c>
    </row>
    <row r="951" spans="1:7" ht="15.75" hidden="1" customHeight="1">
      <c r="A951" s="203">
        <v>46100</v>
      </c>
      <c r="B951" s="203" t="s">
        <v>2532</v>
      </c>
      <c r="C951" s="514" t="s">
        <v>2791</v>
      </c>
      <c r="D951" s="203">
        <v>46107</v>
      </c>
      <c r="E951" s="203" t="s">
        <v>783</v>
      </c>
      <c r="F951" s="203"/>
      <c r="G951" s="152"/>
    </row>
    <row r="952" spans="1:7" ht="15.75" hidden="1" customHeight="1">
      <c r="A952" s="203">
        <v>46108</v>
      </c>
      <c r="B952" s="203" t="s">
        <v>412</v>
      </c>
      <c r="C952" s="514" t="s">
        <v>2792</v>
      </c>
      <c r="D952" s="203">
        <v>46108</v>
      </c>
      <c r="E952" s="203" t="s">
        <v>783</v>
      </c>
      <c r="F952" s="203">
        <v>46108</v>
      </c>
      <c r="G952" s="152" t="s">
        <v>2494</v>
      </c>
    </row>
    <row r="953" spans="1:7" ht="15.75" hidden="1" customHeight="1">
      <c r="A953" s="596">
        <v>46094</v>
      </c>
      <c r="B953" s="203" t="s">
        <v>412</v>
      </c>
      <c r="C953" s="597" t="s">
        <v>2793</v>
      </c>
      <c r="D953" s="203">
        <v>46105</v>
      </c>
      <c r="E953" s="203" t="s">
        <v>783</v>
      </c>
      <c r="F953" s="26"/>
      <c r="G953" s="674"/>
    </row>
    <row r="954" spans="1:7" ht="15.75" hidden="1" customHeight="1">
      <c r="A954" s="596">
        <v>46094</v>
      </c>
      <c r="B954" s="203" t="s">
        <v>412</v>
      </c>
      <c r="C954" s="597" t="s">
        <v>2794</v>
      </c>
      <c r="D954" s="203">
        <v>46105</v>
      </c>
      <c r="E954" s="203" t="s">
        <v>783</v>
      </c>
      <c r="F954" s="26"/>
      <c r="G954" s="674"/>
    </row>
    <row r="955" spans="1:7" ht="15.75" hidden="1" customHeight="1">
      <c r="A955" s="203">
        <v>46104</v>
      </c>
      <c r="B955" s="203" t="s">
        <v>417</v>
      </c>
      <c r="C955" s="514" t="s">
        <v>2535</v>
      </c>
      <c r="D955" s="203">
        <v>46114</v>
      </c>
      <c r="E955" s="203" t="s">
        <v>783</v>
      </c>
      <c r="F955" s="645">
        <v>46112</v>
      </c>
      <c r="G955" s="152" t="s">
        <v>2494</v>
      </c>
    </row>
    <row r="956" spans="1:7" ht="15.75" hidden="1" customHeight="1">
      <c r="A956" s="203">
        <v>46112</v>
      </c>
      <c r="B956" s="203" t="s">
        <v>435</v>
      </c>
      <c r="C956" s="514" t="s">
        <v>2795</v>
      </c>
      <c r="D956" s="203">
        <v>46119</v>
      </c>
      <c r="E956" s="203" t="s">
        <v>1366</v>
      </c>
      <c r="F956" s="645">
        <v>46120</v>
      </c>
      <c r="G956" s="152" t="s">
        <v>2494</v>
      </c>
    </row>
    <row r="957" spans="1:7" ht="15.75" hidden="1" customHeight="1">
      <c r="A957" s="203">
        <v>46112</v>
      </c>
      <c r="B957" s="203" t="s">
        <v>435</v>
      </c>
      <c r="C957" s="514" t="s">
        <v>2796</v>
      </c>
      <c r="D957" s="203">
        <v>46119</v>
      </c>
      <c r="E957" s="203" t="s">
        <v>1366</v>
      </c>
      <c r="F957" s="203">
        <v>46120</v>
      </c>
      <c r="G957" s="475" t="s">
        <v>2494</v>
      </c>
    </row>
    <row r="958" spans="1:7" ht="15.75" hidden="1" customHeight="1">
      <c r="A958" s="596">
        <v>46090</v>
      </c>
      <c r="B958" s="203" t="s">
        <v>447</v>
      </c>
      <c r="C958" s="597" t="s">
        <v>2797</v>
      </c>
      <c r="D958" s="203" t="s">
        <v>672</v>
      </c>
      <c r="E958" s="203" t="s">
        <v>783</v>
      </c>
      <c r="F958" s="673">
        <v>46092</v>
      </c>
      <c r="G958" s="514" t="s">
        <v>2798</v>
      </c>
    </row>
    <row r="959" spans="1:7" ht="15.75" hidden="1" customHeight="1">
      <c r="A959" s="596">
        <v>46097</v>
      </c>
      <c r="B959" s="203" t="s">
        <v>447</v>
      </c>
      <c r="C959" s="597" t="s">
        <v>2799</v>
      </c>
      <c r="D959" s="203">
        <v>46097</v>
      </c>
      <c r="E959" s="203" t="s">
        <v>783</v>
      </c>
      <c r="F959" s="673">
        <v>46097</v>
      </c>
      <c r="G959" s="514" t="s">
        <v>2494</v>
      </c>
    </row>
    <row r="960" spans="1:7" ht="15.75" hidden="1" customHeight="1">
      <c r="A960" s="203">
        <v>46112</v>
      </c>
      <c r="B960" s="203" t="s">
        <v>447</v>
      </c>
      <c r="C960" s="514" t="s">
        <v>2800</v>
      </c>
      <c r="D960" s="203">
        <v>46119</v>
      </c>
      <c r="E960" s="203" t="s">
        <v>783</v>
      </c>
      <c r="F960" s="645">
        <v>46112</v>
      </c>
      <c r="G960" s="152" t="s">
        <v>2494</v>
      </c>
    </row>
    <row r="961" spans="1:7" ht="15.75" hidden="1" customHeight="1">
      <c r="A961" s="596">
        <v>46083</v>
      </c>
      <c r="B961" s="203" t="s">
        <v>1164</v>
      </c>
      <c r="C961" s="597" t="s">
        <v>2797</v>
      </c>
      <c r="D961" s="203">
        <v>46087</v>
      </c>
      <c r="E961" s="203" t="s">
        <v>783</v>
      </c>
      <c r="F961" s="673">
        <v>46083</v>
      </c>
      <c r="G961" s="514" t="s">
        <v>2740</v>
      </c>
    </row>
    <row r="962" spans="1:7" ht="15.75" hidden="1" customHeight="1">
      <c r="A962" s="596">
        <v>46093</v>
      </c>
      <c r="B962" s="203" t="s">
        <v>1164</v>
      </c>
      <c r="C962" s="597" t="s">
        <v>2801</v>
      </c>
      <c r="D962" s="203">
        <v>46097</v>
      </c>
      <c r="E962" s="203" t="s">
        <v>783</v>
      </c>
      <c r="F962" s="673">
        <v>46093</v>
      </c>
      <c r="G962" s="514" t="s">
        <v>2494</v>
      </c>
    </row>
    <row r="963" spans="1:7" ht="15.75" hidden="1" customHeight="1">
      <c r="A963" s="203">
        <v>46099</v>
      </c>
      <c r="B963" s="203" t="s">
        <v>1164</v>
      </c>
      <c r="C963" s="597" t="s">
        <v>2799</v>
      </c>
      <c r="D963" s="203" t="s">
        <v>672</v>
      </c>
      <c r="E963" s="203" t="s">
        <v>783</v>
      </c>
      <c r="F963" s="673">
        <v>46099</v>
      </c>
      <c r="G963" s="627" t="s">
        <v>2666</v>
      </c>
    </row>
    <row r="964" spans="1:7" ht="15.75" hidden="1" customHeight="1">
      <c r="A964" s="203">
        <v>46099</v>
      </c>
      <c r="B964" s="203" t="s">
        <v>1164</v>
      </c>
      <c r="C964" s="514" t="s">
        <v>2802</v>
      </c>
      <c r="D964" s="203">
        <v>46105</v>
      </c>
      <c r="E964" s="203" t="s">
        <v>783</v>
      </c>
      <c r="F964" s="645">
        <v>46099</v>
      </c>
      <c r="G964" s="627" t="s">
        <v>2666</v>
      </c>
    </row>
    <row r="965" spans="1:7" ht="15.75" hidden="1" customHeight="1">
      <c r="A965" s="203">
        <v>46113</v>
      </c>
      <c r="B965" s="203" t="s">
        <v>412</v>
      </c>
      <c r="C965" s="514" t="s">
        <v>2803</v>
      </c>
      <c r="D965" s="203">
        <v>46121</v>
      </c>
      <c r="E965" s="203" t="s">
        <v>783</v>
      </c>
      <c r="F965" s="645">
        <v>46113</v>
      </c>
      <c r="G965" s="152" t="s">
        <v>2730</v>
      </c>
    </row>
    <row r="966" spans="1:7" ht="15.75" hidden="1" customHeight="1">
      <c r="A966" s="203">
        <v>46114</v>
      </c>
      <c r="B966" s="203" t="s">
        <v>796</v>
      </c>
      <c r="C966" s="514" t="s">
        <v>2804</v>
      </c>
      <c r="D966" s="203">
        <v>46121</v>
      </c>
      <c r="E966" s="203" t="s">
        <v>783</v>
      </c>
      <c r="F966" s="645">
        <v>46119</v>
      </c>
      <c r="G966" s="152"/>
    </row>
    <row r="967" spans="1:7" ht="15.75" hidden="1" customHeight="1">
      <c r="A967" s="203">
        <v>46118</v>
      </c>
      <c r="B967" s="203" t="s">
        <v>2805</v>
      </c>
      <c r="C967" s="514" t="s">
        <v>2806</v>
      </c>
      <c r="D967" s="203" t="s">
        <v>672</v>
      </c>
      <c r="E967" s="203" t="s">
        <v>783</v>
      </c>
      <c r="F967" s="645">
        <v>46119</v>
      </c>
      <c r="G967" s="655" t="s">
        <v>2807</v>
      </c>
    </row>
    <row r="968" spans="1:7" ht="15.75" hidden="1" customHeight="1">
      <c r="A968" s="436">
        <v>46119</v>
      </c>
      <c r="B968" s="436" t="s">
        <v>320</v>
      </c>
      <c r="C968" s="610" t="s">
        <v>2808</v>
      </c>
      <c r="D968" s="436">
        <v>46125</v>
      </c>
      <c r="E968" s="436" t="s">
        <v>783</v>
      </c>
      <c r="F968" s="203">
        <v>46125</v>
      </c>
      <c r="G968" s="152" t="s">
        <v>2499</v>
      </c>
    </row>
    <row r="969" spans="1:7" s="658" customFormat="1" ht="15.75" hidden="1" customHeight="1">
      <c r="A969" s="436">
        <v>46119</v>
      </c>
      <c r="B969" s="436" t="s">
        <v>320</v>
      </c>
      <c r="C969" s="610" t="s">
        <v>2809</v>
      </c>
      <c r="D969" s="436">
        <v>46125</v>
      </c>
      <c r="E969" s="436" t="s">
        <v>783</v>
      </c>
      <c r="F969" s="203">
        <v>46125</v>
      </c>
      <c r="G969" s="152" t="s">
        <v>2499</v>
      </c>
    </row>
    <row r="970" spans="1:7" ht="15.75" hidden="1" customHeight="1">
      <c r="A970" s="203">
        <v>46120</v>
      </c>
      <c r="B970" s="203" t="s">
        <v>447</v>
      </c>
      <c r="C970" s="660" t="s">
        <v>2810</v>
      </c>
      <c r="D970" s="203">
        <v>46126</v>
      </c>
      <c r="E970" s="203" t="s">
        <v>783</v>
      </c>
      <c r="F970" s="203">
        <v>46128</v>
      </c>
      <c r="G970" s="152" t="s">
        <v>1402</v>
      </c>
    </row>
    <row r="971" spans="1:7" ht="15.75" hidden="1" customHeight="1">
      <c r="A971" s="203">
        <v>46121</v>
      </c>
      <c r="B971" s="203" t="s">
        <v>2811</v>
      </c>
      <c r="C971" s="660" t="s">
        <v>2812</v>
      </c>
      <c r="D971" s="203">
        <v>46127</v>
      </c>
      <c r="E971" s="203" t="s">
        <v>783</v>
      </c>
      <c r="F971" s="203">
        <v>46127</v>
      </c>
      <c r="G971" s="152" t="s">
        <v>2499</v>
      </c>
    </row>
    <row r="972" spans="1:7" ht="15.75" hidden="1" customHeight="1">
      <c r="A972" s="203">
        <v>46121</v>
      </c>
      <c r="B972" s="203" t="s">
        <v>320</v>
      </c>
      <c r="C972" s="280" t="s">
        <v>2813</v>
      </c>
      <c r="D972" s="203">
        <v>46128</v>
      </c>
      <c r="E972" s="203" t="s">
        <v>783</v>
      </c>
      <c r="F972" s="203">
        <v>46126</v>
      </c>
      <c r="G972" s="152" t="s">
        <v>2499</v>
      </c>
    </row>
    <row r="973" spans="1:7" ht="15.75" hidden="1" customHeight="1">
      <c r="A973" s="203">
        <v>46124</v>
      </c>
      <c r="B973" s="203" t="s">
        <v>178</v>
      </c>
      <c r="C973" s="145" t="s">
        <v>2814</v>
      </c>
      <c r="D973" s="203">
        <v>46128</v>
      </c>
      <c r="E973" s="203" t="s">
        <v>783</v>
      </c>
      <c r="F973" s="203">
        <v>46128</v>
      </c>
      <c r="G973" s="152" t="s">
        <v>2494</v>
      </c>
    </row>
    <row r="974" spans="1:7" ht="15.75" hidden="1" customHeight="1">
      <c r="A974" s="203">
        <v>46125</v>
      </c>
      <c r="B974" s="203" t="s">
        <v>2632</v>
      </c>
      <c r="C974" s="660" t="s">
        <v>2815</v>
      </c>
      <c r="D974" s="203">
        <v>46132</v>
      </c>
      <c r="E974" s="203" t="s">
        <v>783</v>
      </c>
      <c r="F974" s="203">
        <v>46127</v>
      </c>
      <c r="G974" s="152" t="s">
        <v>2494</v>
      </c>
    </row>
    <row r="975" spans="1:7" ht="15.75" hidden="1" customHeight="1">
      <c r="A975" s="203">
        <v>46125</v>
      </c>
      <c r="B975" s="203" t="s">
        <v>2313</v>
      </c>
      <c r="C975" s="660" t="s">
        <v>2816</v>
      </c>
      <c r="D975" s="203">
        <v>46132</v>
      </c>
      <c r="E975" s="203" t="s">
        <v>783</v>
      </c>
      <c r="F975" s="203">
        <v>46128</v>
      </c>
      <c r="G975" s="152" t="s">
        <v>2494</v>
      </c>
    </row>
    <row r="976" spans="1:7" ht="15.75" hidden="1" customHeight="1">
      <c r="A976" s="203">
        <v>46125</v>
      </c>
      <c r="B976" s="203" t="s">
        <v>2632</v>
      </c>
      <c r="C976" s="660" t="s">
        <v>2817</v>
      </c>
      <c r="D976" s="203">
        <v>46129</v>
      </c>
      <c r="E976" s="203" t="s">
        <v>783</v>
      </c>
      <c r="F976" s="203">
        <v>46128</v>
      </c>
      <c r="G976" s="152" t="s">
        <v>2494</v>
      </c>
    </row>
    <row r="977" spans="1:7" ht="15.75" hidden="1" customHeight="1">
      <c r="A977" s="203">
        <v>46126</v>
      </c>
      <c r="B977" s="203" t="s">
        <v>178</v>
      </c>
      <c r="C977" s="660" t="s">
        <v>2818</v>
      </c>
      <c r="D977" s="203">
        <v>46132</v>
      </c>
      <c r="E977" s="203" t="s">
        <v>783</v>
      </c>
      <c r="F977" s="203">
        <v>46132</v>
      </c>
      <c r="G977" s="152" t="s">
        <v>2649</v>
      </c>
    </row>
    <row r="978" spans="1:7" ht="15.75" hidden="1" customHeight="1">
      <c r="A978" s="203">
        <v>46126</v>
      </c>
      <c r="B978" s="203" t="s">
        <v>2811</v>
      </c>
      <c r="C978" s="660" t="s">
        <v>2819</v>
      </c>
      <c r="D978" s="203">
        <v>46132</v>
      </c>
      <c r="E978" s="203" t="s">
        <v>783</v>
      </c>
      <c r="F978" s="203">
        <v>46132</v>
      </c>
      <c r="G978" s="152" t="s">
        <v>2499</v>
      </c>
    </row>
    <row r="979" spans="1:7" ht="15.75" hidden="1" customHeight="1">
      <c r="A979" s="203">
        <v>46125</v>
      </c>
      <c r="B979" s="203" t="s">
        <v>320</v>
      </c>
      <c r="C979" s="280" t="s">
        <v>2820</v>
      </c>
      <c r="D979" s="203">
        <v>46125</v>
      </c>
      <c r="E979" s="203" t="s">
        <v>783</v>
      </c>
      <c r="F979" s="203">
        <v>46125</v>
      </c>
      <c r="G979" s="152" t="s">
        <v>2499</v>
      </c>
    </row>
    <row r="980" spans="1:7" ht="15.75" hidden="1" customHeight="1">
      <c r="A980" s="659">
        <v>46112</v>
      </c>
      <c r="B980" s="8" t="s">
        <v>435</v>
      </c>
      <c r="C980" s="145" t="s">
        <v>2821</v>
      </c>
      <c r="D980" s="495">
        <v>46125</v>
      </c>
      <c r="E980" s="255" t="s">
        <v>783</v>
      </c>
      <c r="F980" s="286">
        <v>46125</v>
      </c>
      <c r="G980" s="475" t="s">
        <v>2494</v>
      </c>
    </row>
    <row r="981" spans="1:7" ht="15.75" hidden="1" customHeight="1">
      <c r="A981" s="203">
        <v>46126</v>
      </c>
      <c r="B981" s="203" t="s">
        <v>1164</v>
      </c>
      <c r="C981" s="660" t="s">
        <v>2822</v>
      </c>
      <c r="D981" s="203">
        <v>46122</v>
      </c>
      <c r="E981" s="203" t="s">
        <v>783</v>
      </c>
      <c r="F981" s="203">
        <v>46126</v>
      </c>
      <c r="G981" s="152" t="s">
        <v>2494</v>
      </c>
    </row>
    <row r="982" spans="1:7" ht="15.75" hidden="1" customHeight="1">
      <c r="A982" s="203">
        <v>46126</v>
      </c>
      <c r="B982" s="203" t="s">
        <v>213</v>
      </c>
      <c r="C982" s="660" t="s">
        <v>2823</v>
      </c>
      <c r="D982" s="203">
        <v>46129</v>
      </c>
      <c r="E982" s="203" t="s">
        <v>783</v>
      </c>
      <c r="F982" s="203">
        <v>46126</v>
      </c>
      <c r="G982" s="152" t="s">
        <v>2494</v>
      </c>
    </row>
    <row r="983" spans="1:7" ht="15.75" hidden="1" customHeight="1">
      <c r="A983" s="203">
        <v>46127</v>
      </c>
      <c r="B983" s="203" t="s">
        <v>363</v>
      </c>
      <c r="C983" s="660" t="s">
        <v>2824</v>
      </c>
      <c r="D983" s="203">
        <v>46132</v>
      </c>
      <c r="E983" s="203" t="s">
        <v>783</v>
      </c>
      <c r="F983" s="203">
        <v>46128</v>
      </c>
      <c r="G983" s="152" t="s">
        <v>2494</v>
      </c>
    </row>
    <row r="984" spans="1:7" ht="15.75" hidden="1" customHeight="1">
      <c r="A984" s="203">
        <v>46128</v>
      </c>
      <c r="B984" s="203" t="s">
        <v>1164</v>
      </c>
      <c r="C984" s="660" t="s">
        <v>2825</v>
      </c>
      <c r="D984" s="203">
        <v>46132</v>
      </c>
      <c r="E984" s="203" t="s">
        <v>783</v>
      </c>
      <c r="F984" s="203">
        <v>46132</v>
      </c>
      <c r="G984" s="152" t="s">
        <v>2494</v>
      </c>
    </row>
    <row r="985" spans="1:7" ht="15.75" hidden="1" customHeight="1">
      <c r="A985" s="203">
        <v>46129</v>
      </c>
      <c r="B985" s="203" t="s">
        <v>320</v>
      </c>
      <c r="C985" s="660" t="s">
        <v>2826</v>
      </c>
      <c r="D985" s="203">
        <v>46133</v>
      </c>
      <c r="E985" s="203" t="s">
        <v>783</v>
      </c>
      <c r="F985" s="203">
        <v>46132</v>
      </c>
      <c r="G985" s="152" t="s">
        <v>1402</v>
      </c>
    </row>
    <row r="986" spans="1:7" ht="15.75" hidden="1" customHeight="1">
      <c r="A986" s="203">
        <v>46129</v>
      </c>
      <c r="B986" s="203" t="s">
        <v>363</v>
      </c>
      <c r="C986" s="660" t="s">
        <v>2824</v>
      </c>
      <c r="D986" s="203">
        <v>46132</v>
      </c>
      <c r="E986" s="203" t="s">
        <v>783</v>
      </c>
      <c r="F986" s="203">
        <v>46132</v>
      </c>
      <c r="G986" s="152" t="s">
        <v>2649</v>
      </c>
    </row>
    <row r="987" spans="1:7" ht="15.75" hidden="1" customHeight="1">
      <c r="A987" s="203">
        <v>46132</v>
      </c>
      <c r="B987" s="203" t="s">
        <v>447</v>
      </c>
      <c r="C987" s="660" t="s">
        <v>2827</v>
      </c>
      <c r="D987" s="203">
        <v>46134</v>
      </c>
      <c r="E987" s="203" t="s">
        <v>783</v>
      </c>
      <c r="F987" s="203">
        <v>46132</v>
      </c>
      <c r="G987" s="152" t="s">
        <v>2494</v>
      </c>
    </row>
    <row r="988" spans="1:7" ht="15.75" hidden="1" customHeight="1">
      <c r="A988" s="203">
        <v>46132</v>
      </c>
      <c r="B988" s="203" t="s">
        <v>1343</v>
      </c>
      <c r="C988" s="660" t="s">
        <v>2828</v>
      </c>
      <c r="D988" s="203">
        <v>46134</v>
      </c>
      <c r="E988" s="203" t="s">
        <v>783</v>
      </c>
      <c r="F988" s="203">
        <v>46133</v>
      </c>
      <c r="G988" s="152" t="s">
        <v>2829</v>
      </c>
    </row>
    <row r="989" spans="1:7" ht="15.75" hidden="1" customHeight="1">
      <c r="A989" s="203">
        <v>46132</v>
      </c>
      <c r="B989" s="203" t="s">
        <v>412</v>
      </c>
      <c r="C989" s="660" t="s">
        <v>2828</v>
      </c>
      <c r="D989" s="203">
        <v>46134</v>
      </c>
      <c r="E989" s="203" t="s">
        <v>783</v>
      </c>
      <c r="F989" s="203">
        <v>46133</v>
      </c>
      <c r="G989" s="152" t="s">
        <v>2829</v>
      </c>
    </row>
    <row r="990" spans="1:7" ht="15.75" hidden="1" customHeight="1">
      <c r="A990" s="203">
        <v>46132</v>
      </c>
      <c r="B990" s="203" t="s">
        <v>417</v>
      </c>
      <c r="C990" s="660" t="s">
        <v>2828</v>
      </c>
      <c r="D990" s="203">
        <v>46134</v>
      </c>
      <c r="E990" s="203" t="s">
        <v>783</v>
      </c>
      <c r="F990" s="203">
        <v>46133</v>
      </c>
      <c r="G990" s="152" t="s">
        <v>2829</v>
      </c>
    </row>
    <row r="991" spans="1:7" ht="15.75" hidden="1" customHeight="1">
      <c r="A991" s="203">
        <v>46132</v>
      </c>
      <c r="B991" s="203" t="s">
        <v>267</v>
      </c>
      <c r="C991" s="660" t="s">
        <v>2819</v>
      </c>
      <c r="D991" s="203">
        <v>46132</v>
      </c>
      <c r="E991" s="203" t="s">
        <v>783</v>
      </c>
      <c r="F991" s="203">
        <v>46132</v>
      </c>
      <c r="G991" s="152" t="s">
        <v>2499</v>
      </c>
    </row>
    <row r="992" spans="1:7" ht="15.75" hidden="1" customHeight="1">
      <c r="A992" s="203">
        <v>46132</v>
      </c>
      <c r="B992" s="203" t="s">
        <v>320</v>
      </c>
      <c r="C992" s="660" t="s">
        <v>2830</v>
      </c>
      <c r="D992" s="203">
        <v>46132</v>
      </c>
      <c r="E992" s="203" t="s">
        <v>783</v>
      </c>
      <c r="F992" s="203">
        <v>46132</v>
      </c>
      <c r="G992" s="152" t="s">
        <v>2499</v>
      </c>
    </row>
    <row r="993" spans="1:7" ht="15.75" hidden="1" customHeight="1">
      <c r="A993" s="203">
        <v>46132</v>
      </c>
      <c r="B993" s="203" t="s">
        <v>2831</v>
      </c>
      <c r="C993" s="660" t="s">
        <v>2832</v>
      </c>
      <c r="D993" s="203">
        <v>46135</v>
      </c>
      <c r="E993" s="203" t="s">
        <v>783</v>
      </c>
      <c r="F993" s="203">
        <v>46133</v>
      </c>
      <c r="G993" s="152" t="s">
        <v>2494</v>
      </c>
    </row>
    <row r="994" spans="1:7" ht="15.75" hidden="1" customHeight="1">
      <c r="A994" s="203">
        <v>46135</v>
      </c>
      <c r="B994" s="203" t="s">
        <v>379</v>
      </c>
      <c r="C994" s="660" t="s">
        <v>2833</v>
      </c>
      <c r="D994" s="203">
        <v>46140</v>
      </c>
      <c r="E994" s="203" t="s">
        <v>783</v>
      </c>
      <c r="F994" s="203">
        <v>46139</v>
      </c>
      <c r="G994" s="152" t="s">
        <v>2494</v>
      </c>
    </row>
    <row r="995" spans="1:7" ht="15.75" hidden="1" customHeight="1">
      <c r="A995" s="203">
        <v>46135</v>
      </c>
      <c r="B995" s="203" t="s">
        <v>126</v>
      </c>
      <c r="C995" s="660" t="s">
        <v>2834</v>
      </c>
      <c r="D995" s="203">
        <v>46142</v>
      </c>
      <c r="E995" s="203" t="s">
        <v>783</v>
      </c>
      <c r="F995" s="203">
        <v>46139</v>
      </c>
      <c r="G995" s="152" t="s">
        <v>2494</v>
      </c>
    </row>
    <row r="996" spans="1:7" ht="15.75" hidden="1" customHeight="1">
      <c r="A996" s="203">
        <v>46139</v>
      </c>
      <c r="B996" s="203" t="s">
        <v>320</v>
      </c>
      <c r="C996" s="660" t="s">
        <v>2835</v>
      </c>
      <c r="D996" s="203">
        <v>46143</v>
      </c>
      <c r="E996" s="203" t="s">
        <v>783</v>
      </c>
      <c r="F996" s="203">
        <v>46140</v>
      </c>
      <c r="G996" s="152" t="s">
        <v>2499</v>
      </c>
    </row>
    <row r="997" spans="1:7" ht="15.75" hidden="1" customHeight="1">
      <c r="A997" s="203">
        <v>46140</v>
      </c>
      <c r="B997" s="203" t="s">
        <v>320</v>
      </c>
      <c r="C997" s="660" t="s">
        <v>2836</v>
      </c>
      <c r="D997" s="203">
        <v>46141</v>
      </c>
      <c r="E997" s="203" t="s">
        <v>783</v>
      </c>
      <c r="F997" s="203">
        <v>46140</v>
      </c>
      <c r="G997" s="152" t="s">
        <v>2499</v>
      </c>
    </row>
    <row r="998" spans="1:7" ht="15.75" hidden="1" customHeight="1">
      <c r="A998" s="203">
        <v>46140</v>
      </c>
      <c r="B998" s="203" t="s">
        <v>320</v>
      </c>
      <c r="C998" s="660" t="s">
        <v>2837</v>
      </c>
      <c r="D998" s="203">
        <v>46142</v>
      </c>
      <c r="E998" s="203" t="s">
        <v>783</v>
      </c>
      <c r="F998" s="203">
        <v>46140</v>
      </c>
      <c r="G998" s="152" t="s">
        <v>2499</v>
      </c>
    </row>
    <row r="999" spans="1:7" ht="15.75" hidden="1" customHeight="1">
      <c r="A999" s="203">
        <v>46140</v>
      </c>
      <c r="B999" s="203" t="s">
        <v>320</v>
      </c>
      <c r="C999" s="660" t="s">
        <v>2838</v>
      </c>
      <c r="D999" s="203">
        <v>46143</v>
      </c>
      <c r="E999" s="203" t="s">
        <v>783</v>
      </c>
      <c r="F999" s="203">
        <v>46140</v>
      </c>
      <c r="G999" s="152" t="s">
        <v>2499</v>
      </c>
    </row>
    <row r="1000" spans="1:7" ht="15.75" hidden="1" customHeight="1">
      <c r="A1000" s="203">
        <v>46140</v>
      </c>
      <c r="B1000" s="203" t="s">
        <v>796</v>
      </c>
      <c r="C1000" s="660" t="s">
        <v>2839</v>
      </c>
      <c r="D1000" s="203">
        <v>46142</v>
      </c>
      <c r="E1000" s="203" t="s">
        <v>783</v>
      </c>
      <c r="F1000" s="203">
        <v>46142</v>
      </c>
      <c r="G1000" s="152" t="s">
        <v>2494</v>
      </c>
    </row>
    <row r="1001" spans="1:7" ht="15.75" hidden="1" customHeight="1">
      <c r="A1001" s="203">
        <v>46140</v>
      </c>
      <c r="B1001" s="203" t="s">
        <v>320</v>
      </c>
      <c r="C1001" s="660" t="s">
        <v>2840</v>
      </c>
      <c r="D1001" s="203">
        <v>46143</v>
      </c>
      <c r="E1001" s="203" t="s">
        <v>783</v>
      </c>
      <c r="F1001" s="203">
        <v>46140</v>
      </c>
      <c r="G1001" s="152" t="s">
        <v>1402</v>
      </c>
    </row>
    <row r="1002" spans="1:7" ht="15.75" hidden="1" customHeight="1">
      <c r="A1002" s="203">
        <v>46139</v>
      </c>
      <c r="B1002" s="203" t="s">
        <v>229</v>
      </c>
      <c r="C1002" s="660" t="s">
        <v>2841</v>
      </c>
      <c r="D1002" s="203">
        <v>46141</v>
      </c>
      <c r="E1002" s="203" t="s">
        <v>783</v>
      </c>
      <c r="F1002" s="203">
        <v>46141</v>
      </c>
      <c r="G1002" s="152" t="s">
        <v>2499</v>
      </c>
    </row>
    <row r="1003" spans="1:7" ht="15.75" hidden="1" customHeight="1">
      <c r="A1003" s="203">
        <v>46142</v>
      </c>
      <c r="B1003" s="203" t="s">
        <v>178</v>
      </c>
      <c r="C1003" s="660" t="s">
        <v>2842</v>
      </c>
      <c r="D1003" s="203">
        <v>46149</v>
      </c>
      <c r="E1003" s="203" t="s">
        <v>783</v>
      </c>
      <c r="F1003" s="203">
        <v>46148</v>
      </c>
      <c r="G1003" s="152" t="s">
        <v>2494</v>
      </c>
    </row>
    <row r="1004" spans="1:7" ht="15.75" hidden="1" customHeight="1">
      <c r="A1004" s="203">
        <v>46142</v>
      </c>
      <c r="B1004" s="203" t="s">
        <v>267</v>
      </c>
      <c r="C1004" s="660" t="s">
        <v>2843</v>
      </c>
      <c r="D1004" s="203">
        <v>46148</v>
      </c>
      <c r="E1004" s="203" t="s">
        <v>783</v>
      </c>
      <c r="F1004" s="203">
        <v>46148</v>
      </c>
      <c r="G1004" s="152" t="s">
        <v>2494</v>
      </c>
    </row>
    <row r="1005" spans="1:7" ht="15.75" hidden="1" customHeight="1">
      <c r="A1005" s="203">
        <v>46143</v>
      </c>
      <c r="B1005" s="203" t="s">
        <v>352</v>
      </c>
      <c r="C1005" s="705" t="s">
        <v>2844</v>
      </c>
      <c r="D1005" s="203">
        <v>46143</v>
      </c>
      <c r="E1005" s="203" t="s">
        <v>783</v>
      </c>
      <c r="F1005" s="203">
        <v>46143</v>
      </c>
      <c r="G1005" s="555" t="s">
        <v>2494</v>
      </c>
    </row>
    <row r="1006" spans="1:7" ht="15.75" hidden="1" customHeight="1">
      <c r="A1006" s="203">
        <v>46146</v>
      </c>
      <c r="B1006" s="203" t="s">
        <v>2845</v>
      </c>
      <c r="C1006" s="705" t="s">
        <v>2846</v>
      </c>
      <c r="D1006" s="203">
        <v>46154</v>
      </c>
      <c r="E1006" s="203" t="s">
        <v>783</v>
      </c>
      <c r="F1006" s="203">
        <v>46146</v>
      </c>
      <c r="G1006" s="555" t="s">
        <v>2494</v>
      </c>
    </row>
    <row r="1007" spans="1:7" ht="15.75" hidden="1" customHeight="1">
      <c r="A1007" s="203">
        <v>46146</v>
      </c>
      <c r="B1007" s="203" t="s">
        <v>126</v>
      </c>
      <c r="C1007" s="705" t="s">
        <v>2847</v>
      </c>
      <c r="D1007" s="203">
        <v>46150</v>
      </c>
      <c r="E1007" s="203" t="s">
        <v>783</v>
      </c>
      <c r="F1007" s="203">
        <v>46147</v>
      </c>
      <c r="G1007" s="555" t="s">
        <v>2499</v>
      </c>
    </row>
    <row r="1008" spans="1:7" ht="15.75" hidden="1" customHeight="1">
      <c r="A1008" s="203">
        <v>46146</v>
      </c>
      <c r="B1008" s="203" t="s">
        <v>521</v>
      </c>
      <c r="C1008" s="705" t="s">
        <v>2848</v>
      </c>
      <c r="D1008" s="203">
        <v>46148</v>
      </c>
      <c r="E1008" s="203" t="s">
        <v>783</v>
      </c>
      <c r="F1008" s="203">
        <v>46146</v>
      </c>
      <c r="G1008" s="555" t="s">
        <v>2849</v>
      </c>
    </row>
    <row r="1009" spans="1:7" ht="15.75" hidden="1" customHeight="1">
      <c r="A1009" s="203">
        <v>46146</v>
      </c>
      <c r="B1009" s="203" t="s">
        <v>521</v>
      </c>
      <c r="C1009" s="705" t="s">
        <v>2850</v>
      </c>
      <c r="D1009" s="203">
        <v>46148</v>
      </c>
      <c r="E1009" s="203" t="s">
        <v>783</v>
      </c>
      <c r="F1009" s="203">
        <v>46146</v>
      </c>
      <c r="G1009" s="555" t="s">
        <v>2849</v>
      </c>
    </row>
    <row r="1010" spans="1:7" ht="15.75" hidden="1" customHeight="1">
      <c r="A1010" s="203">
        <v>46146</v>
      </c>
      <c r="B1010" s="203" t="s">
        <v>1391</v>
      </c>
      <c r="C1010" s="705" t="s">
        <v>2851</v>
      </c>
      <c r="D1010" s="203">
        <v>46153</v>
      </c>
      <c r="E1010" s="203" t="s">
        <v>783</v>
      </c>
      <c r="F1010" s="203">
        <v>46153</v>
      </c>
      <c r="G1010" s="555" t="s">
        <v>2499</v>
      </c>
    </row>
    <row r="1011" spans="1:7" ht="15.75" hidden="1" customHeight="1">
      <c r="A1011" s="203">
        <v>46146</v>
      </c>
      <c r="B1011" s="203" t="s">
        <v>1391</v>
      </c>
      <c r="C1011" s="705" t="s">
        <v>2852</v>
      </c>
      <c r="D1011" s="203">
        <v>46153</v>
      </c>
      <c r="E1011" s="203" t="s">
        <v>783</v>
      </c>
      <c r="F1011" s="203">
        <v>46153</v>
      </c>
      <c r="G1011" s="555" t="s">
        <v>2499</v>
      </c>
    </row>
    <row r="1012" spans="1:7" ht="15.75" hidden="1" customHeight="1">
      <c r="A1012" s="203">
        <v>46148</v>
      </c>
      <c r="B1012" s="203" t="s">
        <v>267</v>
      </c>
      <c r="C1012" s="705" t="s">
        <v>2853</v>
      </c>
      <c r="D1012" s="203">
        <v>46148</v>
      </c>
      <c r="E1012" s="203" t="s">
        <v>783</v>
      </c>
      <c r="F1012" s="203">
        <v>46153</v>
      </c>
      <c r="G1012" s="555" t="s">
        <v>2494</v>
      </c>
    </row>
    <row r="1013" spans="1:7" ht="15.75" hidden="1" customHeight="1">
      <c r="A1013" s="203">
        <v>46146</v>
      </c>
      <c r="B1013" s="203" t="s">
        <v>229</v>
      </c>
      <c r="C1013" s="705" t="s">
        <v>2854</v>
      </c>
      <c r="D1013" s="203">
        <v>46150</v>
      </c>
      <c r="E1013" s="203" t="s">
        <v>783</v>
      </c>
      <c r="F1013" s="203">
        <v>46153</v>
      </c>
      <c r="G1013" s="555" t="s">
        <v>2499</v>
      </c>
    </row>
    <row r="1014" spans="1:7" ht="15.75" hidden="1" customHeight="1">
      <c r="A1014" s="203">
        <v>46148</v>
      </c>
      <c r="B1014" s="203" t="s">
        <v>267</v>
      </c>
      <c r="C1014" s="705" t="s">
        <v>2855</v>
      </c>
      <c r="D1014" s="203">
        <v>46148</v>
      </c>
      <c r="E1014" s="203" t="s">
        <v>783</v>
      </c>
      <c r="F1014" s="203">
        <v>46148</v>
      </c>
      <c r="G1014" s="555" t="s">
        <v>2494</v>
      </c>
    </row>
    <row r="1015" spans="1:7" ht="15.75" hidden="1" customHeight="1">
      <c r="A1015" s="203">
        <v>46148</v>
      </c>
      <c r="B1015" s="203" t="s">
        <v>171</v>
      </c>
      <c r="C1015" s="705" t="s">
        <v>2856</v>
      </c>
      <c r="D1015" s="203">
        <v>46148</v>
      </c>
      <c r="E1015" s="203" t="s">
        <v>783</v>
      </c>
      <c r="F1015" s="203">
        <v>46148</v>
      </c>
      <c r="G1015" s="555" t="s">
        <v>2494</v>
      </c>
    </row>
    <row r="1016" spans="1:7" ht="15.75" hidden="1" customHeight="1">
      <c r="A1016" s="203">
        <v>46148</v>
      </c>
      <c r="B1016" s="203" t="s">
        <v>171</v>
      </c>
      <c r="C1016" s="705" t="s">
        <v>2857</v>
      </c>
      <c r="D1016" s="203">
        <v>46148</v>
      </c>
      <c r="E1016" s="203" t="s">
        <v>783</v>
      </c>
      <c r="F1016" s="203">
        <v>46148</v>
      </c>
      <c r="G1016" s="555" t="s">
        <v>2494</v>
      </c>
    </row>
    <row r="1017" spans="1:7" ht="15.75" hidden="1" customHeight="1">
      <c r="A1017" s="203">
        <v>46148</v>
      </c>
      <c r="B1017" s="203" t="s">
        <v>171</v>
      </c>
      <c r="C1017" s="705" t="s">
        <v>2796</v>
      </c>
      <c r="D1017" s="203">
        <v>46148</v>
      </c>
      <c r="E1017" s="203" t="s">
        <v>783</v>
      </c>
      <c r="F1017" s="203">
        <v>46148</v>
      </c>
      <c r="G1017" s="555" t="s">
        <v>2494</v>
      </c>
    </row>
    <row r="1018" spans="1:7" ht="15.75" hidden="1" customHeight="1">
      <c r="A1018" s="203">
        <v>46149</v>
      </c>
      <c r="B1018" s="203" t="s">
        <v>379</v>
      </c>
      <c r="C1018" s="705" t="s">
        <v>2858</v>
      </c>
      <c r="D1018" s="203">
        <v>46156</v>
      </c>
      <c r="E1018" s="203" t="s">
        <v>783</v>
      </c>
      <c r="F1018" s="203">
        <v>46155</v>
      </c>
      <c r="G1018" s="555" t="s">
        <v>1402</v>
      </c>
    </row>
    <row r="1019" spans="1:7" ht="15.75" hidden="1" customHeight="1">
      <c r="A1019" s="203">
        <v>46149</v>
      </c>
      <c r="B1019" s="203" t="s">
        <v>1164</v>
      </c>
      <c r="C1019" s="705" t="s">
        <v>2859</v>
      </c>
      <c r="D1019" s="203">
        <v>46153</v>
      </c>
      <c r="E1019" s="203" t="s">
        <v>783</v>
      </c>
      <c r="F1019" s="203">
        <v>46155</v>
      </c>
      <c r="G1019" s="555" t="s">
        <v>2860</v>
      </c>
    </row>
    <row r="1020" spans="1:7" ht="15.75" hidden="1" customHeight="1">
      <c r="A1020" s="203">
        <v>46149</v>
      </c>
      <c r="B1020" s="203" t="s">
        <v>379</v>
      </c>
      <c r="C1020" s="705" t="s">
        <v>2861</v>
      </c>
      <c r="D1020" s="203">
        <v>46156</v>
      </c>
      <c r="E1020" s="203" t="s">
        <v>783</v>
      </c>
      <c r="F1020" s="203">
        <v>46155</v>
      </c>
      <c r="G1020" s="555" t="s">
        <v>1402</v>
      </c>
    </row>
    <row r="1021" spans="1:7" ht="15.75" hidden="1" customHeight="1">
      <c r="A1021" s="203">
        <v>46149</v>
      </c>
      <c r="B1021" s="203" t="s">
        <v>379</v>
      </c>
      <c r="C1021" s="705" t="s">
        <v>2862</v>
      </c>
      <c r="D1021" s="203">
        <v>46156</v>
      </c>
      <c r="E1021" s="203" t="s">
        <v>783</v>
      </c>
      <c r="F1021" s="203">
        <v>46155</v>
      </c>
      <c r="G1021" s="555" t="s">
        <v>1402</v>
      </c>
    </row>
    <row r="1022" spans="1:7" ht="15.75" hidden="1" customHeight="1">
      <c r="A1022" s="203">
        <v>46149</v>
      </c>
      <c r="B1022" s="203" t="s">
        <v>379</v>
      </c>
      <c r="C1022" s="705" t="s">
        <v>2863</v>
      </c>
      <c r="D1022" s="203">
        <v>46156</v>
      </c>
      <c r="E1022" s="203" t="s">
        <v>783</v>
      </c>
      <c r="F1022" s="203">
        <v>46155</v>
      </c>
      <c r="G1022" s="555" t="s">
        <v>1402</v>
      </c>
    </row>
    <row r="1023" spans="1:7" ht="15.75" hidden="1" customHeight="1">
      <c r="A1023" s="203">
        <v>46149</v>
      </c>
      <c r="B1023" s="203" t="s">
        <v>379</v>
      </c>
      <c r="C1023" s="705" t="s">
        <v>2864</v>
      </c>
      <c r="D1023" s="203">
        <v>46156</v>
      </c>
      <c r="E1023" s="203" t="s">
        <v>783</v>
      </c>
      <c r="F1023" s="203">
        <v>46155</v>
      </c>
      <c r="G1023" s="555" t="s">
        <v>1402</v>
      </c>
    </row>
    <row r="1024" spans="1:7" ht="15.75" hidden="1" customHeight="1">
      <c r="A1024" s="203">
        <v>46149</v>
      </c>
      <c r="B1024" s="203" t="s">
        <v>379</v>
      </c>
      <c r="C1024" s="705" t="s">
        <v>2865</v>
      </c>
      <c r="D1024" s="203">
        <v>46156</v>
      </c>
      <c r="E1024" s="203" t="s">
        <v>783</v>
      </c>
      <c r="F1024" s="203">
        <v>46155</v>
      </c>
      <c r="G1024" s="555" t="s">
        <v>1402</v>
      </c>
    </row>
    <row r="1025" spans="1:7" ht="15.75" hidden="1" customHeight="1">
      <c r="A1025" s="203">
        <v>46149</v>
      </c>
      <c r="B1025" s="203" t="s">
        <v>412</v>
      </c>
      <c r="C1025" s="705" t="s">
        <v>2866</v>
      </c>
      <c r="D1025" s="203">
        <v>46161</v>
      </c>
      <c r="E1025" s="203" t="s">
        <v>783</v>
      </c>
      <c r="F1025" s="203">
        <v>46149</v>
      </c>
      <c r="G1025" s="555" t="s">
        <v>2494</v>
      </c>
    </row>
    <row r="1026" spans="1:7" ht="15.75" hidden="1" customHeight="1">
      <c r="A1026" s="203">
        <v>46149</v>
      </c>
      <c r="B1026" s="203" t="s">
        <v>1164</v>
      </c>
      <c r="C1026" s="705" t="s">
        <v>2867</v>
      </c>
      <c r="D1026" s="203">
        <v>46149</v>
      </c>
      <c r="E1026" s="203" t="s">
        <v>783</v>
      </c>
      <c r="F1026" s="203">
        <v>46149</v>
      </c>
      <c r="G1026" s="555" t="s">
        <v>2740</v>
      </c>
    </row>
    <row r="1027" spans="1:7" ht="15.75" hidden="1" customHeight="1">
      <c r="A1027" s="203">
        <v>46150</v>
      </c>
      <c r="B1027" s="203" t="s">
        <v>267</v>
      </c>
      <c r="C1027" s="705" t="s">
        <v>2868</v>
      </c>
      <c r="D1027" s="203">
        <v>46154</v>
      </c>
      <c r="E1027" s="203" t="s">
        <v>783</v>
      </c>
      <c r="F1027" s="203">
        <v>46154</v>
      </c>
      <c r="G1027" s="555" t="s">
        <v>2494</v>
      </c>
    </row>
    <row r="1028" spans="1:7" ht="15.75" hidden="1" customHeight="1">
      <c r="A1028" s="203">
        <v>46150</v>
      </c>
      <c r="B1028" s="203" t="s">
        <v>267</v>
      </c>
      <c r="C1028" s="705" t="s">
        <v>2869</v>
      </c>
      <c r="D1028" s="203">
        <v>46154</v>
      </c>
      <c r="E1028" s="203" t="s">
        <v>783</v>
      </c>
      <c r="F1028" s="203">
        <v>46154</v>
      </c>
      <c r="G1028" s="555" t="s">
        <v>2494</v>
      </c>
    </row>
    <row r="1029" spans="1:7" ht="15.75" hidden="1" customHeight="1">
      <c r="A1029" s="203">
        <v>46153</v>
      </c>
      <c r="B1029" s="203" t="s">
        <v>417</v>
      </c>
      <c r="C1029" s="705" t="s">
        <v>2870</v>
      </c>
      <c r="D1029" s="203">
        <v>46157</v>
      </c>
      <c r="E1029" s="203" t="s">
        <v>783</v>
      </c>
      <c r="F1029" s="203">
        <v>46153</v>
      </c>
      <c r="G1029" s="555" t="s">
        <v>2871</v>
      </c>
    </row>
    <row r="1030" spans="1:7" ht="15.75" hidden="1" customHeight="1">
      <c r="A1030" s="203">
        <v>46153</v>
      </c>
      <c r="B1030" s="203" t="s">
        <v>412</v>
      </c>
      <c r="C1030" s="705" t="s">
        <v>2872</v>
      </c>
      <c r="D1030" s="203">
        <v>46157</v>
      </c>
      <c r="E1030" s="203" t="s">
        <v>783</v>
      </c>
      <c r="F1030" s="203">
        <v>46155</v>
      </c>
      <c r="G1030" s="555" t="s">
        <v>2494</v>
      </c>
    </row>
    <row r="1031" spans="1:7" ht="15.75" hidden="1" customHeight="1">
      <c r="A1031" s="203">
        <v>46154</v>
      </c>
      <c r="B1031" s="203" t="s">
        <v>267</v>
      </c>
      <c r="C1031" s="705" t="s">
        <v>2873</v>
      </c>
      <c r="D1031" s="203">
        <v>46161</v>
      </c>
      <c r="E1031" s="203" t="s">
        <v>783</v>
      </c>
      <c r="F1031" s="203">
        <v>46156</v>
      </c>
      <c r="G1031" s="555"/>
    </row>
    <row r="1032" spans="1:7" ht="15.75" hidden="1" customHeight="1">
      <c r="A1032" s="203">
        <v>46154</v>
      </c>
      <c r="B1032" s="203" t="s">
        <v>1164</v>
      </c>
      <c r="C1032" s="705" t="s">
        <v>2810</v>
      </c>
      <c r="D1032" s="203">
        <v>46161</v>
      </c>
      <c r="E1032" s="203" t="s">
        <v>783</v>
      </c>
      <c r="F1032" s="203">
        <v>46154</v>
      </c>
      <c r="G1032" s="555" t="s">
        <v>2874</v>
      </c>
    </row>
    <row r="1033" spans="1:7" ht="15.75" hidden="1" customHeight="1">
      <c r="A1033" s="203">
        <v>46154</v>
      </c>
      <c r="B1033" s="203" t="s">
        <v>178</v>
      </c>
      <c r="C1033" s="707" t="s">
        <v>2875</v>
      </c>
      <c r="D1033" s="203">
        <v>46161</v>
      </c>
      <c r="E1033" s="203" t="s">
        <v>2876</v>
      </c>
      <c r="F1033" s="203">
        <v>46162</v>
      </c>
      <c r="G1033" s="555" t="s">
        <v>2494</v>
      </c>
    </row>
    <row r="1034" spans="1:7" ht="15.75" hidden="1" customHeight="1">
      <c r="A1034" s="659">
        <v>46153</v>
      </c>
      <c r="B1034" s="8" t="s">
        <v>1361</v>
      </c>
      <c r="C1034" s="145" t="s">
        <v>2877</v>
      </c>
      <c r="D1034" s="495">
        <v>46157</v>
      </c>
      <c r="E1034" s="255" t="s">
        <v>783</v>
      </c>
      <c r="F1034" s="286">
        <v>46156</v>
      </c>
      <c r="G1034" s="475" t="s">
        <v>2494</v>
      </c>
    </row>
    <row r="1035" spans="1:7" ht="15.75" hidden="1" customHeight="1">
      <c r="A1035" s="203">
        <v>46155</v>
      </c>
      <c r="B1035" s="203" t="s">
        <v>379</v>
      </c>
      <c r="C1035" s="705" t="s">
        <v>2878</v>
      </c>
      <c r="D1035" s="203">
        <v>46134</v>
      </c>
      <c r="E1035" s="203" t="s">
        <v>783</v>
      </c>
      <c r="F1035" s="286">
        <v>46157</v>
      </c>
      <c r="G1035" s="475" t="s">
        <v>2879</v>
      </c>
    </row>
    <row r="1036" spans="1:7" ht="15.75" hidden="1" customHeight="1">
      <c r="A1036" s="203">
        <v>46155</v>
      </c>
      <c r="B1036" s="203" t="s">
        <v>379</v>
      </c>
      <c r="C1036" s="705" t="s">
        <v>2880</v>
      </c>
      <c r="D1036" s="203">
        <v>46139</v>
      </c>
      <c r="E1036" s="203" t="s">
        <v>783</v>
      </c>
      <c r="F1036" s="286">
        <v>46157</v>
      </c>
      <c r="G1036" s="475" t="s">
        <v>2548</v>
      </c>
    </row>
    <row r="1037" spans="1:7" ht="15.75" hidden="1" customHeight="1">
      <c r="A1037" s="203">
        <v>46155</v>
      </c>
      <c r="B1037" s="203" t="s">
        <v>379</v>
      </c>
      <c r="C1037" s="705" t="s">
        <v>2881</v>
      </c>
      <c r="D1037" s="203">
        <v>46139</v>
      </c>
      <c r="E1037" s="203" t="s">
        <v>783</v>
      </c>
      <c r="F1037" s="286">
        <v>46160</v>
      </c>
      <c r="G1037" s="475" t="s">
        <v>2494</v>
      </c>
    </row>
    <row r="1038" spans="1:7" ht="17.25" hidden="1" customHeight="1">
      <c r="A1038" s="203">
        <v>46156</v>
      </c>
      <c r="B1038" s="203" t="s">
        <v>126</v>
      </c>
      <c r="C1038" s="627" t="s">
        <v>2882</v>
      </c>
      <c r="D1038" s="203">
        <v>46161</v>
      </c>
      <c r="E1038" s="203" t="s">
        <v>783</v>
      </c>
      <c r="F1038" s="286">
        <v>46157</v>
      </c>
      <c r="G1038" s="475" t="s">
        <v>2548</v>
      </c>
    </row>
    <row r="1039" spans="1:7" ht="17.25" hidden="1" customHeight="1">
      <c r="A1039" s="203">
        <v>46156</v>
      </c>
      <c r="B1039" s="203" t="s">
        <v>126</v>
      </c>
      <c r="C1039" s="705" t="s">
        <v>2883</v>
      </c>
      <c r="D1039" s="203">
        <v>46161</v>
      </c>
      <c r="E1039" s="203" t="s">
        <v>783</v>
      </c>
      <c r="F1039" s="286">
        <v>46160</v>
      </c>
      <c r="G1039" s="475" t="s">
        <v>2494</v>
      </c>
    </row>
    <row r="1040" spans="1:7" ht="15.75" hidden="1" customHeight="1">
      <c r="A1040" s="203">
        <v>46156</v>
      </c>
      <c r="B1040" s="203" t="s">
        <v>126</v>
      </c>
      <c r="C1040" s="705" t="s">
        <v>2884</v>
      </c>
      <c r="D1040" s="203">
        <v>46161</v>
      </c>
      <c r="E1040" s="203" t="s">
        <v>783</v>
      </c>
      <c r="F1040" s="286">
        <v>46157</v>
      </c>
      <c r="G1040" s="475" t="s">
        <v>2548</v>
      </c>
    </row>
    <row r="1041" spans="1:7" ht="15.75" hidden="1" customHeight="1">
      <c r="A1041" s="659">
        <v>44699</v>
      </c>
      <c r="B1041" s="8" t="s">
        <v>990</v>
      </c>
      <c r="C1041" s="707" t="s">
        <v>2885</v>
      </c>
      <c r="D1041" s="495">
        <v>46164</v>
      </c>
      <c r="E1041" s="255" t="s">
        <v>783</v>
      </c>
      <c r="F1041" s="286">
        <v>46160</v>
      </c>
      <c r="G1041" s="475" t="s">
        <v>2494</v>
      </c>
    </row>
    <row r="1042" spans="1:7" ht="15.75" hidden="1" customHeight="1">
      <c r="A1042" s="203">
        <v>46161</v>
      </c>
      <c r="B1042" s="203" t="s">
        <v>267</v>
      </c>
      <c r="C1042" s="708" t="s">
        <v>2886</v>
      </c>
      <c r="D1042" s="203">
        <v>46168</v>
      </c>
      <c r="E1042" s="203" t="s">
        <v>783</v>
      </c>
      <c r="F1042" s="203">
        <v>46161</v>
      </c>
      <c r="G1042" s="555" t="s">
        <v>2499</v>
      </c>
    </row>
    <row r="1043" spans="1:7" ht="15.75" hidden="1" customHeight="1">
      <c r="A1043" s="203">
        <v>46161</v>
      </c>
      <c r="B1043" s="203" t="s">
        <v>417</v>
      </c>
      <c r="C1043" s="705" t="s">
        <v>2887</v>
      </c>
      <c r="D1043" s="203">
        <v>46168</v>
      </c>
      <c r="E1043" s="203" t="s">
        <v>783</v>
      </c>
      <c r="F1043" s="203">
        <v>46161</v>
      </c>
      <c r="G1043" s="555" t="s">
        <v>2499</v>
      </c>
    </row>
    <row r="1044" spans="1:7" ht="15.75" hidden="1" customHeight="1">
      <c r="A1044" s="203">
        <v>46161</v>
      </c>
      <c r="B1044" s="203" t="s">
        <v>267</v>
      </c>
      <c r="C1044" s="705" t="s">
        <v>2888</v>
      </c>
      <c r="D1044" s="203">
        <v>46168</v>
      </c>
      <c r="E1044" s="203" t="s">
        <v>783</v>
      </c>
      <c r="F1044" s="203">
        <v>46162</v>
      </c>
      <c r="G1044" s="555" t="s">
        <v>2499</v>
      </c>
    </row>
    <row r="1045" spans="1:7" ht="15.75" hidden="1" customHeight="1">
      <c r="A1045" s="203">
        <v>46161</v>
      </c>
      <c r="B1045" s="203" t="s">
        <v>435</v>
      </c>
      <c r="C1045" s="705" t="s">
        <v>2889</v>
      </c>
      <c r="D1045" s="203">
        <v>46168</v>
      </c>
      <c r="E1045" s="203" t="s">
        <v>783</v>
      </c>
      <c r="F1045" s="203">
        <v>46168</v>
      </c>
      <c r="G1045" s="555" t="s">
        <v>2494</v>
      </c>
    </row>
    <row r="1046" spans="1:7" ht="15.75" hidden="1" customHeight="1">
      <c r="A1046" s="203">
        <v>46161</v>
      </c>
      <c r="B1046" s="203" t="s">
        <v>267</v>
      </c>
      <c r="C1046" s="705" t="s">
        <v>2890</v>
      </c>
      <c r="D1046" s="203">
        <v>46168</v>
      </c>
      <c r="E1046" s="203" t="s">
        <v>783</v>
      </c>
      <c r="F1046" s="203">
        <v>46162</v>
      </c>
      <c r="G1046" s="555" t="s">
        <v>2499</v>
      </c>
    </row>
    <row r="1047" spans="1:7" ht="15.75" hidden="1" customHeight="1">
      <c r="A1047" s="203">
        <v>46163</v>
      </c>
      <c r="B1047" s="203" t="s">
        <v>126</v>
      </c>
      <c r="C1047" s="705" t="s">
        <v>2891</v>
      </c>
      <c r="D1047" s="203">
        <v>46170</v>
      </c>
      <c r="E1047" s="203" t="s">
        <v>783</v>
      </c>
      <c r="F1047" s="203">
        <v>46899</v>
      </c>
      <c r="G1047" s="555" t="s">
        <v>2499</v>
      </c>
    </row>
    <row r="1048" spans="1:7" ht="15.75" hidden="1" customHeight="1">
      <c r="A1048" s="203">
        <v>46163</v>
      </c>
      <c r="B1048" s="203" t="s">
        <v>126</v>
      </c>
      <c r="C1048" s="705" t="s">
        <v>2892</v>
      </c>
      <c r="D1048" s="203">
        <v>46170</v>
      </c>
      <c r="E1048" s="203" t="s">
        <v>783</v>
      </c>
      <c r="F1048" s="203">
        <v>46899</v>
      </c>
      <c r="G1048" s="555" t="s">
        <v>2499</v>
      </c>
    </row>
    <row r="1049" spans="1:7" ht="15.75" hidden="1" customHeight="1">
      <c r="A1049" s="203">
        <v>46163</v>
      </c>
      <c r="B1049" s="203" t="s">
        <v>229</v>
      </c>
      <c r="C1049" s="705" t="s">
        <v>2893</v>
      </c>
      <c r="D1049" s="203">
        <v>46165</v>
      </c>
      <c r="E1049" s="203" t="s">
        <v>783</v>
      </c>
      <c r="F1049" s="203">
        <v>46164</v>
      </c>
      <c r="G1049" s="555" t="s">
        <v>2894</v>
      </c>
    </row>
    <row r="1050" spans="1:7" ht="15.75" hidden="1" customHeight="1">
      <c r="A1050" s="203">
        <v>46168</v>
      </c>
      <c r="B1050" s="203" t="s">
        <v>171</v>
      </c>
      <c r="C1050" s="705" t="s">
        <v>2895</v>
      </c>
      <c r="D1050" s="203">
        <v>46170</v>
      </c>
      <c r="E1050" s="203" t="s">
        <v>783</v>
      </c>
      <c r="F1050" s="203">
        <v>46168</v>
      </c>
      <c r="G1050" s="555" t="s">
        <v>2494</v>
      </c>
    </row>
    <row r="1051" spans="1:7" ht="15.75" hidden="1" customHeight="1">
      <c r="A1051" s="203">
        <v>46162</v>
      </c>
      <c r="B1051" s="203" t="s">
        <v>229</v>
      </c>
      <c r="C1051" s="705" t="s">
        <v>2896</v>
      </c>
      <c r="D1051" s="203">
        <v>46162</v>
      </c>
      <c r="E1051" s="203" t="s">
        <v>783</v>
      </c>
      <c r="F1051" s="203">
        <v>46162</v>
      </c>
      <c r="G1051" s="555" t="s">
        <v>1402</v>
      </c>
    </row>
    <row r="1052" spans="1:7" ht="15.75" hidden="1" customHeight="1">
      <c r="A1052" s="203">
        <v>46168</v>
      </c>
      <c r="B1052" s="203" t="s">
        <v>267</v>
      </c>
      <c r="C1052" s="705" t="s">
        <v>2897</v>
      </c>
      <c r="D1052" s="203">
        <v>46170</v>
      </c>
      <c r="E1052" s="203" t="s">
        <v>82</v>
      </c>
      <c r="F1052" s="203">
        <v>46170</v>
      </c>
      <c r="G1052" s="555" t="s">
        <v>2499</v>
      </c>
    </row>
    <row r="1053" spans="1:7" ht="15.75" hidden="1" customHeight="1">
      <c r="A1053" s="203">
        <v>46162</v>
      </c>
      <c r="B1053" s="203" t="s">
        <v>121</v>
      </c>
      <c r="C1053" s="705" t="s">
        <v>2898</v>
      </c>
      <c r="D1053" s="203">
        <v>46164</v>
      </c>
      <c r="E1053" s="203" t="s">
        <v>783</v>
      </c>
      <c r="F1053" s="203">
        <v>46164</v>
      </c>
      <c r="G1053" s="555" t="s">
        <v>2494</v>
      </c>
    </row>
    <row r="1054" spans="1:7" ht="15.75" hidden="1" customHeight="1">
      <c r="A1054" s="203">
        <v>46162</v>
      </c>
      <c r="B1054" s="203" t="s">
        <v>178</v>
      </c>
      <c r="C1054" s="705" t="s">
        <v>2842</v>
      </c>
      <c r="D1054" s="203">
        <v>46162</v>
      </c>
      <c r="E1054" s="203" t="s">
        <v>783</v>
      </c>
      <c r="F1054" s="203">
        <v>46162</v>
      </c>
      <c r="G1054" s="555" t="s">
        <v>2494</v>
      </c>
    </row>
    <row r="1055" spans="1:7" ht="15.75" hidden="1" customHeight="1">
      <c r="A1055" s="498">
        <v>46156</v>
      </c>
      <c r="B1055" s="8" t="s">
        <v>126</v>
      </c>
      <c r="C1055" s="707" t="s">
        <v>2899</v>
      </c>
      <c r="D1055" s="495">
        <v>46161</v>
      </c>
      <c r="E1055" s="203" t="s">
        <v>783</v>
      </c>
      <c r="F1055" s="286">
        <v>46161</v>
      </c>
      <c r="G1055" s="555" t="s">
        <v>2494</v>
      </c>
    </row>
    <row r="1056" spans="1:7" ht="15.75" hidden="1" customHeight="1">
      <c r="A1056" s="203">
        <v>46168</v>
      </c>
      <c r="B1056" s="203" t="s">
        <v>1361</v>
      </c>
      <c r="C1056" s="705" t="s">
        <v>2900</v>
      </c>
      <c r="D1056" s="203">
        <v>46175</v>
      </c>
      <c r="E1056" s="203" t="s">
        <v>82</v>
      </c>
      <c r="F1056" s="203">
        <v>46170</v>
      </c>
      <c r="G1056" s="555" t="s">
        <v>2494</v>
      </c>
    </row>
    <row r="1057" spans="1:7" ht="15.75" hidden="1" customHeight="1">
      <c r="A1057" s="203">
        <v>46169</v>
      </c>
      <c r="B1057" s="203" t="s">
        <v>213</v>
      </c>
      <c r="C1057" s="705" t="s">
        <v>2901</v>
      </c>
      <c r="D1057" s="203">
        <v>46174</v>
      </c>
      <c r="E1057" s="203" t="s">
        <v>82</v>
      </c>
      <c r="F1057" s="203">
        <v>46170</v>
      </c>
      <c r="G1057" s="555" t="s">
        <v>2494</v>
      </c>
    </row>
    <row r="1058" spans="1:7" ht="15.75" hidden="1" customHeight="1">
      <c r="A1058" s="203">
        <v>44334</v>
      </c>
      <c r="B1058" s="203" t="s">
        <v>267</v>
      </c>
      <c r="C1058" s="660" t="s">
        <v>2902</v>
      </c>
      <c r="D1058" s="203">
        <v>46163</v>
      </c>
      <c r="E1058" s="203" t="s">
        <v>783</v>
      </c>
      <c r="F1058" s="203">
        <v>46162</v>
      </c>
      <c r="G1058" s="152" t="s">
        <v>2499</v>
      </c>
    </row>
    <row r="1059" spans="1:7" ht="15.75" hidden="1" customHeight="1">
      <c r="A1059" s="203">
        <v>44334</v>
      </c>
      <c r="B1059" s="203" t="s">
        <v>267</v>
      </c>
      <c r="C1059" s="660" t="s">
        <v>2903</v>
      </c>
      <c r="D1059" s="203">
        <v>46163</v>
      </c>
      <c r="E1059" s="203" t="s">
        <v>783</v>
      </c>
      <c r="F1059" s="203">
        <v>46162</v>
      </c>
      <c r="G1059" s="152" t="s">
        <v>2499</v>
      </c>
    </row>
    <row r="1060" spans="1:7" ht="15.75" hidden="1" customHeight="1">
      <c r="A1060" s="203">
        <v>44334</v>
      </c>
      <c r="B1060" s="203" t="s">
        <v>267</v>
      </c>
      <c r="C1060" s="660" t="s">
        <v>2904</v>
      </c>
      <c r="D1060" s="203">
        <v>46163</v>
      </c>
      <c r="E1060" s="203" t="s">
        <v>783</v>
      </c>
      <c r="F1060" s="203">
        <v>46162</v>
      </c>
      <c r="G1060" s="152" t="s">
        <v>2499</v>
      </c>
    </row>
    <row r="1061" spans="1:7" ht="15.75" hidden="1" customHeight="1">
      <c r="A1061" s="203">
        <v>46171</v>
      </c>
      <c r="B1061" s="203" t="s">
        <v>417</v>
      </c>
      <c r="C1061" s="705" t="s">
        <v>2905</v>
      </c>
      <c r="D1061" s="203">
        <v>46177</v>
      </c>
      <c r="E1061" s="203" t="s">
        <v>82</v>
      </c>
      <c r="F1061" s="203">
        <v>46175</v>
      </c>
      <c r="G1061" s="555" t="s">
        <v>2494</v>
      </c>
    </row>
    <row r="1062" spans="1:7" ht="15.75" hidden="1" customHeight="1">
      <c r="A1062" s="203">
        <v>46174</v>
      </c>
      <c r="B1062" s="203" t="s">
        <v>121</v>
      </c>
      <c r="C1062" s="705" t="s">
        <v>2906</v>
      </c>
      <c r="D1062" s="203">
        <v>46174</v>
      </c>
      <c r="E1062" s="203" t="s">
        <v>82</v>
      </c>
      <c r="F1062" s="203">
        <v>46174</v>
      </c>
      <c r="G1062" s="555" t="s">
        <v>2494</v>
      </c>
    </row>
    <row r="1063" spans="1:7" ht="15.75" hidden="1" customHeight="1">
      <c r="A1063" s="203">
        <v>46176</v>
      </c>
      <c r="B1063" s="203" t="s">
        <v>237</v>
      </c>
      <c r="C1063" s="705" t="s">
        <v>2907</v>
      </c>
      <c r="D1063" s="203">
        <v>46177</v>
      </c>
      <c r="E1063" s="203" t="s">
        <v>82</v>
      </c>
      <c r="F1063" s="203">
        <v>46177</v>
      </c>
      <c r="G1063" s="555" t="s">
        <v>2494</v>
      </c>
    </row>
    <row r="1064" spans="1:7" ht="15.75" hidden="1" customHeight="1">
      <c r="A1064" s="203">
        <v>46177</v>
      </c>
      <c r="B1064" s="203" t="s">
        <v>2460</v>
      </c>
      <c r="C1064" s="705" t="s">
        <v>2908</v>
      </c>
      <c r="D1064" s="203">
        <v>46177</v>
      </c>
      <c r="E1064" s="203" t="s">
        <v>82</v>
      </c>
      <c r="F1064" s="203">
        <v>46177</v>
      </c>
      <c r="G1064" s="555" t="s">
        <v>2494</v>
      </c>
    </row>
    <row r="1065" spans="1:7" ht="15.75" hidden="1" customHeight="1">
      <c r="A1065" s="203">
        <v>46178</v>
      </c>
      <c r="B1065" s="436" t="s">
        <v>435</v>
      </c>
      <c r="C1065" s="785" t="s">
        <v>2909</v>
      </c>
      <c r="D1065" s="436">
        <v>46184</v>
      </c>
      <c r="E1065" s="436" t="s">
        <v>82</v>
      </c>
      <c r="F1065" s="436">
        <v>46183</v>
      </c>
      <c r="G1065" s="304" t="s">
        <v>2494</v>
      </c>
    </row>
    <row r="1066" spans="1:7" ht="15.75" hidden="1" customHeight="1">
      <c r="A1066" s="645">
        <v>46181</v>
      </c>
      <c r="B1066" s="203" t="s">
        <v>412</v>
      </c>
      <c r="C1066" s="705" t="s">
        <v>2910</v>
      </c>
      <c r="D1066" s="645">
        <v>46273</v>
      </c>
      <c r="E1066" s="203" t="s">
        <v>783</v>
      </c>
      <c r="F1066" s="26">
        <v>46260</v>
      </c>
      <c r="G1066" s="152" t="s">
        <v>2517</v>
      </c>
    </row>
    <row r="1067" spans="1:7" ht="15.75" hidden="1" customHeight="1">
      <c r="A1067" s="203">
        <v>46181</v>
      </c>
      <c r="B1067" s="386" t="s">
        <v>412</v>
      </c>
      <c r="C1067" s="788" t="s">
        <v>2911</v>
      </c>
      <c r="D1067" s="386">
        <v>46183</v>
      </c>
      <c r="E1067" s="440" t="s">
        <v>783</v>
      </c>
      <c r="F1067" s="286">
        <v>46260</v>
      </c>
      <c r="G1067" s="475" t="s">
        <v>2517</v>
      </c>
    </row>
    <row r="1068" spans="1:7" ht="15.75" hidden="1" customHeight="1">
      <c r="A1068" s="203">
        <v>46185</v>
      </c>
      <c r="B1068" s="203" t="s">
        <v>364</v>
      </c>
      <c r="C1068" s="707" t="s">
        <v>2912</v>
      </c>
      <c r="D1068" s="203">
        <v>46192</v>
      </c>
      <c r="E1068" s="203" t="s">
        <v>82</v>
      </c>
      <c r="F1068" s="203">
        <v>46185</v>
      </c>
      <c r="G1068" s="555" t="s">
        <v>2494</v>
      </c>
    </row>
    <row r="1069" spans="1:7" ht="15.75" hidden="1" customHeight="1">
      <c r="A1069" s="203">
        <v>46189</v>
      </c>
      <c r="B1069" s="203" t="s">
        <v>126</v>
      </c>
      <c r="C1069" s="705" t="s">
        <v>2913</v>
      </c>
      <c r="D1069" s="203">
        <v>46196</v>
      </c>
      <c r="E1069" s="203" t="s">
        <v>82</v>
      </c>
      <c r="F1069" s="203">
        <v>46195</v>
      </c>
      <c r="G1069" s="555" t="s">
        <v>2494</v>
      </c>
    </row>
    <row r="1070" spans="1:7" ht="15.75" hidden="1" customHeight="1">
      <c r="A1070" s="203">
        <v>46188</v>
      </c>
      <c r="B1070" s="203" t="s">
        <v>412</v>
      </c>
      <c r="C1070" s="705" t="s">
        <v>2914</v>
      </c>
      <c r="D1070" s="203">
        <v>46191</v>
      </c>
      <c r="E1070" s="203" t="s">
        <v>82</v>
      </c>
      <c r="F1070" s="203">
        <v>46189</v>
      </c>
      <c r="G1070" s="555" t="s">
        <v>2494</v>
      </c>
    </row>
    <row r="1071" spans="1:7" ht="15.75" hidden="1" customHeight="1">
      <c r="A1071" s="203">
        <v>46191</v>
      </c>
      <c r="B1071" s="203" t="s">
        <v>343</v>
      </c>
      <c r="C1071" s="705" t="s">
        <v>2915</v>
      </c>
      <c r="D1071" s="203">
        <v>46191</v>
      </c>
      <c r="E1071" s="203" t="s">
        <v>82</v>
      </c>
      <c r="F1071" s="203">
        <v>46191</v>
      </c>
      <c r="G1071" s="555" t="s">
        <v>2494</v>
      </c>
    </row>
    <row r="1072" spans="1:7" ht="15.75" hidden="1" customHeight="1">
      <c r="A1072" s="203">
        <v>46191</v>
      </c>
      <c r="B1072" s="203" t="s">
        <v>343</v>
      </c>
      <c r="C1072" s="705" t="s">
        <v>2916</v>
      </c>
      <c r="D1072" s="203">
        <v>46191</v>
      </c>
      <c r="E1072" s="203" t="s">
        <v>82</v>
      </c>
      <c r="F1072" s="203">
        <v>46191</v>
      </c>
      <c r="G1072" s="555" t="s">
        <v>2494</v>
      </c>
    </row>
    <row r="1073" spans="1:26" ht="15.75" hidden="1" customHeight="1">
      <c r="A1073" s="203">
        <v>46191</v>
      </c>
      <c r="B1073" s="203" t="s">
        <v>343</v>
      </c>
      <c r="C1073" s="705" t="s">
        <v>2917</v>
      </c>
      <c r="D1073" s="203">
        <v>46191</v>
      </c>
      <c r="E1073" s="203" t="s">
        <v>82</v>
      </c>
      <c r="F1073" s="203">
        <v>46191</v>
      </c>
      <c r="G1073" s="555" t="s">
        <v>2494</v>
      </c>
    </row>
    <row r="1074" spans="1:26" ht="15.75" hidden="1" customHeight="1">
      <c r="A1074" s="203">
        <v>46191</v>
      </c>
      <c r="B1074" s="203" t="s">
        <v>363</v>
      </c>
      <c r="C1074" s="705" t="s">
        <v>2918</v>
      </c>
      <c r="D1074" s="203">
        <v>46197</v>
      </c>
      <c r="E1074" s="203" t="s">
        <v>82</v>
      </c>
      <c r="F1074" s="203">
        <v>46197</v>
      </c>
      <c r="G1074" s="555" t="s">
        <v>2494</v>
      </c>
    </row>
    <row r="1075" spans="1:26" ht="15.75" hidden="1" customHeight="1">
      <c r="A1075" s="203">
        <v>46192</v>
      </c>
      <c r="B1075" s="203" t="s">
        <v>121</v>
      </c>
      <c r="C1075" s="705" t="s">
        <v>2919</v>
      </c>
      <c r="D1075" s="203">
        <v>46196</v>
      </c>
      <c r="E1075" s="203" t="s">
        <v>82</v>
      </c>
      <c r="F1075" s="203">
        <v>46195</v>
      </c>
      <c r="G1075" s="555" t="s">
        <v>2494</v>
      </c>
    </row>
    <row r="1076" spans="1:26" ht="15.75" hidden="1" customHeight="1">
      <c r="A1076" s="203">
        <v>46195</v>
      </c>
      <c r="B1076" s="203" t="s">
        <v>267</v>
      </c>
      <c r="C1076" s="660" t="s">
        <v>2920</v>
      </c>
      <c r="D1076" s="203">
        <v>46202</v>
      </c>
      <c r="E1076" s="203" t="s">
        <v>82</v>
      </c>
      <c r="F1076" s="203">
        <v>46208</v>
      </c>
      <c r="G1076" s="555" t="s">
        <v>2921</v>
      </c>
    </row>
    <row r="1077" spans="1:26" ht="15.75" hidden="1" customHeight="1">
      <c r="A1077" s="203">
        <v>46203</v>
      </c>
      <c r="B1077" s="203" t="s">
        <v>412</v>
      </c>
      <c r="C1077" s="660" t="s">
        <v>2535</v>
      </c>
      <c r="D1077" s="203">
        <v>46206</v>
      </c>
      <c r="E1077" s="203" t="s">
        <v>185</v>
      </c>
      <c r="F1077" s="203">
        <v>46206</v>
      </c>
      <c r="G1077" s="555" t="s">
        <v>2494</v>
      </c>
    </row>
    <row r="1078" spans="1:26" ht="15.75" hidden="1" customHeight="1">
      <c r="A1078" s="203">
        <v>46203</v>
      </c>
      <c r="B1078" s="203" t="s">
        <v>267</v>
      </c>
      <c r="C1078" s="660" t="s">
        <v>2922</v>
      </c>
      <c r="D1078" s="203">
        <v>46204</v>
      </c>
      <c r="E1078" s="203" t="s">
        <v>82</v>
      </c>
      <c r="F1078" s="203">
        <v>46204</v>
      </c>
      <c r="G1078" s="555" t="s">
        <v>2730</v>
      </c>
      <c r="Z1078" s="145" t="s">
        <v>822</v>
      </c>
    </row>
    <row r="1079" spans="1:26" ht="15.75" hidden="1" customHeight="1">
      <c r="A1079" s="203">
        <v>46204</v>
      </c>
      <c r="B1079" s="203" t="s">
        <v>417</v>
      </c>
      <c r="C1079" s="660" t="s">
        <v>2535</v>
      </c>
      <c r="D1079" s="203">
        <v>46206</v>
      </c>
      <c r="E1079" s="203" t="s">
        <v>82</v>
      </c>
      <c r="F1079" s="203">
        <v>46205</v>
      </c>
      <c r="G1079" s="555" t="s">
        <v>2730</v>
      </c>
      <c r="Z1079" s="145" t="s">
        <v>82</v>
      </c>
    </row>
    <row r="1080" spans="1:26" ht="15.75" hidden="1" customHeight="1">
      <c r="A1080" s="203">
        <v>46209</v>
      </c>
      <c r="B1080" s="203" t="s">
        <v>1164</v>
      </c>
      <c r="C1080" s="660" t="s">
        <v>2923</v>
      </c>
      <c r="D1080" s="203">
        <v>46206</v>
      </c>
      <c r="E1080" s="203" t="s">
        <v>82</v>
      </c>
      <c r="F1080" s="203">
        <v>46206</v>
      </c>
      <c r="G1080" s="555" t="s">
        <v>2494</v>
      </c>
    </row>
    <row r="1081" spans="1:26" ht="15.75" hidden="1" customHeight="1">
      <c r="A1081" s="203">
        <v>46210</v>
      </c>
      <c r="B1081" s="203" t="s">
        <v>352</v>
      </c>
      <c r="C1081" s="660" t="s">
        <v>2924</v>
      </c>
      <c r="D1081" s="203">
        <v>46210</v>
      </c>
      <c r="E1081" s="203" t="s">
        <v>82</v>
      </c>
      <c r="F1081" s="203">
        <v>46211</v>
      </c>
      <c r="G1081" s="555" t="s">
        <v>2494</v>
      </c>
    </row>
    <row r="1082" spans="1:26" ht="15.75" hidden="1" customHeight="1">
      <c r="A1082" s="203">
        <v>46209</v>
      </c>
      <c r="B1082" s="203" t="s">
        <v>359</v>
      </c>
      <c r="C1082" s="660" t="s">
        <v>2925</v>
      </c>
      <c r="D1082" s="203">
        <v>46210</v>
      </c>
      <c r="E1082" s="203" t="s">
        <v>82</v>
      </c>
      <c r="F1082" s="203">
        <v>46211</v>
      </c>
      <c r="G1082" s="555" t="s">
        <v>2730</v>
      </c>
    </row>
    <row r="1083" spans="1:26" ht="15.75" hidden="1" customHeight="1">
      <c r="A1083" s="203">
        <v>46210</v>
      </c>
      <c r="B1083" s="203" t="s">
        <v>237</v>
      </c>
      <c r="C1083" s="660" t="s">
        <v>2926</v>
      </c>
      <c r="D1083" s="203">
        <v>46211</v>
      </c>
      <c r="E1083" s="203" t="s">
        <v>82</v>
      </c>
      <c r="F1083" s="203">
        <v>46211</v>
      </c>
      <c r="G1083" s="555" t="s">
        <v>2494</v>
      </c>
    </row>
    <row r="1084" spans="1:26" ht="15.75" hidden="1" customHeight="1">
      <c r="A1084" s="203">
        <v>46210</v>
      </c>
      <c r="B1084" s="203" t="s">
        <v>237</v>
      </c>
      <c r="C1084" s="660" t="s">
        <v>2927</v>
      </c>
      <c r="D1084" s="203">
        <v>46211</v>
      </c>
      <c r="E1084" s="203" t="s">
        <v>82</v>
      </c>
      <c r="F1084" s="203">
        <v>46211</v>
      </c>
      <c r="G1084" s="555" t="s">
        <v>2494</v>
      </c>
    </row>
    <row r="1085" spans="1:26" ht="15.75" hidden="1" customHeight="1">
      <c r="A1085" s="203">
        <v>46210</v>
      </c>
      <c r="B1085" s="203" t="s">
        <v>237</v>
      </c>
      <c r="C1085" s="660" t="s">
        <v>2928</v>
      </c>
      <c r="D1085" s="203">
        <v>46211</v>
      </c>
      <c r="E1085" s="203" t="s">
        <v>82</v>
      </c>
      <c r="F1085" s="203">
        <v>46211</v>
      </c>
      <c r="G1085" s="555" t="s">
        <v>2494</v>
      </c>
    </row>
    <row r="1086" spans="1:26" ht="15.75" hidden="1" customHeight="1">
      <c r="A1086" s="203">
        <v>46205</v>
      </c>
      <c r="B1086" s="203" t="s">
        <v>1343</v>
      </c>
      <c r="C1086" s="660" t="s">
        <v>2929</v>
      </c>
      <c r="D1086" s="203">
        <v>46224</v>
      </c>
      <c r="E1086" s="203" t="s">
        <v>783</v>
      </c>
      <c r="F1086" s="203">
        <v>46224</v>
      </c>
      <c r="G1086" s="555" t="s">
        <v>2494</v>
      </c>
    </row>
    <row r="1087" spans="1:26" ht="15.75" hidden="1" customHeight="1">
      <c r="A1087" s="203">
        <v>46217</v>
      </c>
      <c r="B1087" s="203" t="s">
        <v>2460</v>
      </c>
      <c r="C1087" s="660" t="s">
        <v>2930</v>
      </c>
      <c r="D1087" s="203">
        <v>46217</v>
      </c>
      <c r="E1087" s="203" t="s">
        <v>82</v>
      </c>
      <c r="F1087" s="203">
        <v>46218</v>
      </c>
      <c r="G1087" s="555" t="s">
        <v>2494</v>
      </c>
    </row>
    <row r="1088" spans="1:26" ht="15.75" hidden="1" customHeight="1">
      <c r="A1088" s="203">
        <v>46217</v>
      </c>
      <c r="B1088" s="203" t="s">
        <v>254</v>
      </c>
      <c r="C1088" s="660" t="s">
        <v>2931</v>
      </c>
      <c r="D1088" s="203">
        <v>46220</v>
      </c>
      <c r="E1088" s="203" t="s">
        <v>82</v>
      </c>
      <c r="F1088" s="203">
        <v>46220</v>
      </c>
      <c r="G1088" s="555" t="s">
        <v>2494</v>
      </c>
    </row>
    <row r="1089" spans="1:16383" ht="15.75" hidden="1" customHeight="1">
      <c r="A1089" s="203">
        <v>46220</v>
      </c>
      <c r="B1089" s="203" t="s">
        <v>412</v>
      </c>
      <c r="C1089" s="660" t="s">
        <v>2932</v>
      </c>
      <c r="D1089" s="203">
        <v>46230</v>
      </c>
      <c r="E1089" s="203" t="s">
        <v>82</v>
      </c>
      <c r="F1089" s="203">
        <v>46220</v>
      </c>
      <c r="G1089" s="555" t="s">
        <v>2494</v>
      </c>
    </row>
    <row r="1090" spans="1:16383" ht="15.75" hidden="1" customHeight="1">
      <c r="A1090" s="203">
        <v>46220</v>
      </c>
      <c r="B1090" s="203" t="s">
        <v>412</v>
      </c>
      <c r="C1090" s="660" t="s">
        <v>2933</v>
      </c>
      <c r="D1090" s="203">
        <v>46230</v>
      </c>
      <c r="E1090" s="203" t="s">
        <v>82</v>
      </c>
      <c r="F1090" s="203">
        <v>46220</v>
      </c>
      <c r="G1090" s="555" t="s">
        <v>2494</v>
      </c>
    </row>
    <row r="1091" spans="1:16383" ht="15.75" hidden="1" customHeight="1">
      <c r="A1091" s="203">
        <v>46230</v>
      </c>
      <c r="B1091" s="203" t="s">
        <v>364</v>
      </c>
      <c r="C1091" s="705" t="s">
        <v>2934</v>
      </c>
      <c r="D1091" s="203">
        <v>46230</v>
      </c>
      <c r="E1091" s="203" t="s">
        <v>82</v>
      </c>
      <c r="F1091" s="203">
        <v>46230</v>
      </c>
      <c r="G1091" s="555" t="s">
        <v>2494</v>
      </c>
    </row>
    <row r="1092" spans="1:16383" ht="15.75" hidden="1" customHeight="1">
      <c r="A1092" s="203">
        <v>46231</v>
      </c>
      <c r="B1092" s="203" t="s">
        <v>2460</v>
      </c>
      <c r="C1092" s="705" t="s">
        <v>2935</v>
      </c>
      <c r="D1092" s="203">
        <v>46231</v>
      </c>
      <c r="E1092" s="203" t="s">
        <v>82</v>
      </c>
      <c r="F1092" s="203">
        <v>46231</v>
      </c>
      <c r="G1092" s="555" t="s">
        <v>2494</v>
      </c>
    </row>
    <row r="1093" spans="1:16383" ht="15.75" hidden="1" customHeight="1">
      <c r="A1093" s="203">
        <v>46231</v>
      </c>
      <c r="B1093" s="203" t="s">
        <v>2460</v>
      </c>
      <c r="C1093" s="705" t="s">
        <v>2936</v>
      </c>
      <c r="D1093" s="203">
        <v>46231</v>
      </c>
      <c r="E1093" s="203" t="s">
        <v>82</v>
      </c>
      <c r="F1093" s="203">
        <v>46231</v>
      </c>
      <c r="G1093" s="555" t="s">
        <v>2494</v>
      </c>
    </row>
    <row r="1094" spans="1:16383" ht="15.75" hidden="1" customHeight="1">
      <c r="A1094" s="203">
        <v>46232</v>
      </c>
      <c r="B1094" s="203" t="s">
        <v>724</v>
      </c>
      <c r="C1094" s="705" t="s">
        <v>2937</v>
      </c>
      <c r="D1094" s="203">
        <v>46223</v>
      </c>
      <c r="E1094" s="203" t="s">
        <v>82</v>
      </c>
      <c r="F1094" s="203">
        <v>46232</v>
      </c>
      <c r="G1094" s="555" t="s">
        <v>1402</v>
      </c>
    </row>
    <row r="1095" spans="1:16383" ht="15.75" hidden="1" customHeight="1">
      <c r="A1095" s="203">
        <v>46232</v>
      </c>
      <c r="B1095" s="203" t="s">
        <v>834</v>
      </c>
      <c r="C1095" s="705" t="s">
        <v>2938</v>
      </c>
      <c r="D1095" s="203">
        <v>46238</v>
      </c>
      <c r="E1095" s="203" t="s">
        <v>82</v>
      </c>
      <c r="F1095" s="203">
        <v>46238</v>
      </c>
      <c r="G1095" s="555" t="s">
        <v>1402</v>
      </c>
    </row>
    <row r="1096" spans="1:16383" ht="15.75" hidden="1" customHeight="1">
      <c r="A1096" s="286">
        <v>46220</v>
      </c>
      <c r="B1096" s="286" t="s">
        <v>412</v>
      </c>
      <c r="C1096" s="286" t="s">
        <v>2939</v>
      </c>
      <c r="D1096" s="286">
        <v>46230</v>
      </c>
      <c r="E1096" s="286" t="s">
        <v>82</v>
      </c>
      <c r="F1096" s="286">
        <v>46232</v>
      </c>
      <c r="G1096" s="286" t="s">
        <v>1675</v>
      </c>
      <c r="H1096" s="286"/>
      <c r="I1096" s="286"/>
      <c r="J1096" s="286"/>
      <c r="K1096" s="286"/>
      <c r="L1096" s="286"/>
      <c r="M1096" s="286"/>
      <c r="N1096" s="286"/>
      <c r="O1096" s="286"/>
      <c r="P1096" s="286"/>
      <c r="Q1096" s="286"/>
      <c r="R1096" s="286"/>
      <c r="S1096" s="286"/>
      <c r="T1096" s="286"/>
      <c r="U1096" s="286"/>
      <c r="V1096" s="286"/>
      <c r="W1096" s="286"/>
      <c r="X1096" s="286"/>
      <c r="Y1096" s="286"/>
      <c r="Z1096" s="286"/>
      <c r="AA1096" s="286"/>
      <c r="AB1096" s="286"/>
      <c r="AC1096" s="286"/>
      <c r="AD1096" s="286"/>
      <c r="AE1096" s="286"/>
      <c r="AF1096" s="286"/>
      <c r="AG1096" s="286"/>
      <c r="AH1096" s="286"/>
      <c r="AI1096" s="286"/>
      <c r="AJ1096" s="286"/>
      <c r="AK1096" s="286"/>
      <c r="AL1096" s="286"/>
      <c r="AM1096" s="286"/>
      <c r="AN1096" s="286"/>
      <c r="AO1096" s="286"/>
      <c r="AP1096" s="286"/>
      <c r="AQ1096" s="286"/>
      <c r="AR1096" s="286"/>
      <c r="AS1096" s="286"/>
      <c r="AT1096" s="286"/>
      <c r="AU1096" s="286"/>
      <c r="AV1096" s="286"/>
      <c r="AW1096" s="286"/>
      <c r="AX1096" s="286"/>
      <c r="AY1096" s="286"/>
      <c r="AZ1096" s="286"/>
      <c r="BA1096" s="286"/>
      <c r="BB1096" s="286"/>
      <c r="BC1096" s="286"/>
      <c r="BD1096" s="286"/>
      <c r="BE1096" s="286"/>
      <c r="BF1096" s="286"/>
      <c r="BG1096" s="286"/>
      <c r="BH1096" s="286"/>
      <c r="BI1096" s="286"/>
      <c r="BJ1096" s="286"/>
      <c r="BK1096" s="286"/>
      <c r="BL1096" s="286"/>
      <c r="BM1096" s="286"/>
      <c r="BN1096" s="286"/>
      <c r="BO1096" s="286"/>
      <c r="BP1096" s="286"/>
      <c r="BQ1096" s="286"/>
      <c r="BR1096" s="286"/>
      <c r="BS1096" s="286"/>
      <c r="BT1096" s="286"/>
      <c r="BU1096" s="286"/>
      <c r="BV1096" s="286"/>
      <c r="BW1096" s="286"/>
      <c r="BX1096" s="286"/>
      <c r="BY1096" s="286"/>
      <c r="BZ1096" s="286"/>
      <c r="CA1096" s="286"/>
      <c r="CB1096" s="286"/>
      <c r="CC1096" s="286"/>
      <c r="CD1096" s="286"/>
      <c r="CE1096" s="286"/>
      <c r="CF1096" s="286"/>
      <c r="CG1096" s="286"/>
      <c r="CH1096" s="286"/>
      <c r="CI1096" s="286"/>
      <c r="CJ1096" s="286"/>
      <c r="CK1096" s="286"/>
      <c r="CL1096" s="286"/>
      <c r="CM1096" s="286"/>
      <c r="CN1096" s="286"/>
      <c r="CO1096" s="286"/>
      <c r="CP1096" s="286"/>
      <c r="CQ1096" s="286"/>
      <c r="CR1096" s="286"/>
      <c r="CS1096" s="286"/>
      <c r="CT1096" s="286"/>
      <c r="CU1096" s="286"/>
      <c r="CV1096" s="286"/>
      <c r="CW1096" s="286"/>
      <c r="CX1096" s="286"/>
      <c r="CY1096" s="286"/>
      <c r="CZ1096" s="286"/>
      <c r="DA1096" s="286"/>
      <c r="DB1096" s="286"/>
      <c r="DC1096" s="286"/>
      <c r="DD1096" s="286"/>
      <c r="DE1096" s="286"/>
      <c r="DF1096" s="286"/>
      <c r="DG1096" s="286"/>
      <c r="DH1096" s="286"/>
      <c r="DI1096" s="286"/>
      <c r="DJ1096" s="286"/>
      <c r="DK1096" s="286"/>
      <c r="DL1096" s="286"/>
      <c r="DM1096" s="286"/>
      <c r="DN1096" s="286"/>
      <c r="DO1096" s="286"/>
      <c r="DP1096" s="286"/>
      <c r="DQ1096" s="286"/>
      <c r="DR1096" s="286"/>
      <c r="DS1096" s="286"/>
      <c r="DT1096" s="286"/>
      <c r="DU1096" s="286"/>
      <c r="DV1096" s="286"/>
      <c r="DW1096" s="286"/>
      <c r="DX1096" s="286"/>
      <c r="DY1096" s="286"/>
      <c r="DZ1096" s="286"/>
      <c r="EA1096" s="286"/>
      <c r="EB1096" s="286"/>
      <c r="EC1096" s="286"/>
      <c r="ED1096" s="286"/>
      <c r="EE1096" s="286"/>
      <c r="EF1096" s="286"/>
      <c r="EG1096" s="286"/>
      <c r="EH1096" s="286"/>
      <c r="EI1096" s="286"/>
      <c r="EJ1096" s="286"/>
      <c r="EK1096" s="286"/>
      <c r="EL1096" s="286"/>
      <c r="EM1096" s="286"/>
      <c r="EN1096" s="286"/>
      <c r="EO1096" s="286"/>
      <c r="EP1096" s="286"/>
      <c r="EQ1096" s="286"/>
      <c r="ER1096" s="286"/>
      <c r="ES1096" s="286"/>
      <c r="ET1096" s="286"/>
      <c r="EU1096" s="286"/>
      <c r="EV1096" s="286"/>
      <c r="EW1096" s="286"/>
      <c r="EX1096" s="286"/>
      <c r="EY1096" s="286"/>
      <c r="EZ1096" s="286"/>
      <c r="FA1096" s="286"/>
      <c r="FB1096" s="286"/>
      <c r="FC1096" s="286"/>
      <c r="FD1096" s="286"/>
      <c r="FE1096" s="286"/>
      <c r="FF1096" s="286"/>
      <c r="FG1096" s="286"/>
      <c r="FH1096" s="286"/>
      <c r="FI1096" s="286"/>
      <c r="FJ1096" s="286"/>
      <c r="FK1096" s="286"/>
      <c r="FL1096" s="286"/>
      <c r="FM1096" s="286"/>
      <c r="FN1096" s="286"/>
      <c r="FO1096" s="286"/>
      <c r="FP1096" s="286"/>
      <c r="FQ1096" s="286"/>
      <c r="FR1096" s="286"/>
      <c r="FS1096" s="286"/>
      <c r="FT1096" s="286"/>
      <c r="FU1096" s="286"/>
      <c r="FV1096" s="286"/>
      <c r="FW1096" s="286"/>
      <c r="FX1096" s="286"/>
      <c r="FY1096" s="286"/>
      <c r="FZ1096" s="286"/>
      <c r="GA1096" s="286"/>
      <c r="GB1096" s="286"/>
      <c r="GC1096" s="286"/>
      <c r="GD1096" s="286"/>
      <c r="GE1096" s="286"/>
      <c r="GF1096" s="286"/>
      <c r="GG1096" s="286"/>
      <c r="GH1096" s="286"/>
      <c r="GI1096" s="286"/>
      <c r="GJ1096" s="286"/>
      <c r="GK1096" s="286"/>
      <c r="GL1096" s="286"/>
      <c r="GM1096" s="286"/>
      <c r="GN1096" s="286"/>
      <c r="GO1096" s="286"/>
      <c r="GP1096" s="286"/>
      <c r="GQ1096" s="286"/>
      <c r="GR1096" s="286"/>
      <c r="GS1096" s="286"/>
      <c r="GT1096" s="286"/>
      <c r="GU1096" s="286"/>
      <c r="GV1096" s="286"/>
      <c r="GW1096" s="286"/>
      <c r="GX1096" s="286"/>
      <c r="GY1096" s="286"/>
      <c r="GZ1096" s="286"/>
      <c r="HA1096" s="286"/>
      <c r="HB1096" s="286"/>
      <c r="HC1096" s="286"/>
      <c r="HD1096" s="286"/>
      <c r="HE1096" s="286"/>
      <c r="HF1096" s="286"/>
      <c r="HG1096" s="286"/>
      <c r="HH1096" s="286"/>
      <c r="HI1096" s="286"/>
      <c r="HJ1096" s="286"/>
      <c r="HK1096" s="286"/>
      <c r="HL1096" s="286"/>
      <c r="HM1096" s="286"/>
      <c r="HN1096" s="286"/>
      <c r="HO1096" s="286"/>
      <c r="HP1096" s="286"/>
      <c r="HQ1096" s="286"/>
      <c r="HR1096" s="286"/>
      <c r="HS1096" s="286"/>
      <c r="HT1096" s="286"/>
      <c r="HU1096" s="286"/>
      <c r="HV1096" s="286"/>
      <c r="HW1096" s="286"/>
      <c r="HX1096" s="286"/>
      <c r="HY1096" s="286"/>
      <c r="HZ1096" s="286"/>
      <c r="IA1096" s="286"/>
      <c r="IB1096" s="286"/>
      <c r="IC1096" s="286"/>
      <c r="ID1096" s="286"/>
      <c r="IE1096" s="286"/>
      <c r="IF1096" s="286"/>
      <c r="IG1096" s="286"/>
      <c r="IH1096" s="286"/>
      <c r="II1096" s="286"/>
      <c r="IJ1096" s="286"/>
      <c r="IK1096" s="286"/>
      <c r="IL1096" s="286"/>
      <c r="IM1096" s="286"/>
      <c r="IN1096" s="286"/>
      <c r="IO1096" s="286"/>
      <c r="IP1096" s="286"/>
      <c r="IQ1096" s="286"/>
      <c r="IR1096" s="286"/>
      <c r="IS1096" s="286"/>
      <c r="IT1096" s="286"/>
      <c r="IU1096" s="286"/>
      <c r="IV1096" s="286"/>
      <c r="IW1096" s="286"/>
      <c r="IX1096" s="286"/>
      <c r="IY1096" s="286"/>
      <c r="IZ1096" s="286"/>
      <c r="JA1096" s="286"/>
      <c r="JB1096" s="286"/>
      <c r="JC1096" s="286"/>
      <c r="JD1096" s="286"/>
      <c r="JE1096" s="286"/>
      <c r="JF1096" s="286"/>
      <c r="JG1096" s="286"/>
      <c r="JH1096" s="286"/>
      <c r="JI1096" s="286"/>
      <c r="JJ1096" s="286"/>
      <c r="JK1096" s="286"/>
      <c r="JL1096" s="286"/>
      <c r="JM1096" s="286"/>
      <c r="JN1096" s="286"/>
      <c r="JO1096" s="286"/>
      <c r="JP1096" s="286"/>
      <c r="JQ1096" s="286"/>
      <c r="JR1096" s="286"/>
      <c r="JS1096" s="286"/>
      <c r="JT1096" s="286"/>
      <c r="JU1096" s="286"/>
      <c r="JV1096" s="286"/>
      <c r="JW1096" s="286"/>
      <c r="JX1096" s="286"/>
      <c r="JY1096" s="286"/>
      <c r="JZ1096" s="286"/>
      <c r="KA1096" s="286"/>
      <c r="KB1096" s="286"/>
      <c r="KC1096" s="286"/>
      <c r="KD1096" s="286"/>
      <c r="KE1096" s="286"/>
      <c r="KF1096" s="286"/>
      <c r="KG1096" s="286"/>
      <c r="KH1096" s="286"/>
      <c r="KI1096" s="286"/>
      <c r="KJ1096" s="286"/>
      <c r="KK1096" s="286"/>
      <c r="KL1096" s="286"/>
      <c r="KM1096" s="286"/>
      <c r="KN1096" s="286"/>
      <c r="KO1096" s="286"/>
      <c r="KP1096" s="286"/>
      <c r="KQ1096" s="286"/>
      <c r="KR1096" s="286"/>
      <c r="KS1096" s="286"/>
      <c r="KT1096" s="286"/>
      <c r="KU1096" s="286"/>
      <c r="KV1096" s="286"/>
      <c r="KW1096" s="286"/>
      <c r="KX1096" s="286"/>
      <c r="KY1096" s="286"/>
      <c r="KZ1096" s="286"/>
      <c r="LA1096" s="286"/>
      <c r="LB1096" s="286"/>
      <c r="LC1096" s="286"/>
      <c r="LD1096" s="286"/>
      <c r="LE1096" s="286"/>
      <c r="LF1096" s="286"/>
      <c r="LG1096" s="286"/>
      <c r="LH1096" s="286"/>
      <c r="LI1096" s="286"/>
      <c r="LJ1096" s="286"/>
      <c r="LK1096" s="286"/>
      <c r="LL1096" s="286"/>
      <c r="LM1096" s="286"/>
      <c r="LN1096" s="286"/>
      <c r="LO1096" s="286"/>
      <c r="LP1096" s="286"/>
      <c r="LQ1096" s="286"/>
      <c r="LR1096" s="286"/>
      <c r="LS1096" s="286"/>
      <c r="LT1096" s="286"/>
      <c r="LU1096" s="286"/>
      <c r="LV1096" s="286"/>
      <c r="LW1096" s="286"/>
      <c r="LX1096" s="286"/>
      <c r="LY1096" s="286"/>
      <c r="LZ1096" s="286"/>
      <c r="MA1096" s="286"/>
      <c r="MB1096" s="286"/>
      <c r="MC1096" s="286"/>
      <c r="MD1096" s="286"/>
      <c r="ME1096" s="286"/>
      <c r="MF1096" s="286"/>
      <c r="MG1096" s="286"/>
      <c r="MH1096" s="286"/>
      <c r="MI1096" s="286"/>
      <c r="MJ1096" s="286"/>
      <c r="MK1096" s="286"/>
      <c r="ML1096" s="286"/>
      <c r="MM1096" s="286"/>
      <c r="MN1096" s="286"/>
      <c r="MO1096" s="286"/>
      <c r="MP1096" s="286"/>
      <c r="MQ1096" s="286"/>
      <c r="MR1096" s="286"/>
      <c r="MS1096" s="286"/>
      <c r="MT1096" s="286"/>
      <c r="MU1096" s="286"/>
      <c r="MV1096" s="286"/>
      <c r="MW1096" s="286"/>
      <c r="MX1096" s="286"/>
      <c r="MY1096" s="286"/>
      <c r="MZ1096" s="286"/>
      <c r="NA1096" s="286"/>
      <c r="NB1096" s="286"/>
      <c r="NC1096" s="286"/>
      <c r="ND1096" s="286"/>
      <c r="NE1096" s="286"/>
      <c r="NF1096" s="286"/>
      <c r="NG1096" s="286"/>
      <c r="NH1096" s="286"/>
      <c r="NI1096" s="286"/>
      <c r="NJ1096" s="286"/>
      <c r="NK1096" s="286"/>
      <c r="NL1096" s="286"/>
      <c r="NM1096" s="286"/>
      <c r="NN1096" s="286"/>
      <c r="NO1096" s="286"/>
      <c r="NP1096" s="286"/>
      <c r="NQ1096" s="286"/>
      <c r="NR1096" s="286"/>
      <c r="NS1096" s="286"/>
      <c r="NT1096" s="286"/>
      <c r="NU1096" s="286"/>
      <c r="NV1096" s="286"/>
      <c r="NW1096" s="286"/>
      <c r="NX1096" s="286"/>
      <c r="NY1096" s="286"/>
      <c r="NZ1096" s="286"/>
      <c r="OA1096" s="286"/>
      <c r="OB1096" s="286"/>
      <c r="OC1096" s="286"/>
      <c r="OD1096" s="286"/>
      <c r="OE1096" s="286"/>
      <c r="OF1096" s="286"/>
      <c r="OG1096" s="286"/>
      <c r="OH1096" s="286"/>
      <c r="OI1096" s="286"/>
      <c r="OJ1096" s="286"/>
      <c r="OK1096" s="286"/>
      <c r="OL1096" s="286"/>
      <c r="OM1096" s="286"/>
      <c r="ON1096" s="286"/>
      <c r="OO1096" s="286"/>
      <c r="OP1096" s="286"/>
      <c r="OQ1096" s="286"/>
      <c r="OR1096" s="286"/>
      <c r="OS1096" s="286"/>
      <c r="OT1096" s="286"/>
      <c r="OU1096" s="286"/>
      <c r="OV1096" s="286"/>
      <c r="OW1096" s="286"/>
      <c r="OX1096" s="286"/>
      <c r="OY1096" s="286"/>
      <c r="OZ1096" s="286"/>
      <c r="PA1096" s="286"/>
      <c r="PB1096" s="286"/>
      <c r="PC1096" s="286"/>
      <c r="PD1096" s="286"/>
      <c r="PE1096" s="286"/>
      <c r="PF1096" s="286"/>
      <c r="PG1096" s="286"/>
      <c r="PH1096" s="286"/>
      <c r="PI1096" s="286"/>
      <c r="PJ1096" s="286"/>
      <c r="PK1096" s="286"/>
      <c r="PL1096" s="286"/>
      <c r="PM1096" s="286"/>
      <c r="PN1096" s="286"/>
      <c r="PO1096" s="286"/>
      <c r="PP1096" s="286"/>
      <c r="PQ1096" s="286"/>
      <c r="PR1096" s="286"/>
      <c r="PS1096" s="286"/>
      <c r="PT1096" s="286"/>
      <c r="PU1096" s="286"/>
      <c r="PV1096" s="286"/>
      <c r="PW1096" s="286"/>
      <c r="PX1096" s="286"/>
      <c r="PY1096" s="286"/>
      <c r="PZ1096" s="286"/>
      <c r="QA1096" s="286"/>
      <c r="QB1096" s="286"/>
      <c r="QC1096" s="286"/>
      <c r="QD1096" s="286"/>
      <c r="QE1096" s="286"/>
      <c r="QF1096" s="286"/>
      <c r="QG1096" s="286"/>
      <c r="QH1096" s="286"/>
      <c r="QI1096" s="286"/>
      <c r="QJ1096" s="286"/>
      <c r="QK1096" s="286"/>
      <c r="QL1096" s="286"/>
      <c r="QM1096" s="286"/>
      <c r="QN1096" s="286"/>
      <c r="QO1096" s="286"/>
      <c r="QP1096" s="286"/>
      <c r="QQ1096" s="286"/>
      <c r="QR1096" s="286"/>
      <c r="QS1096" s="286"/>
      <c r="QT1096" s="286"/>
      <c r="QU1096" s="286"/>
      <c r="QV1096" s="286"/>
      <c r="QW1096" s="286"/>
      <c r="QX1096" s="286"/>
      <c r="QY1096" s="286"/>
      <c r="QZ1096" s="286"/>
      <c r="RA1096" s="286"/>
      <c r="RB1096" s="286"/>
      <c r="RC1096" s="286"/>
      <c r="RD1096" s="286"/>
      <c r="RE1096" s="286"/>
      <c r="RF1096" s="286"/>
      <c r="RG1096" s="286"/>
      <c r="RH1096" s="286"/>
      <c r="RI1096" s="286"/>
      <c r="RJ1096" s="286"/>
      <c r="RK1096" s="286"/>
      <c r="RL1096" s="286"/>
      <c r="RM1096" s="286"/>
      <c r="RN1096" s="286"/>
      <c r="RO1096" s="286"/>
      <c r="RP1096" s="286"/>
      <c r="RQ1096" s="286"/>
      <c r="RR1096" s="286"/>
      <c r="RS1096" s="286"/>
      <c r="RT1096" s="286"/>
      <c r="RU1096" s="286"/>
      <c r="RV1096" s="286"/>
      <c r="RW1096" s="286"/>
      <c r="RX1096" s="286"/>
      <c r="RY1096" s="286"/>
      <c r="RZ1096" s="286"/>
      <c r="SA1096" s="286"/>
      <c r="SB1096" s="286"/>
      <c r="SC1096" s="286"/>
      <c r="SD1096" s="286"/>
      <c r="SE1096" s="286"/>
      <c r="SF1096" s="286"/>
      <c r="SG1096" s="286"/>
      <c r="SH1096" s="286"/>
      <c r="SI1096" s="286"/>
      <c r="SJ1096" s="286"/>
      <c r="SK1096" s="286"/>
      <c r="SL1096" s="286"/>
      <c r="SM1096" s="286"/>
      <c r="SN1096" s="286"/>
      <c r="SO1096" s="286"/>
      <c r="SP1096" s="286"/>
      <c r="SQ1096" s="286"/>
      <c r="SR1096" s="286"/>
      <c r="SS1096" s="286"/>
      <c r="ST1096" s="286"/>
      <c r="SU1096" s="286"/>
      <c r="SV1096" s="286"/>
      <c r="SW1096" s="286"/>
      <c r="SX1096" s="286"/>
      <c r="SY1096" s="286"/>
      <c r="SZ1096" s="286"/>
      <c r="TA1096" s="286"/>
      <c r="TB1096" s="286"/>
      <c r="TC1096" s="286"/>
      <c r="TD1096" s="286"/>
      <c r="TE1096" s="286"/>
      <c r="TF1096" s="286"/>
      <c r="TG1096" s="286"/>
      <c r="TH1096" s="286"/>
      <c r="TI1096" s="286"/>
      <c r="TJ1096" s="286"/>
      <c r="TK1096" s="286"/>
      <c r="TL1096" s="286"/>
      <c r="TM1096" s="286"/>
      <c r="TN1096" s="286"/>
      <c r="TO1096" s="286"/>
      <c r="TP1096" s="286"/>
      <c r="TQ1096" s="286"/>
      <c r="TR1096" s="286"/>
      <c r="TS1096" s="286"/>
      <c r="TT1096" s="286"/>
      <c r="TU1096" s="286"/>
      <c r="TV1096" s="286"/>
      <c r="TW1096" s="286"/>
      <c r="TX1096" s="286"/>
      <c r="TY1096" s="286"/>
      <c r="TZ1096" s="286"/>
      <c r="UA1096" s="286"/>
      <c r="UB1096" s="286"/>
      <c r="UC1096" s="286"/>
      <c r="UD1096" s="286"/>
      <c r="UE1096" s="286"/>
      <c r="UF1096" s="286"/>
      <c r="UG1096" s="286"/>
      <c r="UH1096" s="286"/>
      <c r="UI1096" s="286"/>
      <c r="UJ1096" s="286"/>
      <c r="UK1096" s="286"/>
      <c r="UL1096" s="286"/>
      <c r="UM1096" s="286"/>
      <c r="UN1096" s="286"/>
      <c r="UO1096" s="286"/>
      <c r="UP1096" s="286"/>
      <c r="UQ1096" s="286"/>
      <c r="UR1096" s="286"/>
      <c r="US1096" s="286"/>
      <c r="UT1096" s="286"/>
      <c r="UU1096" s="286"/>
      <c r="UV1096" s="286"/>
      <c r="UW1096" s="286"/>
      <c r="UX1096" s="286"/>
      <c r="UY1096" s="286"/>
      <c r="UZ1096" s="286"/>
      <c r="VA1096" s="286"/>
      <c r="VB1096" s="286"/>
      <c r="VC1096" s="286"/>
      <c r="VD1096" s="286"/>
      <c r="VE1096" s="286"/>
      <c r="VF1096" s="286"/>
      <c r="VG1096" s="286"/>
      <c r="VH1096" s="286"/>
      <c r="VI1096" s="286"/>
      <c r="VJ1096" s="286"/>
      <c r="VK1096" s="286"/>
      <c r="VL1096" s="286"/>
      <c r="VM1096" s="286"/>
      <c r="VN1096" s="286"/>
      <c r="VO1096" s="286"/>
      <c r="VP1096" s="286"/>
      <c r="VQ1096" s="286"/>
      <c r="VR1096" s="286"/>
      <c r="VS1096" s="286"/>
      <c r="VT1096" s="286"/>
      <c r="VU1096" s="286"/>
      <c r="VV1096" s="286"/>
      <c r="VW1096" s="286"/>
      <c r="VX1096" s="286"/>
      <c r="VY1096" s="286"/>
      <c r="VZ1096" s="286"/>
      <c r="WA1096" s="286"/>
      <c r="WB1096" s="286"/>
      <c r="WC1096" s="286"/>
      <c r="WD1096" s="286"/>
      <c r="WE1096" s="286"/>
      <c r="WF1096" s="286"/>
      <c r="WG1096" s="286"/>
      <c r="WH1096" s="286"/>
      <c r="WI1096" s="286"/>
      <c r="WJ1096" s="286"/>
      <c r="WK1096" s="286"/>
      <c r="WL1096" s="286"/>
      <c r="WM1096" s="286"/>
      <c r="WN1096" s="286"/>
      <c r="WO1096" s="286"/>
      <c r="WP1096" s="286"/>
      <c r="WQ1096" s="286"/>
      <c r="WR1096" s="286"/>
      <c r="WS1096" s="286"/>
      <c r="WT1096" s="286"/>
      <c r="WU1096" s="286"/>
      <c r="WV1096" s="286"/>
      <c r="WW1096" s="286"/>
      <c r="WX1096" s="286"/>
      <c r="WY1096" s="286"/>
      <c r="WZ1096" s="286"/>
      <c r="XA1096" s="286"/>
      <c r="XB1096" s="286"/>
      <c r="XC1096" s="286"/>
      <c r="XD1096" s="286"/>
      <c r="XE1096" s="286"/>
      <c r="XF1096" s="286"/>
      <c r="XG1096" s="286"/>
      <c r="XH1096" s="286"/>
      <c r="XI1096" s="286"/>
      <c r="XJ1096" s="286"/>
      <c r="XK1096" s="286"/>
      <c r="XL1096" s="286"/>
      <c r="XM1096" s="286"/>
      <c r="XN1096" s="286"/>
      <c r="XO1096" s="286"/>
      <c r="XP1096" s="286"/>
      <c r="XQ1096" s="286"/>
      <c r="XR1096" s="286"/>
      <c r="XS1096" s="286"/>
      <c r="XT1096" s="286"/>
      <c r="XU1096" s="286"/>
      <c r="XV1096" s="286"/>
      <c r="XW1096" s="286"/>
      <c r="XX1096" s="286"/>
      <c r="XY1096" s="286"/>
      <c r="XZ1096" s="286"/>
      <c r="YA1096" s="286"/>
      <c r="YB1096" s="286"/>
      <c r="YC1096" s="286"/>
      <c r="YD1096" s="286"/>
      <c r="YE1096" s="286"/>
      <c r="YF1096" s="286"/>
      <c r="YG1096" s="286"/>
      <c r="YH1096" s="286"/>
      <c r="YI1096" s="286"/>
      <c r="YJ1096" s="286"/>
      <c r="YK1096" s="286"/>
      <c r="YL1096" s="286"/>
      <c r="YM1096" s="286"/>
      <c r="YN1096" s="286"/>
      <c r="YO1096" s="286"/>
      <c r="YP1096" s="286"/>
      <c r="YQ1096" s="286"/>
      <c r="YR1096" s="286"/>
      <c r="YS1096" s="286"/>
      <c r="YT1096" s="286"/>
      <c r="YU1096" s="286"/>
      <c r="YV1096" s="286"/>
      <c r="YW1096" s="286"/>
      <c r="YX1096" s="286"/>
      <c r="YY1096" s="286"/>
      <c r="YZ1096" s="286"/>
      <c r="ZA1096" s="286"/>
      <c r="ZB1096" s="286"/>
      <c r="ZC1096" s="286"/>
      <c r="ZD1096" s="286"/>
      <c r="ZE1096" s="286"/>
      <c r="ZF1096" s="286"/>
      <c r="ZG1096" s="286"/>
      <c r="ZH1096" s="286"/>
      <c r="ZI1096" s="286"/>
      <c r="ZJ1096" s="286"/>
      <c r="ZK1096" s="286"/>
      <c r="ZL1096" s="286"/>
      <c r="ZM1096" s="286"/>
      <c r="ZN1096" s="286"/>
      <c r="ZO1096" s="286"/>
      <c r="ZP1096" s="286"/>
      <c r="ZQ1096" s="286"/>
      <c r="ZR1096" s="286"/>
      <c r="ZS1096" s="286"/>
      <c r="ZT1096" s="286"/>
      <c r="ZU1096" s="286"/>
      <c r="ZV1096" s="286"/>
      <c r="ZW1096" s="286"/>
      <c r="ZX1096" s="286"/>
      <c r="ZY1096" s="286"/>
      <c r="ZZ1096" s="286"/>
      <c r="AAA1096" s="286"/>
      <c r="AAB1096" s="286"/>
      <c r="AAC1096" s="286"/>
      <c r="AAD1096" s="286"/>
      <c r="AAE1096" s="286"/>
      <c r="AAF1096" s="286"/>
      <c r="AAG1096" s="286"/>
      <c r="AAH1096" s="286"/>
      <c r="AAI1096" s="286"/>
      <c r="AAJ1096" s="286"/>
      <c r="AAK1096" s="286"/>
      <c r="AAL1096" s="286"/>
      <c r="AAM1096" s="286"/>
      <c r="AAN1096" s="286"/>
      <c r="AAO1096" s="286"/>
      <c r="AAP1096" s="286"/>
      <c r="AAQ1096" s="286"/>
      <c r="AAR1096" s="286"/>
      <c r="AAS1096" s="286"/>
      <c r="AAT1096" s="286"/>
      <c r="AAU1096" s="286"/>
      <c r="AAV1096" s="286"/>
      <c r="AAW1096" s="286"/>
      <c r="AAX1096" s="286"/>
      <c r="AAY1096" s="286"/>
      <c r="AAZ1096" s="286"/>
      <c r="ABA1096" s="286"/>
      <c r="ABB1096" s="286"/>
      <c r="ABC1096" s="286"/>
      <c r="ABD1096" s="286"/>
      <c r="ABE1096" s="286"/>
      <c r="ABF1096" s="286"/>
      <c r="ABG1096" s="286"/>
      <c r="ABH1096" s="286"/>
      <c r="ABI1096" s="286"/>
      <c r="ABJ1096" s="286"/>
      <c r="ABK1096" s="286"/>
      <c r="ABL1096" s="286"/>
      <c r="ABM1096" s="286"/>
      <c r="ABN1096" s="286"/>
      <c r="ABO1096" s="286"/>
      <c r="ABP1096" s="286"/>
      <c r="ABQ1096" s="286"/>
      <c r="ABR1096" s="286"/>
      <c r="ABS1096" s="286"/>
      <c r="ABT1096" s="286"/>
      <c r="ABU1096" s="286"/>
      <c r="ABV1096" s="286"/>
      <c r="ABW1096" s="286"/>
      <c r="ABX1096" s="286"/>
      <c r="ABY1096" s="286"/>
      <c r="ABZ1096" s="286"/>
      <c r="ACA1096" s="286"/>
      <c r="ACB1096" s="286"/>
      <c r="ACC1096" s="286"/>
      <c r="ACD1096" s="286"/>
      <c r="ACE1096" s="286"/>
      <c r="ACF1096" s="286"/>
      <c r="ACG1096" s="286"/>
      <c r="ACH1096" s="286"/>
      <c r="ACI1096" s="286"/>
      <c r="ACJ1096" s="286"/>
      <c r="ACK1096" s="286"/>
      <c r="ACL1096" s="286"/>
      <c r="ACM1096" s="286"/>
      <c r="ACN1096" s="286"/>
      <c r="ACO1096" s="286"/>
      <c r="ACP1096" s="286"/>
      <c r="ACQ1096" s="286"/>
      <c r="ACR1096" s="286"/>
      <c r="ACS1096" s="286"/>
      <c r="ACT1096" s="286"/>
      <c r="ACU1096" s="286"/>
      <c r="ACV1096" s="286"/>
      <c r="ACW1096" s="286"/>
      <c r="ACX1096" s="286"/>
      <c r="ACY1096" s="286"/>
      <c r="ACZ1096" s="286"/>
      <c r="ADA1096" s="286"/>
      <c r="ADB1096" s="286"/>
      <c r="ADC1096" s="286"/>
      <c r="ADD1096" s="286"/>
      <c r="ADE1096" s="286"/>
      <c r="ADF1096" s="286"/>
      <c r="ADG1096" s="286"/>
      <c r="ADH1096" s="286"/>
      <c r="ADI1096" s="286"/>
      <c r="ADJ1096" s="286"/>
      <c r="ADK1096" s="286"/>
      <c r="ADL1096" s="286"/>
      <c r="ADM1096" s="286"/>
      <c r="ADN1096" s="286"/>
      <c r="ADO1096" s="286"/>
      <c r="ADP1096" s="286"/>
      <c r="ADQ1096" s="286"/>
      <c r="ADR1096" s="286"/>
      <c r="ADS1096" s="286"/>
      <c r="ADT1096" s="286"/>
      <c r="ADU1096" s="286"/>
      <c r="ADV1096" s="286"/>
      <c r="ADW1096" s="286"/>
      <c r="ADX1096" s="286"/>
      <c r="ADY1096" s="286"/>
      <c r="ADZ1096" s="286"/>
      <c r="AEA1096" s="286"/>
      <c r="AEB1096" s="286"/>
      <c r="AEC1096" s="286"/>
      <c r="AED1096" s="286"/>
      <c r="AEE1096" s="286"/>
      <c r="AEF1096" s="286"/>
      <c r="AEG1096" s="286"/>
      <c r="AEH1096" s="286"/>
      <c r="AEI1096" s="286"/>
      <c r="AEJ1096" s="286"/>
      <c r="AEK1096" s="286"/>
      <c r="AEL1096" s="286"/>
      <c r="AEM1096" s="286"/>
      <c r="AEN1096" s="286"/>
      <c r="AEO1096" s="286"/>
      <c r="AEP1096" s="286"/>
      <c r="AEQ1096" s="286"/>
      <c r="AER1096" s="286"/>
      <c r="AES1096" s="286"/>
      <c r="AET1096" s="286"/>
      <c r="AEU1096" s="286"/>
      <c r="AEV1096" s="286"/>
      <c r="AEW1096" s="286"/>
      <c r="AEX1096" s="286"/>
      <c r="AEY1096" s="286"/>
      <c r="AEZ1096" s="286"/>
      <c r="AFA1096" s="286"/>
      <c r="AFB1096" s="286"/>
      <c r="AFC1096" s="286"/>
      <c r="AFD1096" s="286"/>
      <c r="AFE1096" s="286"/>
      <c r="AFF1096" s="286"/>
      <c r="AFG1096" s="286"/>
      <c r="AFH1096" s="286"/>
      <c r="AFI1096" s="286"/>
      <c r="AFJ1096" s="286"/>
      <c r="AFK1096" s="286"/>
      <c r="AFL1096" s="286"/>
      <c r="AFM1096" s="286"/>
      <c r="AFN1096" s="286"/>
      <c r="AFO1096" s="286"/>
      <c r="AFP1096" s="286"/>
      <c r="AFQ1096" s="286"/>
      <c r="AFR1096" s="286"/>
      <c r="AFS1096" s="286"/>
      <c r="AFT1096" s="286"/>
      <c r="AFU1096" s="286"/>
      <c r="AFV1096" s="286"/>
      <c r="AFW1096" s="286"/>
      <c r="AFX1096" s="286"/>
      <c r="AFY1096" s="286"/>
      <c r="AFZ1096" s="286"/>
      <c r="AGA1096" s="286"/>
      <c r="AGB1096" s="286"/>
      <c r="AGC1096" s="286"/>
      <c r="AGD1096" s="286"/>
      <c r="AGE1096" s="286"/>
      <c r="AGF1096" s="286"/>
      <c r="AGG1096" s="286"/>
      <c r="AGH1096" s="286"/>
      <c r="AGI1096" s="286"/>
      <c r="AGJ1096" s="286"/>
      <c r="AGK1096" s="286"/>
      <c r="AGL1096" s="286"/>
      <c r="AGM1096" s="286"/>
      <c r="AGN1096" s="286"/>
      <c r="AGO1096" s="286"/>
      <c r="AGP1096" s="286"/>
      <c r="AGQ1096" s="286"/>
      <c r="AGR1096" s="286"/>
      <c r="AGS1096" s="286"/>
      <c r="AGT1096" s="286"/>
      <c r="AGU1096" s="286"/>
      <c r="AGV1096" s="286"/>
      <c r="AGW1096" s="286"/>
      <c r="AGX1096" s="286"/>
      <c r="AGY1096" s="286"/>
      <c r="AGZ1096" s="286"/>
      <c r="AHA1096" s="286"/>
      <c r="AHB1096" s="286"/>
      <c r="AHC1096" s="286"/>
      <c r="AHD1096" s="286"/>
      <c r="AHE1096" s="286"/>
      <c r="AHF1096" s="286"/>
      <c r="AHG1096" s="286"/>
      <c r="AHH1096" s="286"/>
      <c r="AHI1096" s="286"/>
      <c r="AHJ1096" s="286"/>
      <c r="AHK1096" s="286"/>
      <c r="AHL1096" s="286"/>
      <c r="AHM1096" s="286"/>
      <c r="AHN1096" s="286"/>
      <c r="AHO1096" s="286"/>
      <c r="AHP1096" s="286"/>
      <c r="AHQ1096" s="286"/>
      <c r="AHR1096" s="286"/>
      <c r="AHS1096" s="286"/>
      <c r="AHT1096" s="286"/>
      <c r="AHU1096" s="286"/>
      <c r="AHV1096" s="286"/>
      <c r="AHW1096" s="286"/>
      <c r="AHX1096" s="286"/>
      <c r="AHY1096" s="286"/>
      <c r="AHZ1096" s="286"/>
      <c r="AIA1096" s="286"/>
      <c r="AIB1096" s="286"/>
      <c r="AIC1096" s="286"/>
      <c r="AID1096" s="286"/>
      <c r="AIE1096" s="286"/>
      <c r="AIF1096" s="286"/>
      <c r="AIG1096" s="286"/>
      <c r="AIH1096" s="286"/>
      <c r="AII1096" s="286"/>
      <c r="AIJ1096" s="286"/>
      <c r="AIK1096" s="286"/>
      <c r="AIL1096" s="286"/>
      <c r="AIM1096" s="286"/>
      <c r="AIN1096" s="286"/>
      <c r="AIO1096" s="286"/>
      <c r="AIP1096" s="286"/>
      <c r="AIQ1096" s="286"/>
      <c r="AIR1096" s="286"/>
      <c r="AIS1096" s="286"/>
      <c r="AIT1096" s="286"/>
      <c r="AIU1096" s="286"/>
      <c r="AIV1096" s="286"/>
      <c r="AIW1096" s="286"/>
      <c r="AIX1096" s="286"/>
      <c r="AIY1096" s="286"/>
      <c r="AIZ1096" s="286"/>
      <c r="AJA1096" s="286"/>
      <c r="AJB1096" s="286"/>
      <c r="AJC1096" s="286"/>
      <c r="AJD1096" s="286"/>
      <c r="AJE1096" s="286"/>
      <c r="AJF1096" s="286"/>
      <c r="AJG1096" s="286"/>
      <c r="AJH1096" s="286"/>
      <c r="AJI1096" s="286"/>
      <c r="AJJ1096" s="286"/>
      <c r="AJK1096" s="286"/>
      <c r="AJL1096" s="286"/>
      <c r="AJM1096" s="286"/>
      <c r="AJN1096" s="286"/>
      <c r="AJO1096" s="286"/>
      <c r="AJP1096" s="286"/>
      <c r="AJQ1096" s="286"/>
      <c r="AJR1096" s="286"/>
      <c r="AJS1096" s="286"/>
      <c r="AJT1096" s="286"/>
      <c r="AJU1096" s="286"/>
      <c r="AJV1096" s="286"/>
      <c r="AJW1096" s="286"/>
      <c r="AJX1096" s="286"/>
      <c r="AJY1096" s="286"/>
      <c r="AJZ1096" s="286"/>
      <c r="AKA1096" s="286"/>
      <c r="AKB1096" s="286"/>
      <c r="AKC1096" s="286"/>
      <c r="AKD1096" s="286"/>
      <c r="AKE1096" s="286"/>
      <c r="AKF1096" s="286"/>
      <c r="AKG1096" s="286"/>
      <c r="AKH1096" s="286"/>
      <c r="AKI1096" s="286"/>
      <c r="AKJ1096" s="286"/>
      <c r="AKK1096" s="286"/>
      <c r="AKL1096" s="286"/>
      <c r="AKM1096" s="286"/>
      <c r="AKN1096" s="286"/>
      <c r="AKO1096" s="286"/>
      <c r="AKP1096" s="286"/>
      <c r="AKQ1096" s="286"/>
      <c r="AKR1096" s="286"/>
      <c r="AKS1096" s="286"/>
      <c r="AKT1096" s="286"/>
      <c r="AKU1096" s="286"/>
      <c r="AKV1096" s="286"/>
      <c r="AKW1096" s="286"/>
      <c r="AKX1096" s="286"/>
      <c r="AKY1096" s="286"/>
      <c r="AKZ1096" s="286"/>
      <c r="ALA1096" s="286"/>
      <c r="ALB1096" s="286"/>
      <c r="ALC1096" s="286"/>
      <c r="ALD1096" s="286"/>
      <c r="ALE1096" s="286"/>
      <c r="ALF1096" s="286"/>
      <c r="ALG1096" s="286"/>
      <c r="ALH1096" s="286"/>
      <c r="ALI1096" s="286"/>
      <c r="ALJ1096" s="286"/>
      <c r="ALK1096" s="286"/>
      <c r="ALL1096" s="286"/>
      <c r="ALM1096" s="286"/>
      <c r="ALN1096" s="286"/>
      <c r="ALO1096" s="286"/>
      <c r="ALP1096" s="286"/>
      <c r="ALQ1096" s="286"/>
      <c r="ALR1096" s="286"/>
      <c r="ALS1096" s="286"/>
      <c r="ALT1096" s="286"/>
      <c r="ALU1096" s="286"/>
      <c r="ALV1096" s="286"/>
      <c r="ALW1096" s="286"/>
      <c r="ALX1096" s="286"/>
      <c r="ALY1096" s="286"/>
      <c r="ALZ1096" s="286"/>
      <c r="AMA1096" s="286"/>
      <c r="AMB1096" s="286"/>
      <c r="AMC1096" s="286"/>
      <c r="AMD1096" s="286"/>
      <c r="AME1096" s="286"/>
      <c r="AMF1096" s="286"/>
      <c r="AMG1096" s="286"/>
      <c r="AMH1096" s="286"/>
      <c r="AMI1096" s="286"/>
      <c r="AMJ1096" s="286"/>
      <c r="AMK1096" s="286"/>
      <c r="AML1096" s="286"/>
      <c r="AMM1096" s="286"/>
      <c r="AMN1096" s="286"/>
      <c r="AMO1096" s="286"/>
      <c r="AMP1096" s="286"/>
      <c r="AMQ1096" s="286"/>
      <c r="AMR1096" s="286"/>
      <c r="AMS1096" s="286"/>
      <c r="AMT1096" s="286"/>
      <c r="AMU1096" s="286"/>
      <c r="AMV1096" s="286"/>
      <c r="AMW1096" s="286"/>
      <c r="AMX1096" s="286"/>
      <c r="AMY1096" s="286"/>
      <c r="AMZ1096" s="286"/>
      <c r="ANA1096" s="286"/>
      <c r="ANB1096" s="286"/>
      <c r="ANC1096" s="286"/>
      <c r="AND1096" s="286"/>
      <c r="ANE1096" s="286"/>
      <c r="ANF1096" s="286"/>
      <c r="ANG1096" s="286"/>
      <c r="ANH1096" s="286"/>
      <c r="ANI1096" s="286"/>
      <c r="ANJ1096" s="286"/>
      <c r="ANK1096" s="286"/>
      <c r="ANL1096" s="286"/>
      <c r="ANM1096" s="286"/>
      <c r="ANN1096" s="286"/>
      <c r="ANO1096" s="286"/>
      <c r="ANP1096" s="286"/>
      <c r="ANQ1096" s="286"/>
      <c r="ANR1096" s="286"/>
      <c r="ANS1096" s="286"/>
      <c r="ANT1096" s="286"/>
      <c r="ANU1096" s="286"/>
      <c r="ANV1096" s="286"/>
      <c r="ANW1096" s="286"/>
      <c r="ANX1096" s="286"/>
      <c r="ANY1096" s="286"/>
      <c r="ANZ1096" s="286"/>
      <c r="AOA1096" s="286"/>
      <c r="AOB1096" s="286"/>
      <c r="AOC1096" s="286"/>
      <c r="AOD1096" s="286"/>
      <c r="AOE1096" s="286"/>
      <c r="AOF1096" s="286"/>
      <c r="AOG1096" s="286"/>
      <c r="AOH1096" s="286"/>
      <c r="AOI1096" s="286"/>
      <c r="AOJ1096" s="286"/>
      <c r="AOK1096" s="286"/>
      <c r="AOL1096" s="286"/>
      <c r="AOM1096" s="286"/>
      <c r="AON1096" s="286"/>
      <c r="AOO1096" s="286"/>
      <c r="AOP1096" s="286"/>
      <c r="AOQ1096" s="286"/>
      <c r="AOR1096" s="286"/>
      <c r="AOS1096" s="286"/>
      <c r="AOT1096" s="286"/>
      <c r="AOU1096" s="286"/>
      <c r="AOV1096" s="286"/>
      <c r="AOW1096" s="286"/>
      <c r="AOX1096" s="286"/>
      <c r="AOY1096" s="286"/>
      <c r="AOZ1096" s="286"/>
      <c r="APA1096" s="286"/>
      <c r="APB1096" s="286"/>
      <c r="APC1096" s="286"/>
      <c r="APD1096" s="286"/>
      <c r="APE1096" s="286"/>
      <c r="APF1096" s="286"/>
      <c r="APG1096" s="286"/>
      <c r="APH1096" s="286"/>
      <c r="API1096" s="286"/>
      <c r="APJ1096" s="286"/>
      <c r="APK1096" s="286"/>
      <c r="APL1096" s="286"/>
      <c r="APM1096" s="286"/>
      <c r="APN1096" s="286"/>
      <c r="APO1096" s="286"/>
      <c r="APP1096" s="286"/>
      <c r="APQ1096" s="286"/>
      <c r="APR1096" s="286"/>
      <c r="APS1096" s="286"/>
      <c r="APT1096" s="286"/>
      <c r="APU1096" s="286"/>
      <c r="APV1096" s="286"/>
      <c r="APW1096" s="286"/>
      <c r="APX1096" s="286"/>
      <c r="APY1096" s="286"/>
      <c r="APZ1096" s="286"/>
      <c r="AQA1096" s="286"/>
      <c r="AQB1096" s="286"/>
      <c r="AQC1096" s="286"/>
      <c r="AQD1096" s="286"/>
      <c r="AQE1096" s="286"/>
      <c r="AQF1096" s="286"/>
      <c r="AQG1096" s="286"/>
      <c r="AQH1096" s="286"/>
      <c r="AQI1096" s="286"/>
      <c r="AQJ1096" s="286"/>
      <c r="AQK1096" s="286"/>
      <c r="AQL1096" s="286"/>
      <c r="AQM1096" s="286"/>
      <c r="AQN1096" s="286"/>
      <c r="AQO1096" s="286"/>
      <c r="AQP1096" s="286"/>
      <c r="AQQ1096" s="286"/>
      <c r="AQR1096" s="286"/>
      <c r="AQS1096" s="286"/>
      <c r="AQT1096" s="286"/>
      <c r="AQU1096" s="286"/>
      <c r="AQV1096" s="286"/>
      <c r="AQW1096" s="286"/>
      <c r="AQX1096" s="286"/>
      <c r="AQY1096" s="286"/>
      <c r="AQZ1096" s="286"/>
      <c r="ARA1096" s="286"/>
      <c r="ARB1096" s="286"/>
      <c r="ARC1096" s="286"/>
      <c r="ARD1096" s="286"/>
      <c r="ARE1096" s="286"/>
      <c r="ARF1096" s="286"/>
      <c r="ARG1096" s="286"/>
      <c r="ARH1096" s="286"/>
      <c r="ARI1096" s="286"/>
      <c r="ARJ1096" s="286"/>
      <c r="ARK1096" s="286"/>
      <c r="ARL1096" s="286"/>
      <c r="ARM1096" s="286"/>
      <c r="ARN1096" s="286"/>
      <c r="ARO1096" s="286"/>
      <c r="ARP1096" s="286"/>
      <c r="ARQ1096" s="286"/>
      <c r="ARR1096" s="286"/>
      <c r="ARS1096" s="286"/>
      <c r="ART1096" s="286"/>
      <c r="ARU1096" s="286"/>
      <c r="ARV1096" s="286"/>
      <c r="ARW1096" s="286"/>
      <c r="ARX1096" s="286"/>
      <c r="ARY1096" s="286"/>
      <c r="ARZ1096" s="286"/>
      <c r="ASA1096" s="286"/>
      <c r="ASB1096" s="286"/>
      <c r="ASC1096" s="286"/>
      <c r="ASD1096" s="286"/>
      <c r="ASE1096" s="286"/>
      <c r="ASF1096" s="286"/>
      <c r="ASG1096" s="286"/>
      <c r="ASH1096" s="286"/>
      <c r="ASI1096" s="286"/>
      <c r="ASJ1096" s="286"/>
      <c r="ASK1096" s="286"/>
      <c r="ASL1096" s="286"/>
      <c r="ASM1096" s="286"/>
      <c r="ASN1096" s="286"/>
      <c r="ASO1096" s="286"/>
      <c r="ASP1096" s="286"/>
      <c r="ASQ1096" s="286"/>
      <c r="ASR1096" s="286"/>
      <c r="ASS1096" s="286"/>
      <c r="AST1096" s="286"/>
      <c r="ASU1096" s="286"/>
      <c r="ASV1096" s="286"/>
      <c r="ASW1096" s="286"/>
      <c r="ASX1096" s="286"/>
      <c r="ASY1096" s="286"/>
      <c r="ASZ1096" s="286"/>
      <c r="ATA1096" s="286"/>
      <c r="ATB1096" s="286"/>
      <c r="ATC1096" s="286"/>
      <c r="ATD1096" s="286"/>
      <c r="ATE1096" s="286"/>
      <c r="ATF1096" s="286"/>
      <c r="ATG1096" s="286"/>
      <c r="ATH1096" s="286"/>
      <c r="ATI1096" s="286"/>
      <c r="ATJ1096" s="286"/>
      <c r="ATK1096" s="286"/>
      <c r="ATL1096" s="286"/>
      <c r="ATM1096" s="286"/>
      <c r="ATN1096" s="286"/>
      <c r="ATO1096" s="286"/>
      <c r="ATP1096" s="286"/>
      <c r="ATQ1096" s="286"/>
      <c r="ATR1096" s="286"/>
      <c r="ATS1096" s="286"/>
      <c r="ATT1096" s="286"/>
      <c r="ATU1096" s="286"/>
      <c r="ATV1096" s="286"/>
      <c r="ATW1096" s="286"/>
      <c r="ATX1096" s="286"/>
      <c r="ATY1096" s="286"/>
      <c r="ATZ1096" s="286"/>
      <c r="AUA1096" s="286"/>
      <c r="AUB1096" s="286"/>
      <c r="AUC1096" s="286"/>
      <c r="AUD1096" s="286"/>
      <c r="AUE1096" s="286"/>
      <c r="AUF1096" s="286"/>
      <c r="AUG1096" s="286"/>
      <c r="AUH1096" s="286"/>
      <c r="AUI1096" s="286"/>
      <c r="AUJ1096" s="286"/>
      <c r="AUK1096" s="286"/>
      <c r="AUL1096" s="286"/>
      <c r="AUM1096" s="286"/>
      <c r="AUN1096" s="286"/>
      <c r="AUO1096" s="286"/>
      <c r="AUP1096" s="286"/>
      <c r="AUQ1096" s="286"/>
      <c r="AUR1096" s="286"/>
      <c r="AUS1096" s="286"/>
      <c r="AUT1096" s="286"/>
      <c r="AUU1096" s="286"/>
      <c r="AUV1096" s="286"/>
      <c r="AUW1096" s="286"/>
      <c r="AUX1096" s="286"/>
      <c r="AUY1096" s="286"/>
      <c r="AUZ1096" s="286"/>
      <c r="AVA1096" s="286"/>
      <c r="AVB1096" s="286"/>
      <c r="AVC1096" s="286"/>
      <c r="AVD1096" s="286"/>
      <c r="AVE1096" s="286"/>
      <c r="AVF1096" s="286"/>
      <c r="AVG1096" s="286"/>
      <c r="AVH1096" s="286"/>
      <c r="AVI1096" s="286"/>
      <c r="AVJ1096" s="286"/>
      <c r="AVK1096" s="286"/>
      <c r="AVL1096" s="286"/>
      <c r="AVM1096" s="286"/>
      <c r="AVN1096" s="286"/>
      <c r="AVO1096" s="286"/>
      <c r="AVP1096" s="286"/>
      <c r="AVQ1096" s="286"/>
      <c r="AVR1096" s="286"/>
      <c r="AVS1096" s="286"/>
      <c r="AVT1096" s="286"/>
      <c r="AVU1096" s="286"/>
      <c r="AVV1096" s="286"/>
      <c r="AVW1096" s="286"/>
      <c r="AVX1096" s="286"/>
      <c r="AVY1096" s="286"/>
      <c r="AVZ1096" s="286"/>
      <c r="AWA1096" s="286"/>
      <c r="AWB1096" s="286"/>
      <c r="AWC1096" s="286"/>
      <c r="AWD1096" s="286"/>
      <c r="AWE1096" s="286"/>
      <c r="AWF1096" s="286"/>
      <c r="AWG1096" s="286"/>
      <c r="AWH1096" s="286"/>
      <c r="AWI1096" s="286"/>
      <c r="AWJ1096" s="286"/>
      <c r="AWK1096" s="286"/>
      <c r="AWL1096" s="286"/>
      <c r="AWM1096" s="286"/>
      <c r="AWN1096" s="286"/>
      <c r="AWO1096" s="286"/>
      <c r="AWP1096" s="286"/>
      <c r="AWQ1096" s="286"/>
      <c r="AWR1096" s="286"/>
      <c r="AWS1096" s="286"/>
      <c r="AWT1096" s="286"/>
      <c r="AWU1096" s="286"/>
      <c r="AWV1096" s="286"/>
      <c r="AWW1096" s="286"/>
      <c r="AWX1096" s="286"/>
      <c r="AWY1096" s="286"/>
      <c r="AWZ1096" s="286"/>
      <c r="AXA1096" s="286"/>
      <c r="AXB1096" s="286"/>
      <c r="AXC1096" s="286"/>
      <c r="AXD1096" s="286"/>
      <c r="AXE1096" s="286"/>
      <c r="AXF1096" s="286"/>
      <c r="AXG1096" s="286"/>
      <c r="AXH1096" s="286"/>
      <c r="AXI1096" s="286"/>
      <c r="AXJ1096" s="286"/>
      <c r="AXK1096" s="286"/>
      <c r="AXL1096" s="286"/>
      <c r="AXM1096" s="286"/>
      <c r="AXN1096" s="286"/>
      <c r="AXO1096" s="286"/>
      <c r="AXP1096" s="286"/>
      <c r="AXQ1096" s="286"/>
      <c r="AXR1096" s="286"/>
      <c r="AXS1096" s="286"/>
      <c r="AXT1096" s="286"/>
      <c r="AXU1096" s="286"/>
      <c r="AXV1096" s="286"/>
      <c r="AXW1096" s="286"/>
      <c r="AXX1096" s="286"/>
      <c r="AXY1096" s="286"/>
      <c r="AXZ1096" s="286"/>
      <c r="AYA1096" s="286"/>
      <c r="AYB1096" s="286"/>
      <c r="AYC1096" s="286"/>
      <c r="AYD1096" s="286"/>
      <c r="AYE1096" s="286"/>
      <c r="AYF1096" s="286"/>
      <c r="AYG1096" s="286"/>
      <c r="AYH1096" s="286"/>
      <c r="AYI1096" s="286"/>
      <c r="AYJ1096" s="286"/>
      <c r="AYK1096" s="286"/>
      <c r="AYL1096" s="286"/>
      <c r="AYM1096" s="286"/>
      <c r="AYN1096" s="286"/>
      <c r="AYO1096" s="286"/>
      <c r="AYP1096" s="286"/>
      <c r="AYQ1096" s="286"/>
      <c r="AYR1096" s="286"/>
      <c r="AYS1096" s="286"/>
      <c r="AYT1096" s="286"/>
      <c r="AYU1096" s="286"/>
      <c r="AYV1096" s="286"/>
      <c r="AYW1096" s="286"/>
      <c r="AYX1096" s="286"/>
      <c r="AYY1096" s="286"/>
      <c r="AYZ1096" s="286"/>
      <c r="AZA1096" s="286"/>
      <c r="AZB1096" s="286"/>
      <c r="AZC1096" s="286"/>
      <c r="AZD1096" s="286"/>
      <c r="AZE1096" s="286"/>
      <c r="AZF1096" s="286"/>
      <c r="AZG1096" s="286"/>
      <c r="AZH1096" s="286"/>
      <c r="AZI1096" s="286"/>
      <c r="AZJ1096" s="286"/>
      <c r="AZK1096" s="286"/>
      <c r="AZL1096" s="286"/>
      <c r="AZM1096" s="286"/>
      <c r="AZN1096" s="286"/>
      <c r="AZO1096" s="286"/>
      <c r="AZP1096" s="286"/>
      <c r="AZQ1096" s="286"/>
      <c r="AZR1096" s="286"/>
      <c r="AZS1096" s="286"/>
      <c r="AZT1096" s="286"/>
      <c r="AZU1096" s="286"/>
      <c r="AZV1096" s="286"/>
      <c r="AZW1096" s="286"/>
      <c r="AZX1096" s="286"/>
      <c r="AZY1096" s="286"/>
      <c r="AZZ1096" s="286"/>
      <c r="BAA1096" s="286"/>
      <c r="BAB1096" s="286"/>
      <c r="BAC1096" s="286"/>
      <c r="BAD1096" s="286"/>
      <c r="BAE1096" s="286"/>
      <c r="BAF1096" s="286"/>
      <c r="BAG1096" s="286"/>
      <c r="BAH1096" s="286"/>
      <c r="BAI1096" s="286"/>
      <c r="BAJ1096" s="286"/>
      <c r="BAK1096" s="286"/>
      <c r="BAL1096" s="286"/>
      <c r="BAM1096" s="286"/>
      <c r="BAN1096" s="286"/>
      <c r="BAO1096" s="286"/>
      <c r="BAP1096" s="286"/>
      <c r="BAQ1096" s="286"/>
      <c r="BAR1096" s="286"/>
      <c r="BAS1096" s="286"/>
      <c r="BAT1096" s="286"/>
      <c r="BAU1096" s="286"/>
      <c r="BAV1096" s="286"/>
      <c r="BAW1096" s="286"/>
      <c r="BAX1096" s="286"/>
      <c r="BAY1096" s="286"/>
      <c r="BAZ1096" s="286"/>
      <c r="BBA1096" s="286"/>
      <c r="BBB1096" s="286"/>
      <c r="BBC1096" s="286"/>
      <c r="BBD1096" s="286"/>
      <c r="BBE1096" s="286"/>
      <c r="BBF1096" s="286"/>
      <c r="BBG1096" s="286"/>
      <c r="BBH1096" s="286"/>
      <c r="BBI1096" s="286"/>
      <c r="BBJ1096" s="286"/>
      <c r="BBK1096" s="286"/>
      <c r="BBL1096" s="286"/>
      <c r="BBM1096" s="286"/>
      <c r="BBN1096" s="286"/>
      <c r="BBO1096" s="286"/>
      <c r="BBP1096" s="286"/>
      <c r="BBQ1096" s="286"/>
      <c r="BBR1096" s="286"/>
      <c r="BBS1096" s="286"/>
      <c r="BBT1096" s="286"/>
      <c r="BBU1096" s="286"/>
      <c r="BBV1096" s="286"/>
      <c r="BBW1096" s="286"/>
      <c r="BBX1096" s="286"/>
      <c r="BBY1096" s="286"/>
      <c r="BBZ1096" s="286"/>
      <c r="BCA1096" s="286"/>
      <c r="BCB1096" s="286"/>
      <c r="BCC1096" s="286"/>
      <c r="BCD1096" s="286"/>
      <c r="BCE1096" s="286"/>
      <c r="BCF1096" s="286"/>
      <c r="BCG1096" s="286"/>
      <c r="BCH1096" s="286"/>
      <c r="BCI1096" s="286"/>
      <c r="BCJ1096" s="286"/>
      <c r="BCK1096" s="286"/>
      <c r="BCL1096" s="286"/>
      <c r="BCM1096" s="286"/>
      <c r="BCN1096" s="286"/>
      <c r="BCO1096" s="286"/>
      <c r="BCP1096" s="286"/>
      <c r="BCQ1096" s="286"/>
      <c r="BCR1096" s="286"/>
      <c r="BCS1096" s="286"/>
      <c r="BCT1096" s="286"/>
      <c r="BCU1096" s="286"/>
      <c r="BCV1096" s="286"/>
      <c r="BCW1096" s="286"/>
      <c r="BCX1096" s="286"/>
      <c r="BCY1096" s="286"/>
      <c r="BCZ1096" s="286"/>
      <c r="BDA1096" s="286"/>
      <c r="BDB1096" s="286"/>
      <c r="BDC1096" s="286"/>
      <c r="BDD1096" s="286"/>
      <c r="BDE1096" s="286"/>
      <c r="BDF1096" s="286"/>
      <c r="BDG1096" s="286"/>
      <c r="BDH1096" s="286"/>
      <c r="BDI1096" s="286"/>
      <c r="BDJ1096" s="286"/>
      <c r="BDK1096" s="286"/>
      <c r="BDL1096" s="286"/>
      <c r="BDM1096" s="286"/>
      <c r="BDN1096" s="286"/>
      <c r="BDO1096" s="286"/>
      <c r="BDP1096" s="286"/>
      <c r="BDQ1096" s="286"/>
      <c r="BDR1096" s="286"/>
      <c r="BDS1096" s="286"/>
      <c r="BDT1096" s="286"/>
      <c r="BDU1096" s="286"/>
      <c r="BDV1096" s="286"/>
      <c r="BDW1096" s="286"/>
      <c r="BDX1096" s="286"/>
      <c r="BDY1096" s="286"/>
      <c r="BDZ1096" s="286"/>
      <c r="BEA1096" s="286"/>
      <c r="BEB1096" s="286"/>
      <c r="BEC1096" s="286"/>
      <c r="BED1096" s="286"/>
      <c r="BEE1096" s="286"/>
      <c r="BEF1096" s="286"/>
      <c r="BEG1096" s="286"/>
      <c r="BEH1096" s="286"/>
      <c r="BEI1096" s="286"/>
      <c r="BEJ1096" s="286"/>
      <c r="BEK1096" s="286"/>
      <c r="BEL1096" s="286"/>
      <c r="BEM1096" s="286"/>
      <c r="BEN1096" s="286"/>
      <c r="BEO1096" s="286"/>
      <c r="BEP1096" s="286"/>
      <c r="BEQ1096" s="286"/>
      <c r="BER1096" s="286"/>
      <c r="BES1096" s="286"/>
      <c r="BET1096" s="286"/>
      <c r="BEU1096" s="286"/>
      <c r="BEV1096" s="286"/>
      <c r="BEW1096" s="286"/>
      <c r="BEX1096" s="286"/>
      <c r="BEY1096" s="286"/>
      <c r="BEZ1096" s="286"/>
      <c r="BFA1096" s="286"/>
      <c r="BFB1096" s="286"/>
      <c r="BFC1096" s="286"/>
      <c r="BFD1096" s="286"/>
      <c r="BFE1096" s="286"/>
      <c r="BFF1096" s="286"/>
      <c r="BFG1096" s="286"/>
      <c r="BFH1096" s="286"/>
      <c r="BFI1096" s="286"/>
      <c r="BFJ1096" s="286"/>
      <c r="BFK1096" s="286"/>
      <c r="BFL1096" s="286"/>
      <c r="BFM1096" s="286"/>
      <c r="BFN1096" s="286"/>
      <c r="BFO1096" s="286"/>
      <c r="BFP1096" s="286"/>
      <c r="BFQ1096" s="286"/>
      <c r="BFR1096" s="286"/>
      <c r="BFS1096" s="286"/>
      <c r="BFT1096" s="286"/>
      <c r="BFU1096" s="286"/>
      <c r="BFV1096" s="286"/>
      <c r="BFW1096" s="286"/>
      <c r="BFX1096" s="286"/>
      <c r="BFY1096" s="286"/>
      <c r="BFZ1096" s="286"/>
      <c r="BGA1096" s="286"/>
      <c r="BGB1096" s="286"/>
      <c r="BGC1096" s="286"/>
      <c r="BGD1096" s="286"/>
      <c r="BGE1096" s="286"/>
      <c r="BGF1096" s="286"/>
      <c r="BGG1096" s="286"/>
      <c r="BGH1096" s="286"/>
      <c r="BGI1096" s="286"/>
      <c r="BGJ1096" s="286"/>
      <c r="BGK1096" s="286"/>
      <c r="BGL1096" s="286"/>
      <c r="BGM1096" s="286"/>
      <c r="BGN1096" s="286"/>
      <c r="BGO1096" s="286"/>
      <c r="BGP1096" s="286"/>
      <c r="BGQ1096" s="286"/>
      <c r="BGR1096" s="286"/>
      <c r="BGS1096" s="286"/>
      <c r="BGT1096" s="286"/>
      <c r="BGU1096" s="286"/>
      <c r="BGV1096" s="286"/>
      <c r="BGW1096" s="286"/>
      <c r="BGX1096" s="286"/>
      <c r="BGY1096" s="286"/>
      <c r="BGZ1096" s="286"/>
      <c r="BHA1096" s="286"/>
      <c r="BHB1096" s="286"/>
      <c r="BHC1096" s="286"/>
      <c r="BHD1096" s="286"/>
      <c r="BHE1096" s="286"/>
      <c r="BHF1096" s="286"/>
      <c r="BHG1096" s="286"/>
      <c r="BHH1096" s="286"/>
      <c r="BHI1096" s="286"/>
      <c r="BHJ1096" s="286"/>
      <c r="BHK1096" s="286"/>
      <c r="BHL1096" s="286"/>
      <c r="BHM1096" s="286"/>
      <c r="BHN1096" s="286"/>
      <c r="BHO1096" s="286"/>
      <c r="BHP1096" s="286"/>
      <c r="BHQ1096" s="286"/>
      <c r="BHR1096" s="286"/>
      <c r="BHS1096" s="286"/>
      <c r="BHT1096" s="286"/>
      <c r="BHU1096" s="286"/>
      <c r="BHV1096" s="286"/>
      <c r="BHW1096" s="286"/>
      <c r="BHX1096" s="286"/>
      <c r="BHY1096" s="286"/>
      <c r="BHZ1096" s="286"/>
      <c r="BIA1096" s="286"/>
      <c r="BIB1096" s="286"/>
      <c r="BIC1096" s="286"/>
      <c r="BID1096" s="286"/>
      <c r="BIE1096" s="286"/>
      <c r="BIF1096" s="286"/>
      <c r="BIG1096" s="286"/>
      <c r="BIH1096" s="286"/>
      <c r="BII1096" s="286"/>
      <c r="BIJ1096" s="286"/>
      <c r="BIK1096" s="286"/>
      <c r="BIL1096" s="286"/>
      <c r="BIM1096" s="286"/>
      <c r="BIN1096" s="286"/>
      <c r="BIO1096" s="286"/>
      <c r="BIP1096" s="286"/>
      <c r="BIQ1096" s="286"/>
      <c r="BIR1096" s="286"/>
      <c r="BIS1096" s="286"/>
      <c r="BIT1096" s="286"/>
      <c r="BIU1096" s="286"/>
      <c r="BIV1096" s="286"/>
      <c r="BIW1096" s="286"/>
      <c r="BIX1096" s="286"/>
      <c r="BIY1096" s="286"/>
      <c r="BIZ1096" s="286"/>
      <c r="BJA1096" s="286"/>
      <c r="BJB1096" s="286"/>
      <c r="BJC1096" s="286"/>
      <c r="BJD1096" s="286"/>
      <c r="BJE1096" s="286"/>
      <c r="BJF1096" s="286"/>
      <c r="BJG1096" s="286"/>
      <c r="BJH1096" s="286"/>
      <c r="BJI1096" s="286"/>
      <c r="BJJ1096" s="286"/>
      <c r="BJK1096" s="286"/>
      <c r="BJL1096" s="286"/>
      <c r="BJM1096" s="286"/>
      <c r="BJN1096" s="286"/>
      <c r="BJO1096" s="286"/>
      <c r="BJP1096" s="286"/>
      <c r="BJQ1096" s="286"/>
      <c r="BJR1096" s="286"/>
      <c r="BJS1096" s="286"/>
      <c r="BJT1096" s="286"/>
      <c r="BJU1096" s="286"/>
      <c r="BJV1096" s="286"/>
      <c r="BJW1096" s="286"/>
      <c r="BJX1096" s="286"/>
      <c r="BJY1096" s="286"/>
      <c r="BJZ1096" s="286"/>
      <c r="BKA1096" s="286"/>
      <c r="BKB1096" s="286"/>
      <c r="BKC1096" s="286"/>
      <c r="BKD1096" s="286"/>
      <c r="BKE1096" s="286"/>
      <c r="BKF1096" s="286"/>
      <c r="BKG1096" s="286"/>
      <c r="BKH1096" s="286"/>
      <c r="BKI1096" s="286"/>
      <c r="BKJ1096" s="286"/>
      <c r="BKK1096" s="286"/>
      <c r="BKL1096" s="286"/>
      <c r="BKM1096" s="286"/>
      <c r="BKN1096" s="286"/>
      <c r="BKO1096" s="286"/>
      <c r="BKP1096" s="286"/>
      <c r="BKQ1096" s="286"/>
      <c r="BKR1096" s="286"/>
      <c r="BKS1096" s="286"/>
      <c r="BKT1096" s="286"/>
      <c r="BKU1096" s="286"/>
      <c r="BKV1096" s="286"/>
      <c r="BKW1096" s="286"/>
      <c r="BKX1096" s="286"/>
      <c r="BKY1096" s="286"/>
      <c r="BKZ1096" s="286"/>
      <c r="BLA1096" s="286"/>
      <c r="BLB1096" s="286"/>
      <c r="BLC1096" s="286"/>
      <c r="BLD1096" s="286"/>
      <c r="BLE1096" s="286"/>
      <c r="BLF1096" s="286"/>
      <c r="BLG1096" s="286"/>
      <c r="BLH1096" s="286"/>
      <c r="BLI1096" s="286"/>
      <c r="BLJ1096" s="286"/>
      <c r="BLK1096" s="286"/>
      <c r="BLL1096" s="286"/>
      <c r="BLM1096" s="286"/>
      <c r="BLN1096" s="286"/>
      <c r="BLO1096" s="286"/>
      <c r="BLP1096" s="286"/>
      <c r="BLQ1096" s="286"/>
      <c r="BLR1096" s="286"/>
      <c r="BLS1096" s="286"/>
      <c r="BLT1096" s="286"/>
      <c r="BLU1096" s="286"/>
      <c r="BLV1096" s="286"/>
      <c r="BLW1096" s="286"/>
      <c r="BLX1096" s="286"/>
      <c r="BLY1096" s="286"/>
      <c r="BLZ1096" s="286"/>
      <c r="BMA1096" s="286"/>
      <c r="BMB1096" s="286"/>
      <c r="BMC1096" s="286"/>
      <c r="BMD1096" s="286"/>
      <c r="BME1096" s="286"/>
      <c r="BMF1096" s="286"/>
      <c r="BMG1096" s="286"/>
      <c r="BMH1096" s="286"/>
      <c r="BMI1096" s="286"/>
      <c r="BMJ1096" s="286"/>
      <c r="BMK1096" s="286"/>
      <c r="BML1096" s="286"/>
      <c r="BMM1096" s="286"/>
      <c r="BMN1096" s="286"/>
      <c r="BMO1096" s="286"/>
      <c r="BMP1096" s="286"/>
      <c r="BMQ1096" s="286"/>
      <c r="BMR1096" s="286"/>
      <c r="BMS1096" s="286"/>
      <c r="BMT1096" s="286"/>
      <c r="BMU1096" s="286"/>
      <c r="BMV1096" s="286"/>
      <c r="BMW1096" s="286"/>
      <c r="BMX1096" s="286"/>
      <c r="BMY1096" s="286"/>
      <c r="BMZ1096" s="286"/>
      <c r="BNA1096" s="286"/>
      <c r="BNB1096" s="286"/>
      <c r="BNC1096" s="286"/>
      <c r="BND1096" s="286"/>
      <c r="BNE1096" s="286"/>
      <c r="BNF1096" s="286"/>
      <c r="BNG1096" s="286"/>
      <c r="BNH1096" s="286"/>
      <c r="BNI1096" s="286"/>
      <c r="BNJ1096" s="286"/>
      <c r="BNK1096" s="286"/>
      <c r="BNL1096" s="286"/>
      <c r="BNM1096" s="286"/>
      <c r="BNN1096" s="286"/>
      <c r="BNO1096" s="286"/>
      <c r="BNP1096" s="286"/>
      <c r="BNQ1096" s="286"/>
      <c r="BNR1096" s="286"/>
      <c r="BNS1096" s="286"/>
      <c r="BNT1096" s="286"/>
      <c r="BNU1096" s="286"/>
      <c r="BNV1096" s="286"/>
      <c r="BNW1096" s="286"/>
      <c r="BNX1096" s="286"/>
      <c r="BNY1096" s="286"/>
      <c r="BNZ1096" s="286"/>
      <c r="BOA1096" s="286"/>
      <c r="BOB1096" s="286"/>
      <c r="BOC1096" s="286"/>
      <c r="BOD1096" s="286"/>
      <c r="BOE1096" s="286"/>
      <c r="BOF1096" s="286"/>
      <c r="BOG1096" s="286"/>
      <c r="BOH1096" s="286"/>
      <c r="BOI1096" s="286"/>
      <c r="BOJ1096" s="286"/>
      <c r="BOK1096" s="286"/>
      <c r="BOL1096" s="286"/>
      <c r="BOM1096" s="286"/>
      <c r="BON1096" s="286"/>
      <c r="BOO1096" s="286"/>
      <c r="BOP1096" s="286"/>
      <c r="BOQ1096" s="286"/>
      <c r="BOR1096" s="286"/>
      <c r="BOS1096" s="286"/>
      <c r="BOT1096" s="286"/>
      <c r="BOU1096" s="286"/>
      <c r="BOV1096" s="286"/>
      <c r="BOW1096" s="286"/>
      <c r="BOX1096" s="286"/>
      <c r="BOY1096" s="286"/>
      <c r="BOZ1096" s="286"/>
      <c r="BPA1096" s="286"/>
      <c r="BPB1096" s="286"/>
      <c r="BPC1096" s="286"/>
      <c r="BPD1096" s="286"/>
      <c r="BPE1096" s="286"/>
      <c r="BPF1096" s="286"/>
      <c r="BPG1096" s="286"/>
      <c r="BPH1096" s="286"/>
      <c r="BPI1096" s="286"/>
      <c r="BPJ1096" s="286"/>
      <c r="BPK1096" s="286"/>
      <c r="BPL1096" s="286"/>
      <c r="BPM1096" s="286"/>
      <c r="BPN1096" s="286"/>
      <c r="BPO1096" s="286"/>
      <c r="BPP1096" s="286"/>
      <c r="BPQ1096" s="286"/>
      <c r="BPR1096" s="286"/>
      <c r="BPS1096" s="286"/>
      <c r="BPT1096" s="286"/>
      <c r="BPU1096" s="286"/>
      <c r="BPV1096" s="286"/>
      <c r="BPW1096" s="286"/>
      <c r="BPX1096" s="286"/>
      <c r="BPY1096" s="286"/>
      <c r="BPZ1096" s="286"/>
      <c r="BQA1096" s="286"/>
      <c r="BQB1096" s="286"/>
      <c r="BQC1096" s="286"/>
      <c r="BQD1096" s="286"/>
      <c r="BQE1096" s="286"/>
      <c r="BQF1096" s="286"/>
      <c r="BQG1096" s="286"/>
      <c r="BQH1096" s="286"/>
      <c r="BQI1096" s="286"/>
      <c r="BQJ1096" s="286"/>
      <c r="BQK1096" s="286"/>
      <c r="BQL1096" s="286"/>
      <c r="BQM1096" s="286"/>
      <c r="BQN1096" s="286"/>
      <c r="BQO1096" s="286"/>
      <c r="BQP1096" s="286"/>
      <c r="BQQ1096" s="286"/>
      <c r="BQR1096" s="286"/>
      <c r="BQS1096" s="286"/>
      <c r="BQT1096" s="286"/>
      <c r="BQU1096" s="286"/>
      <c r="BQV1096" s="286"/>
      <c r="BQW1096" s="286"/>
      <c r="BQX1096" s="286"/>
      <c r="BQY1096" s="286"/>
      <c r="BQZ1096" s="286"/>
      <c r="BRA1096" s="286"/>
      <c r="BRB1096" s="286"/>
      <c r="BRC1096" s="286"/>
      <c r="BRD1096" s="286"/>
      <c r="BRE1096" s="286"/>
      <c r="BRF1096" s="286"/>
      <c r="BRG1096" s="286"/>
      <c r="BRH1096" s="286"/>
      <c r="BRI1096" s="286"/>
      <c r="BRJ1096" s="286"/>
      <c r="BRK1096" s="286"/>
      <c r="BRL1096" s="286"/>
      <c r="BRM1096" s="286"/>
      <c r="BRN1096" s="286"/>
      <c r="BRO1096" s="286"/>
      <c r="BRP1096" s="286"/>
      <c r="BRQ1096" s="286"/>
      <c r="BRR1096" s="286"/>
      <c r="BRS1096" s="286"/>
      <c r="BRT1096" s="286"/>
      <c r="BRU1096" s="286"/>
      <c r="BRV1096" s="286"/>
      <c r="BRW1096" s="286"/>
      <c r="BRX1096" s="286"/>
      <c r="BRY1096" s="286"/>
      <c r="BRZ1096" s="286"/>
      <c r="BSA1096" s="286"/>
      <c r="BSB1096" s="286"/>
      <c r="BSC1096" s="286"/>
      <c r="BSD1096" s="286"/>
      <c r="BSE1096" s="286"/>
      <c r="BSF1096" s="286"/>
      <c r="BSG1096" s="286"/>
      <c r="BSH1096" s="286"/>
      <c r="BSI1096" s="286"/>
      <c r="BSJ1096" s="286"/>
      <c r="BSK1096" s="286"/>
      <c r="BSL1096" s="286"/>
      <c r="BSM1096" s="286"/>
      <c r="BSN1096" s="286"/>
      <c r="BSO1096" s="286"/>
      <c r="BSP1096" s="286"/>
      <c r="BSQ1096" s="286"/>
      <c r="BSR1096" s="286"/>
      <c r="BSS1096" s="286"/>
      <c r="BST1096" s="286"/>
      <c r="BSU1096" s="286"/>
      <c r="BSV1096" s="286"/>
      <c r="BSW1096" s="286"/>
      <c r="BSX1096" s="286"/>
      <c r="BSY1096" s="286"/>
      <c r="BSZ1096" s="286"/>
      <c r="BTA1096" s="286"/>
      <c r="BTB1096" s="286"/>
      <c r="BTC1096" s="286"/>
      <c r="BTD1096" s="286"/>
      <c r="BTE1096" s="286"/>
      <c r="BTF1096" s="286"/>
      <c r="BTG1096" s="286"/>
      <c r="BTH1096" s="286"/>
      <c r="BTI1096" s="286"/>
      <c r="BTJ1096" s="286"/>
      <c r="BTK1096" s="286"/>
      <c r="BTL1096" s="286"/>
      <c r="BTM1096" s="286"/>
      <c r="BTN1096" s="286"/>
      <c r="BTO1096" s="286"/>
      <c r="BTP1096" s="286"/>
      <c r="BTQ1096" s="286"/>
      <c r="BTR1096" s="286"/>
      <c r="BTS1096" s="286"/>
      <c r="BTT1096" s="286"/>
      <c r="BTU1096" s="286"/>
      <c r="BTV1096" s="286"/>
      <c r="BTW1096" s="286"/>
      <c r="BTX1096" s="286"/>
      <c r="BTY1096" s="286"/>
      <c r="BTZ1096" s="286"/>
      <c r="BUA1096" s="286"/>
      <c r="BUB1096" s="286"/>
      <c r="BUC1096" s="286"/>
      <c r="BUD1096" s="286"/>
      <c r="BUE1096" s="286"/>
      <c r="BUF1096" s="286"/>
      <c r="BUG1096" s="286"/>
      <c r="BUH1096" s="286"/>
      <c r="BUI1096" s="286"/>
      <c r="BUJ1096" s="286"/>
      <c r="BUK1096" s="286"/>
      <c r="BUL1096" s="286"/>
      <c r="BUM1096" s="286"/>
      <c r="BUN1096" s="286"/>
      <c r="BUO1096" s="286"/>
      <c r="BUP1096" s="286"/>
      <c r="BUQ1096" s="286"/>
      <c r="BUR1096" s="286"/>
      <c r="BUS1096" s="286"/>
      <c r="BUT1096" s="286"/>
      <c r="BUU1096" s="286"/>
      <c r="BUV1096" s="286"/>
      <c r="BUW1096" s="286"/>
      <c r="BUX1096" s="286"/>
      <c r="BUY1096" s="286"/>
      <c r="BUZ1096" s="286"/>
      <c r="BVA1096" s="286"/>
      <c r="BVB1096" s="286"/>
      <c r="BVC1096" s="286"/>
      <c r="BVD1096" s="286"/>
      <c r="BVE1096" s="286"/>
      <c r="BVF1096" s="286"/>
      <c r="BVG1096" s="286"/>
      <c r="BVH1096" s="286"/>
      <c r="BVI1096" s="286"/>
      <c r="BVJ1096" s="286"/>
      <c r="BVK1096" s="286"/>
      <c r="BVL1096" s="286"/>
      <c r="BVM1096" s="286"/>
      <c r="BVN1096" s="286"/>
      <c r="BVO1096" s="286"/>
      <c r="BVP1096" s="286"/>
      <c r="BVQ1096" s="286"/>
      <c r="BVR1096" s="286"/>
      <c r="BVS1096" s="286"/>
      <c r="BVT1096" s="286"/>
      <c r="BVU1096" s="286"/>
      <c r="BVV1096" s="286"/>
      <c r="BVW1096" s="286"/>
      <c r="BVX1096" s="286"/>
      <c r="BVY1096" s="286"/>
      <c r="BVZ1096" s="286"/>
      <c r="BWA1096" s="286"/>
      <c r="BWB1096" s="286"/>
      <c r="BWC1096" s="286"/>
      <c r="BWD1096" s="286"/>
      <c r="BWE1096" s="286"/>
      <c r="BWF1096" s="286"/>
      <c r="BWG1096" s="286"/>
      <c r="BWH1096" s="286"/>
      <c r="BWI1096" s="286"/>
      <c r="BWJ1096" s="286"/>
      <c r="BWK1096" s="286"/>
      <c r="BWL1096" s="286"/>
      <c r="BWM1096" s="286"/>
      <c r="BWN1096" s="286"/>
      <c r="BWO1096" s="286"/>
      <c r="BWP1096" s="286"/>
      <c r="BWQ1096" s="286"/>
      <c r="BWR1096" s="286"/>
      <c r="BWS1096" s="286"/>
      <c r="BWT1096" s="286"/>
      <c r="BWU1096" s="286"/>
      <c r="BWV1096" s="286"/>
      <c r="BWW1096" s="286"/>
      <c r="BWX1096" s="286"/>
      <c r="BWY1096" s="286"/>
      <c r="BWZ1096" s="286"/>
      <c r="BXA1096" s="286"/>
      <c r="BXB1096" s="286"/>
      <c r="BXC1096" s="286"/>
      <c r="BXD1096" s="286"/>
      <c r="BXE1096" s="286"/>
      <c r="BXF1096" s="286"/>
      <c r="BXG1096" s="286"/>
      <c r="BXH1096" s="286"/>
      <c r="BXI1096" s="286"/>
      <c r="BXJ1096" s="286"/>
      <c r="BXK1096" s="286"/>
      <c r="BXL1096" s="286"/>
      <c r="BXM1096" s="286"/>
      <c r="BXN1096" s="286"/>
      <c r="BXO1096" s="286"/>
      <c r="BXP1096" s="286"/>
      <c r="BXQ1096" s="286"/>
      <c r="BXR1096" s="286"/>
      <c r="BXS1096" s="286"/>
      <c r="BXT1096" s="286"/>
      <c r="BXU1096" s="286"/>
      <c r="BXV1096" s="286"/>
      <c r="BXW1096" s="286"/>
      <c r="BXX1096" s="286"/>
      <c r="BXY1096" s="286"/>
      <c r="BXZ1096" s="286"/>
      <c r="BYA1096" s="286"/>
      <c r="BYB1096" s="286"/>
      <c r="BYC1096" s="286"/>
      <c r="BYD1096" s="286"/>
      <c r="BYE1096" s="286"/>
      <c r="BYF1096" s="286"/>
      <c r="BYG1096" s="286"/>
      <c r="BYH1096" s="286"/>
      <c r="BYI1096" s="286"/>
      <c r="BYJ1096" s="286"/>
      <c r="BYK1096" s="286"/>
      <c r="BYL1096" s="286"/>
      <c r="BYM1096" s="286"/>
      <c r="BYN1096" s="286"/>
      <c r="BYO1096" s="286"/>
      <c r="BYP1096" s="286"/>
      <c r="BYQ1096" s="286"/>
      <c r="BYR1096" s="286"/>
      <c r="BYS1096" s="286"/>
      <c r="BYT1096" s="286"/>
      <c r="BYU1096" s="286"/>
      <c r="BYV1096" s="286"/>
      <c r="BYW1096" s="286"/>
      <c r="BYX1096" s="286"/>
      <c r="BYY1096" s="286"/>
      <c r="BYZ1096" s="286"/>
      <c r="BZA1096" s="286"/>
      <c r="BZB1096" s="286"/>
      <c r="BZC1096" s="286"/>
      <c r="BZD1096" s="286"/>
      <c r="BZE1096" s="286"/>
      <c r="BZF1096" s="286"/>
      <c r="BZG1096" s="286"/>
      <c r="BZH1096" s="286"/>
      <c r="BZI1096" s="286"/>
      <c r="BZJ1096" s="286"/>
      <c r="BZK1096" s="286"/>
      <c r="BZL1096" s="286"/>
      <c r="BZM1096" s="286"/>
      <c r="BZN1096" s="286"/>
      <c r="BZO1096" s="286"/>
      <c r="BZP1096" s="286"/>
      <c r="BZQ1096" s="286"/>
      <c r="BZR1096" s="286"/>
      <c r="BZS1096" s="286"/>
      <c r="BZT1096" s="286"/>
      <c r="BZU1096" s="286"/>
      <c r="BZV1096" s="286"/>
      <c r="BZW1096" s="286"/>
      <c r="BZX1096" s="286"/>
      <c r="BZY1096" s="286"/>
      <c r="BZZ1096" s="286"/>
      <c r="CAA1096" s="286"/>
      <c r="CAB1096" s="286"/>
      <c r="CAC1096" s="286"/>
      <c r="CAD1096" s="286"/>
      <c r="CAE1096" s="286"/>
      <c r="CAF1096" s="286"/>
      <c r="CAG1096" s="286"/>
      <c r="CAH1096" s="286"/>
      <c r="CAI1096" s="286"/>
      <c r="CAJ1096" s="286"/>
      <c r="CAK1096" s="286"/>
      <c r="CAL1096" s="286"/>
      <c r="CAM1096" s="286"/>
      <c r="CAN1096" s="286"/>
      <c r="CAO1096" s="286"/>
      <c r="CAP1096" s="286"/>
      <c r="CAQ1096" s="286"/>
      <c r="CAR1096" s="286"/>
      <c r="CAS1096" s="286"/>
      <c r="CAT1096" s="286"/>
      <c r="CAU1096" s="286"/>
      <c r="CAV1096" s="286"/>
      <c r="CAW1096" s="286"/>
      <c r="CAX1096" s="286"/>
      <c r="CAY1096" s="286"/>
      <c r="CAZ1096" s="286"/>
      <c r="CBA1096" s="286"/>
      <c r="CBB1096" s="286"/>
      <c r="CBC1096" s="286"/>
      <c r="CBD1096" s="286"/>
      <c r="CBE1096" s="286"/>
      <c r="CBF1096" s="286"/>
      <c r="CBG1096" s="286"/>
      <c r="CBH1096" s="286"/>
      <c r="CBI1096" s="286"/>
      <c r="CBJ1096" s="286"/>
      <c r="CBK1096" s="286"/>
      <c r="CBL1096" s="286"/>
      <c r="CBM1096" s="286"/>
      <c r="CBN1096" s="286"/>
      <c r="CBO1096" s="286"/>
      <c r="CBP1096" s="286"/>
      <c r="CBQ1096" s="286"/>
      <c r="CBR1096" s="286"/>
      <c r="CBS1096" s="286"/>
      <c r="CBT1096" s="286"/>
      <c r="CBU1096" s="286"/>
      <c r="CBV1096" s="286"/>
      <c r="CBW1096" s="286"/>
      <c r="CBX1096" s="286"/>
      <c r="CBY1096" s="286"/>
      <c r="CBZ1096" s="286"/>
      <c r="CCA1096" s="286"/>
      <c r="CCB1096" s="286"/>
      <c r="CCC1096" s="286"/>
      <c r="CCD1096" s="286"/>
      <c r="CCE1096" s="286"/>
      <c r="CCF1096" s="286"/>
      <c r="CCG1096" s="286"/>
      <c r="CCH1096" s="286"/>
      <c r="CCI1096" s="286"/>
      <c r="CCJ1096" s="286"/>
      <c r="CCK1096" s="286"/>
      <c r="CCL1096" s="286"/>
      <c r="CCM1096" s="286"/>
      <c r="CCN1096" s="286"/>
      <c r="CCO1096" s="286"/>
      <c r="CCP1096" s="286"/>
      <c r="CCQ1096" s="286"/>
      <c r="CCR1096" s="286"/>
      <c r="CCS1096" s="286"/>
      <c r="CCT1096" s="286"/>
      <c r="CCU1096" s="286"/>
      <c r="CCV1096" s="286"/>
      <c r="CCW1096" s="286"/>
      <c r="CCX1096" s="286"/>
      <c r="CCY1096" s="286"/>
      <c r="CCZ1096" s="286"/>
      <c r="CDA1096" s="286"/>
      <c r="CDB1096" s="286"/>
      <c r="CDC1096" s="286"/>
      <c r="CDD1096" s="286"/>
      <c r="CDE1096" s="286"/>
      <c r="CDF1096" s="286"/>
      <c r="CDG1096" s="286"/>
      <c r="CDH1096" s="286"/>
      <c r="CDI1096" s="286"/>
      <c r="CDJ1096" s="286"/>
      <c r="CDK1096" s="286"/>
      <c r="CDL1096" s="286"/>
      <c r="CDM1096" s="286"/>
      <c r="CDN1096" s="286"/>
      <c r="CDO1096" s="286"/>
      <c r="CDP1096" s="286"/>
      <c r="CDQ1096" s="286"/>
      <c r="CDR1096" s="286"/>
      <c r="CDS1096" s="286"/>
      <c r="CDT1096" s="286"/>
      <c r="CDU1096" s="286"/>
      <c r="CDV1096" s="286"/>
      <c r="CDW1096" s="286"/>
      <c r="CDX1096" s="286"/>
      <c r="CDY1096" s="286"/>
      <c r="CDZ1096" s="286"/>
      <c r="CEA1096" s="286"/>
      <c r="CEB1096" s="286"/>
      <c r="CEC1096" s="286"/>
      <c r="CED1096" s="286"/>
      <c r="CEE1096" s="286"/>
      <c r="CEF1096" s="286"/>
      <c r="CEG1096" s="286"/>
      <c r="CEH1096" s="286"/>
      <c r="CEI1096" s="286"/>
      <c r="CEJ1096" s="286"/>
      <c r="CEK1096" s="286"/>
      <c r="CEL1096" s="286"/>
      <c r="CEM1096" s="286"/>
      <c r="CEN1096" s="286"/>
      <c r="CEO1096" s="286"/>
      <c r="CEP1096" s="286"/>
      <c r="CEQ1096" s="286"/>
      <c r="CER1096" s="286"/>
      <c r="CES1096" s="286"/>
      <c r="CET1096" s="286"/>
      <c r="CEU1096" s="286"/>
      <c r="CEV1096" s="286"/>
      <c r="CEW1096" s="286"/>
      <c r="CEX1096" s="286"/>
      <c r="CEY1096" s="286"/>
      <c r="CEZ1096" s="286"/>
      <c r="CFA1096" s="286"/>
      <c r="CFB1096" s="286"/>
      <c r="CFC1096" s="286"/>
      <c r="CFD1096" s="286"/>
      <c r="CFE1096" s="286"/>
      <c r="CFF1096" s="286"/>
      <c r="CFG1096" s="286"/>
      <c r="CFH1096" s="286"/>
      <c r="CFI1096" s="286"/>
      <c r="CFJ1096" s="286"/>
      <c r="CFK1096" s="286"/>
      <c r="CFL1096" s="286"/>
      <c r="CFM1096" s="286"/>
      <c r="CFN1096" s="286"/>
      <c r="CFO1096" s="286"/>
      <c r="CFP1096" s="286"/>
      <c r="CFQ1096" s="286"/>
      <c r="CFR1096" s="286"/>
      <c r="CFS1096" s="286"/>
      <c r="CFT1096" s="286"/>
      <c r="CFU1096" s="286"/>
      <c r="CFV1096" s="286"/>
      <c r="CFW1096" s="286"/>
      <c r="CFX1096" s="286"/>
      <c r="CFY1096" s="286"/>
      <c r="CFZ1096" s="286"/>
      <c r="CGA1096" s="286"/>
      <c r="CGB1096" s="286"/>
      <c r="CGC1096" s="286"/>
      <c r="CGD1096" s="286"/>
      <c r="CGE1096" s="286"/>
      <c r="CGF1096" s="286"/>
      <c r="CGG1096" s="286"/>
      <c r="CGH1096" s="286"/>
      <c r="CGI1096" s="286"/>
      <c r="CGJ1096" s="286"/>
      <c r="CGK1096" s="286"/>
      <c r="CGL1096" s="286"/>
      <c r="CGM1096" s="286"/>
      <c r="CGN1096" s="286"/>
      <c r="CGO1096" s="286"/>
      <c r="CGP1096" s="286"/>
      <c r="CGQ1096" s="286"/>
      <c r="CGR1096" s="286"/>
      <c r="CGS1096" s="286"/>
      <c r="CGT1096" s="286"/>
      <c r="CGU1096" s="286"/>
      <c r="CGV1096" s="286"/>
      <c r="CGW1096" s="286"/>
      <c r="CGX1096" s="286"/>
      <c r="CGY1096" s="286"/>
      <c r="CGZ1096" s="286"/>
      <c r="CHA1096" s="286"/>
      <c r="CHB1096" s="286"/>
      <c r="CHC1096" s="286"/>
      <c r="CHD1096" s="286"/>
      <c r="CHE1096" s="286"/>
      <c r="CHF1096" s="286"/>
      <c r="CHG1096" s="286"/>
      <c r="CHH1096" s="286"/>
      <c r="CHI1096" s="286"/>
      <c r="CHJ1096" s="286"/>
      <c r="CHK1096" s="286"/>
      <c r="CHL1096" s="286"/>
      <c r="CHM1096" s="286"/>
      <c r="CHN1096" s="286"/>
      <c r="CHO1096" s="286"/>
      <c r="CHP1096" s="286"/>
      <c r="CHQ1096" s="286"/>
      <c r="CHR1096" s="286"/>
      <c r="CHS1096" s="286"/>
      <c r="CHT1096" s="286"/>
      <c r="CHU1096" s="286"/>
      <c r="CHV1096" s="286"/>
      <c r="CHW1096" s="286"/>
      <c r="CHX1096" s="286"/>
      <c r="CHY1096" s="286"/>
      <c r="CHZ1096" s="286"/>
      <c r="CIA1096" s="286"/>
      <c r="CIB1096" s="286"/>
      <c r="CIC1096" s="286"/>
      <c r="CID1096" s="286"/>
      <c r="CIE1096" s="286"/>
      <c r="CIF1096" s="286"/>
      <c r="CIG1096" s="286"/>
      <c r="CIH1096" s="286"/>
      <c r="CII1096" s="286"/>
      <c r="CIJ1096" s="286"/>
      <c r="CIK1096" s="286"/>
      <c r="CIL1096" s="286"/>
      <c r="CIM1096" s="286"/>
      <c r="CIN1096" s="286"/>
      <c r="CIO1096" s="286"/>
      <c r="CIP1096" s="286"/>
      <c r="CIQ1096" s="286"/>
      <c r="CIR1096" s="286"/>
      <c r="CIS1096" s="286"/>
      <c r="CIT1096" s="286"/>
      <c r="CIU1096" s="286"/>
      <c r="CIV1096" s="286"/>
      <c r="CIW1096" s="286"/>
      <c r="CIX1096" s="286"/>
      <c r="CIY1096" s="286"/>
      <c r="CIZ1096" s="286"/>
      <c r="CJA1096" s="286"/>
      <c r="CJB1096" s="286"/>
      <c r="CJC1096" s="286"/>
      <c r="CJD1096" s="286"/>
      <c r="CJE1096" s="286"/>
      <c r="CJF1096" s="286"/>
      <c r="CJG1096" s="286"/>
      <c r="CJH1096" s="286"/>
      <c r="CJI1096" s="286"/>
      <c r="CJJ1096" s="286"/>
      <c r="CJK1096" s="286"/>
      <c r="CJL1096" s="286"/>
      <c r="CJM1096" s="286"/>
      <c r="CJN1096" s="286"/>
      <c r="CJO1096" s="286"/>
      <c r="CJP1096" s="286"/>
      <c r="CJQ1096" s="286"/>
      <c r="CJR1096" s="286"/>
      <c r="CJS1096" s="286"/>
      <c r="CJT1096" s="286"/>
      <c r="CJU1096" s="286"/>
      <c r="CJV1096" s="286"/>
      <c r="CJW1096" s="286"/>
      <c r="CJX1096" s="286"/>
      <c r="CJY1096" s="286"/>
      <c r="CJZ1096" s="286"/>
      <c r="CKA1096" s="286"/>
      <c r="CKB1096" s="286"/>
      <c r="CKC1096" s="286"/>
      <c r="CKD1096" s="286"/>
      <c r="CKE1096" s="286"/>
      <c r="CKF1096" s="286"/>
      <c r="CKG1096" s="286"/>
      <c r="CKH1096" s="286"/>
      <c r="CKI1096" s="286"/>
      <c r="CKJ1096" s="286"/>
      <c r="CKK1096" s="286"/>
      <c r="CKL1096" s="286"/>
      <c r="CKM1096" s="286"/>
      <c r="CKN1096" s="286"/>
      <c r="CKO1096" s="286"/>
      <c r="CKP1096" s="286"/>
      <c r="CKQ1096" s="286"/>
      <c r="CKR1096" s="286"/>
      <c r="CKS1096" s="286"/>
      <c r="CKT1096" s="286"/>
      <c r="CKU1096" s="286"/>
      <c r="CKV1096" s="286"/>
      <c r="CKW1096" s="286"/>
      <c r="CKX1096" s="286"/>
      <c r="CKY1096" s="286"/>
      <c r="CKZ1096" s="286"/>
      <c r="CLA1096" s="286"/>
      <c r="CLB1096" s="286"/>
      <c r="CLC1096" s="286"/>
      <c r="CLD1096" s="286"/>
      <c r="CLE1096" s="286"/>
      <c r="CLF1096" s="286"/>
      <c r="CLG1096" s="286"/>
      <c r="CLH1096" s="286"/>
      <c r="CLI1096" s="286"/>
      <c r="CLJ1096" s="286"/>
      <c r="CLK1096" s="286"/>
      <c r="CLL1096" s="286"/>
      <c r="CLM1096" s="286"/>
      <c r="CLN1096" s="286"/>
      <c r="CLO1096" s="286"/>
      <c r="CLP1096" s="286"/>
      <c r="CLQ1096" s="286"/>
      <c r="CLR1096" s="286"/>
      <c r="CLS1096" s="286"/>
      <c r="CLT1096" s="286"/>
      <c r="CLU1096" s="286"/>
      <c r="CLV1096" s="286"/>
      <c r="CLW1096" s="286"/>
      <c r="CLX1096" s="286"/>
      <c r="CLY1096" s="286"/>
      <c r="CLZ1096" s="286"/>
      <c r="CMA1096" s="286"/>
      <c r="CMB1096" s="286"/>
      <c r="CMC1096" s="286"/>
      <c r="CMD1096" s="286"/>
      <c r="CME1096" s="286"/>
      <c r="CMF1096" s="286"/>
      <c r="CMG1096" s="286"/>
      <c r="CMH1096" s="286"/>
      <c r="CMI1096" s="286"/>
      <c r="CMJ1096" s="286"/>
      <c r="CMK1096" s="286"/>
      <c r="CML1096" s="286"/>
      <c r="CMM1096" s="286"/>
      <c r="CMN1096" s="286"/>
      <c r="CMO1096" s="286"/>
      <c r="CMP1096" s="286"/>
      <c r="CMQ1096" s="286"/>
      <c r="CMR1096" s="286"/>
      <c r="CMS1096" s="286"/>
      <c r="CMT1096" s="286"/>
      <c r="CMU1096" s="286"/>
      <c r="CMV1096" s="286"/>
      <c r="CMW1096" s="286"/>
      <c r="CMX1096" s="286"/>
      <c r="CMY1096" s="286"/>
      <c r="CMZ1096" s="286"/>
      <c r="CNA1096" s="286"/>
      <c r="CNB1096" s="286"/>
      <c r="CNC1096" s="286"/>
      <c r="CND1096" s="286"/>
      <c r="CNE1096" s="286"/>
      <c r="CNF1096" s="286"/>
      <c r="CNG1096" s="286"/>
      <c r="CNH1096" s="286"/>
      <c r="CNI1096" s="286"/>
      <c r="CNJ1096" s="286"/>
      <c r="CNK1096" s="286"/>
      <c r="CNL1096" s="286"/>
      <c r="CNM1096" s="286"/>
      <c r="CNN1096" s="286"/>
      <c r="CNO1096" s="286"/>
      <c r="CNP1096" s="286"/>
      <c r="CNQ1096" s="286"/>
      <c r="CNR1096" s="286"/>
      <c r="CNS1096" s="286"/>
      <c r="CNT1096" s="286"/>
      <c r="CNU1096" s="286"/>
      <c r="CNV1096" s="286"/>
      <c r="CNW1096" s="286"/>
      <c r="CNX1096" s="286"/>
      <c r="CNY1096" s="286"/>
      <c r="CNZ1096" s="286"/>
      <c r="COA1096" s="286"/>
      <c r="COB1096" s="286"/>
      <c r="COC1096" s="286"/>
      <c r="COD1096" s="286"/>
      <c r="COE1096" s="286"/>
      <c r="COF1096" s="286"/>
      <c r="COG1096" s="286"/>
      <c r="COH1096" s="286"/>
      <c r="COI1096" s="286"/>
      <c r="COJ1096" s="286"/>
      <c r="COK1096" s="286"/>
      <c r="COL1096" s="286"/>
      <c r="COM1096" s="286"/>
      <c r="CON1096" s="286"/>
      <c r="COO1096" s="286"/>
      <c r="COP1096" s="286"/>
      <c r="COQ1096" s="286"/>
      <c r="COR1096" s="286"/>
      <c r="COS1096" s="286"/>
      <c r="COT1096" s="286"/>
      <c r="COU1096" s="286"/>
      <c r="COV1096" s="286"/>
      <c r="COW1096" s="286"/>
      <c r="COX1096" s="286"/>
      <c r="COY1096" s="286"/>
      <c r="COZ1096" s="286"/>
      <c r="CPA1096" s="286"/>
      <c r="CPB1096" s="286"/>
      <c r="CPC1096" s="286"/>
      <c r="CPD1096" s="286"/>
      <c r="CPE1096" s="286"/>
      <c r="CPF1096" s="286"/>
      <c r="CPG1096" s="286"/>
      <c r="CPH1096" s="286"/>
      <c r="CPI1096" s="286"/>
      <c r="CPJ1096" s="286"/>
      <c r="CPK1096" s="286"/>
      <c r="CPL1096" s="286"/>
      <c r="CPM1096" s="286"/>
      <c r="CPN1096" s="286"/>
      <c r="CPO1096" s="286"/>
      <c r="CPP1096" s="286"/>
      <c r="CPQ1096" s="286"/>
      <c r="CPR1096" s="286"/>
      <c r="CPS1096" s="286"/>
      <c r="CPT1096" s="286"/>
      <c r="CPU1096" s="286"/>
      <c r="CPV1096" s="286"/>
      <c r="CPW1096" s="286"/>
      <c r="CPX1096" s="286"/>
      <c r="CPY1096" s="286"/>
      <c r="CPZ1096" s="286"/>
      <c r="CQA1096" s="286"/>
      <c r="CQB1096" s="286"/>
      <c r="CQC1096" s="286"/>
      <c r="CQD1096" s="286"/>
      <c r="CQE1096" s="286"/>
      <c r="CQF1096" s="286"/>
      <c r="CQG1096" s="286"/>
      <c r="CQH1096" s="286"/>
      <c r="CQI1096" s="286"/>
      <c r="CQJ1096" s="286"/>
      <c r="CQK1096" s="286"/>
      <c r="CQL1096" s="286"/>
      <c r="CQM1096" s="286"/>
      <c r="CQN1096" s="286"/>
      <c r="CQO1096" s="286"/>
      <c r="CQP1096" s="286"/>
      <c r="CQQ1096" s="286"/>
      <c r="CQR1096" s="286"/>
      <c r="CQS1096" s="286"/>
      <c r="CQT1096" s="286"/>
      <c r="CQU1096" s="286"/>
      <c r="CQV1096" s="286"/>
      <c r="CQW1096" s="286"/>
      <c r="CQX1096" s="286"/>
      <c r="CQY1096" s="286"/>
      <c r="CQZ1096" s="286"/>
      <c r="CRA1096" s="286"/>
      <c r="CRB1096" s="286"/>
      <c r="CRC1096" s="286"/>
      <c r="CRD1096" s="286"/>
      <c r="CRE1096" s="286"/>
      <c r="CRF1096" s="286"/>
      <c r="CRG1096" s="286"/>
      <c r="CRH1096" s="286"/>
      <c r="CRI1096" s="286"/>
      <c r="CRJ1096" s="286"/>
      <c r="CRK1096" s="286"/>
      <c r="CRL1096" s="286"/>
      <c r="CRM1096" s="286"/>
      <c r="CRN1096" s="286"/>
      <c r="CRO1096" s="286"/>
      <c r="CRP1096" s="286"/>
      <c r="CRQ1096" s="286"/>
      <c r="CRR1096" s="286"/>
      <c r="CRS1096" s="286"/>
      <c r="CRT1096" s="286"/>
      <c r="CRU1096" s="286"/>
      <c r="CRV1096" s="286"/>
      <c r="CRW1096" s="286"/>
      <c r="CRX1096" s="286"/>
      <c r="CRY1096" s="286"/>
      <c r="CRZ1096" s="286"/>
      <c r="CSA1096" s="286"/>
      <c r="CSB1096" s="286"/>
      <c r="CSC1096" s="286"/>
      <c r="CSD1096" s="286"/>
      <c r="CSE1096" s="286"/>
      <c r="CSF1096" s="286"/>
      <c r="CSG1096" s="286"/>
      <c r="CSH1096" s="286"/>
      <c r="CSI1096" s="286"/>
      <c r="CSJ1096" s="286"/>
      <c r="CSK1096" s="286"/>
      <c r="CSL1096" s="286"/>
      <c r="CSM1096" s="286"/>
      <c r="CSN1096" s="286"/>
      <c r="CSO1096" s="286"/>
      <c r="CSP1096" s="286"/>
      <c r="CSQ1096" s="286"/>
      <c r="CSR1096" s="286"/>
      <c r="CSS1096" s="286"/>
      <c r="CST1096" s="286"/>
      <c r="CSU1096" s="286"/>
      <c r="CSV1096" s="286"/>
      <c r="CSW1096" s="286"/>
      <c r="CSX1096" s="286"/>
      <c r="CSY1096" s="286"/>
      <c r="CSZ1096" s="286"/>
      <c r="CTA1096" s="286"/>
      <c r="CTB1096" s="286"/>
      <c r="CTC1096" s="286"/>
      <c r="CTD1096" s="286"/>
      <c r="CTE1096" s="286"/>
      <c r="CTF1096" s="286"/>
      <c r="CTG1096" s="286"/>
      <c r="CTH1096" s="286"/>
      <c r="CTI1096" s="286"/>
      <c r="CTJ1096" s="286"/>
      <c r="CTK1096" s="286"/>
      <c r="CTL1096" s="286"/>
      <c r="CTM1096" s="286"/>
      <c r="CTN1096" s="286"/>
      <c r="CTO1096" s="286"/>
      <c r="CTP1096" s="286"/>
      <c r="CTQ1096" s="286"/>
      <c r="CTR1096" s="286"/>
      <c r="CTS1096" s="286"/>
      <c r="CTT1096" s="286"/>
      <c r="CTU1096" s="286"/>
      <c r="CTV1096" s="286"/>
      <c r="CTW1096" s="286"/>
      <c r="CTX1096" s="286"/>
      <c r="CTY1096" s="286"/>
      <c r="CTZ1096" s="286"/>
      <c r="CUA1096" s="286"/>
      <c r="CUB1096" s="286"/>
      <c r="CUC1096" s="286"/>
      <c r="CUD1096" s="286"/>
      <c r="CUE1096" s="286"/>
      <c r="CUF1096" s="286"/>
      <c r="CUG1096" s="286"/>
      <c r="CUH1096" s="286"/>
      <c r="CUI1096" s="286"/>
      <c r="CUJ1096" s="286"/>
      <c r="CUK1096" s="286"/>
      <c r="CUL1096" s="286"/>
      <c r="CUM1096" s="286"/>
      <c r="CUN1096" s="286"/>
      <c r="CUO1096" s="286"/>
      <c r="CUP1096" s="286"/>
      <c r="CUQ1096" s="286"/>
      <c r="CUR1096" s="286"/>
      <c r="CUS1096" s="286"/>
      <c r="CUT1096" s="286"/>
      <c r="CUU1096" s="286"/>
      <c r="CUV1096" s="286"/>
      <c r="CUW1096" s="286"/>
      <c r="CUX1096" s="286"/>
      <c r="CUY1096" s="286"/>
      <c r="CUZ1096" s="286"/>
      <c r="CVA1096" s="286"/>
      <c r="CVB1096" s="286"/>
      <c r="CVC1096" s="286"/>
      <c r="CVD1096" s="286"/>
      <c r="CVE1096" s="286"/>
      <c r="CVF1096" s="286"/>
      <c r="CVG1096" s="286"/>
      <c r="CVH1096" s="286"/>
      <c r="CVI1096" s="286"/>
      <c r="CVJ1096" s="286"/>
      <c r="CVK1096" s="286"/>
      <c r="CVL1096" s="286"/>
      <c r="CVM1096" s="286"/>
      <c r="CVN1096" s="286"/>
      <c r="CVO1096" s="286"/>
      <c r="CVP1096" s="286"/>
      <c r="CVQ1096" s="286"/>
      <c r="CVR1096" s="286"/>
      <c r="CVS1096" s="286"/>
      <c r="CVT1096" s="286"/>
      <c r="CVU1096" s="286"/>
      <c r="CVV1096" s="286"/>
      <c r="CVW1096" s="286"/>
      <c r="CVX1096" s="286"/>
      <c r="CVY1096" s="286"/>
      <c r="CVZ1096" s="286"/>
      <c r="CWA1096" s="286"/>
      <c r="CWB1096" s="286"/>
      <c r="CWC1096" s="286"/>
      <c r="CWD1096" s="286"/>
      <c r="CWE1096" s="286"/>
      <c r="CWF1096" s="286"/>
      <c r="CWG1096" s="286"/>
      <c r="CWH1096" s="286"/>
      <c r="CWI1096" s="286"/>
      <c r="CWJ1096" s="286"/>
      <c r="CWK1096" s="286"/>
      <c r="CWL1096" s="286"/>
      <c r="CWM1096" s="286"/>
      <c r="CWN1096" s="286"/>
      <c r="CWO1096" s="286"/>
      <c r="CWP1096" s="286"/>
      <c r="CWQ1096" s="286"/>
      <c r="CWR1096" s="286"/>
      <c r="CWS1096" s="286"/>
      <c r="CWT1096" s="286"/>
      <c r="CWU1096" s="286"/>
      <c r="CWV1096" s="286"/>
      <c r="CWW1096" s="286"/>
      <c r="CWX1096" s="286"/>
      <c r="CWY1096" s="286"/>
      <c r="CWZ1096" s="286"/>
      <c r="CXA1096" s="286"/>
      <c r="CXB1096" s="286"/>
      <c r="CXC1096" s="286"/>
      <c r="CXD1096" s="286"/>
      <c r="CXE1096" s="286"/>
      <c r="CXF1096" s="286"/>
      <c r="CXG1096" s="286"/>
      <c r="CXH1096" s="286"/>
      <c r="CXI1096" s="286"/>
      <c r="CXJ1096" s="286"/>
      <c r="CXK1096" s="286"/>
      <c r="CXL1096" s="286"/>
      <c r="CXM1096" s="286"/>
      <c r="CXN1096" s="286"/>
      <c r="CXO1096" s="286"/>
      <c r="CXP1096" s="286"/>
      <c r="CXQ1096" s="286"/>
      <c r="CXR1096" s="286"/>
      <c r="CXS1096" s="286"/>
      <c r="CXT1096" s="286"/>
      <c r="CXU1096" s="286"/>
      <c r="CXV1096" s="286"/>
      <c r="CXW1096" s="286"/>
      <c r="CXX1096" s="286"/>
      <c r="CXY1096" s="286"/>
      <c r="CXZ1096" s="286"/>
      <c r="CYA1096" s="286"/>
      <c r="CYB1096" s="286"/>
      <c r="CYC1096" s="286"/>
      <c r="CYD1096" s="286"/>
      <c r="CYE1096" s="286"/>
      <c r="CYF1096" s="286"/>
      <c r="CYG1096" s="286"/>
      <c r="CYH1096" s="286"/>
      <c r="CYI1096" s="286"/>
      <c r="CYJ1096" s="286"/>
      <c r="CYK1096" s="286"/>
      <c r="CYL1096" s="286"/>
      <c r="CYM1096" s="286"/>
      <c r="CYN1096" s="286"/>
      <c r="CYO1096" s="286"/>
      <c r="CYP1096" s="286"/>
      <c r="CYQ1096" s="286"/>
      <c r="CYR1096" s="286"/>
      <c r="CYS1096" s="286"/>
      <c r="CYT1096" s="286"/>
      <c r="CYU1096" s="286"/>
      <c r="CYV1096" s="286"/>
      <c r="CYW1096" s="286"/>
      <c r="CYX1096" s="286"/>
      <c r="CYY1096" s="286"/>
      <c r="CYZ1096" s="286"/>
      <c r="CZA1096" s="286"/>
      <c r="CZB1096" s="286"/>
      <c r="CZC1096" s="286"/>
      <c r="CZD1096" s="286"/>
      <c r="CZE1096" s="286"/>
      <c r="CZF1096" s="286"/>
      <c r="CZG1096" s="286"/>
      <c r="CZH1096" s="286"/>
      <c r="CZI1096" s="286"/>
      <c r="CZJ1096" s="286"/>
      <c r="CZK1096" s="286"/>
      <c r="CZL1096" s="286"/>
      <c r="CZM1096" s="286"/>
      <c r="CZN1096" s="286"/>
      <c r="CZO1096" s="286"/>
      <c r="CZP1096" s="286"/>
      <c r="CZQ1096" s="286"/>
      <c r="CZR1096" s="286"/>
      <c r="CZS1096" s="286"/>
      <c r="CZT1096" s="286"/>
      <c r="CZU1096" s="286"/>
      <c r="CZV1096" s="286"/>
      <c r="CZW1096" s="286"/>
      <c r="CZX1096" s="286"/>
      <c r="CZY1096" s="286"/>
      <c r="CZZ1096" s="286"/>
      <c r="DAA1096" s="286"/>
      <c r="DAB1096" s="286"/>
      <c r="DAC1096" s="286"/>
      <c r="DAD1096" s="286"/>
      <c r="DAE1096" s="286"/>
      <c r="DAF1096" s="286"/>
      <c r="DAG1096" s="286"/>
      <c r="DAH1096" s="286"/>
      <c r="DAI1096" s="286"/>
      <c r="DAJ1096" s="286"/>
      <c r="DAK1096" s="286"/>
      <c r="DAL1096" s="286"/>
      <c r="DAM1096" s="286"/>
      <c r="DAN1096" s="286"/>
      <c r="DAO1096" s="286"/>
      <c r="DAP1096" s="286"/>
      <c r="DAQ1096" s="286"/>
      <c r="DAR1096" s="286"/>
      <c r="DAS1096" s="286"/>
      <c r="DAT1096" s="286"/>
      <c r="DAU1096" s="286"/>
      <c r="DAV1096" s="286"/>
      <c r="DAW1096" s="286"/>
      <c r="DAX1096" s="286"/>
      <c r="DAY1096" s="286"/>
      <c r="DAZ1096" s="286"/>
      <c r="DBA1096" s="286"/>
      <c r="DBB1096" s="286"/>
      <c r="DBC1096" s="286"/>
      <c r="DBD1096" s="286"/>
      <c r="DBE1096" s="286"/>
      <c r="DBF1096" s="286"/>
      <c r="DBG1096" s="286"/>
      <c r="DBH1096" s="286"/>
      <c r="DBI1096" s="286"/>
      <c r="DBJ1096" s="286"/>
      <c r="DBK1096" s="286"/>
      <c r="DBL1096" s="286"/>
      <c r="DBM1096" s="286"/>
      <c r="DBN1096" s="286"/>
      <c r="DBO1096" s="286"/>
      <c r="DBP1096" s="286"/>
      <c r="DBQ1096" s="286"/>
      <c r="DBR1096" s="286"/>
      <c r="DBS1096" s="286"/>
      <c r="DBT1096" s="286"/>
      <c r="DBU1096" s="286"/>
      <c r="DBV1096" s="286"/>
      <c r="DBW1096" s="286"/>
      <c r="DBX1096" s="286"/>
      <c r="DBY1096" s="286"/>
      <c r="DBZ1096" s="286"/>
      <c r="DCA1096" s="286"/>
      <c r="DCB1096" s="286"/>
      <c r="DCC1096" s="286"/>
      <c r="DCD1096" s="286"/>
      <c r="DCE1096" s="286"/>
      <c r="DCF1096" s="286"/>
      <c r="DCG1096" s="286"/>
      <c r="DCH1096" s="286"/>
      <c r="DCI1096" s="286"/>
      <c r="DCJ1096" s="286"/>
      <c r="DCK1096" s="286"/>
      <c r="DCL1096" s="286"/>
      <c r="DCM1096" s="286"/>
      <c r="DCN1096" s="286"/>
      <c r="DCO1096" s="286"/>
      <c r="DCP1096" s="286"/>
      <c r="DCQ1096" s="286"/>
      <c r="DCR1096" s="286"/>
      <c r="DCS1096" s="286"/>
      <c r="DCT1096" s="286"/>
      <c r="DCU1096" s="286"/>
      <c r="DCV1096" s="286"/>
      <c r="DCW1096" s="286"/>
      <c r="DCX1096" s="286"/>
      <c r="DCY1096" s="286"/>
      <c r="DCZ1096" s="286"/>
      <c r="DDA1096" s="286"/>
      <c r="DDB1096" s="286"/>
      <c r="DDC1096" s="286"/>
      <c r="DDD1096" s="286"/>
      <c r="DDE1096" s="286"/>
      <c r="DDF1096" s="286"/>
      <c r="DDG1096" s="286"/>
      <c r="DDH1096" s="286"/>
      <c r="DDI1096" s="286"/>
      <c r="DDJ1096" s="286"/>
      <c r="DDK1096" s="286"/>
      <c r="DDL1096" s="286"/>
      <c r="DDM1096" s="286"/>
      <c r="DDN1096" s="286"/>
      <c r="DDO1096" s="286"/>
      <c r="DDP1096" s="286"/>
      <c r="DDQ1096" s="286"/>
      <c r="DDR1096" s="286"/>
      <c r="DDS1096" s="286"/>
      <c r="DDT1096" s="286"/>
      <c r="DDU1096" s="286"/>
      <c r="DDV1096" s="286"/>
      <c r="DDW1096" s="286"/>
      <c r="DDX1096" s="286"/>
      <c r="DDY1096" s="286"/>
      <c r="DDZ1096" s="286"/>
      <c r="DEA1096" s="286"/>
      <c r="DEB1096" s="286"/>
      <c r="DEC1096" s="286"/>
      <c r="DED1096" s="286"/>
      <c r="DEE1096" s="286"/>
      <c r="DEF1096" s="286"/>
      <c r="DEG1096" s="286"/>
      <c r="DEH1096" s="286"/>
      <c r="DEI1096" s="286"/>
      <c r="DEJ1096" s="286"/>
      <c r="DEK1096" s="286"/>
      <c r="DEL1096" s="286"/>
      <c r="DEM1096" s="286"/>
      <c r="DEN1096" s="286"/>
      <c r="DEO1096" s="286"/>
      <c r="DEP1096" s="286"/>
      <c r="DEQ1096" s="286"/>
      <c r="DER1096" s="286"/>
      <c r="DES1096" s="286"/>
      <c r="DET1096" s="286"/>
      <c r="DEU1096" s="286"/>
      <c r="DEV1096" s="286"/>
      <c r="DEW1096" s="286"/>
      <c r="DEX1096" s="286"/>
      <c r="DEY1096" s="286"/>
      <c r="DEZ1096" s="286"/>
      <c r="DFA1096" s="286"/>
      <c r="DFB1096" s="286"/>
      <c r="DFC1096" s="286"/>
      <c r="DFD1096" s="286"/>
      <c r="DFE1096" s="286"/>
      <c r="DFF1096" s="286"/>
      <c r="DFG1096" s="286"/>
      <c r="DFH1096" s="286"/>
      <c r="DFI1096" s="286"/>
      <c r="DFJ1096" s="286"/>
      <c r="DFK1096" s="286"/>
      <c r="DFL1096" s="286"/>
      <c r="DFM1096" s="286"/>
      <c r="DFN1096" s="286"/>
      <c r="DFO1096" s="286"/>
      <c r="DFP1096" s="286"/>
      <c r="DFQ1096" s="286"/>
      <c r="DFR1096" s="286"/>
      <c r="DFS1096" s="286"/>
      <c r="DFT1096" s="286"/>
      <c r="DFU1096" s="286"/>
      <c r="DFV1096" s="286"/>
      <c r="DFW1096" s="286"/>
      <c r="DFX1096" s="286"/>
      <c r="DFY1096" s="286"/>
      <c r="DFZ1096" s="286"/>
      <c r="DGA1096" s="286"/>
      <c r="DGB1096" s="286"/>
      <c r="DGC1096" s="286"/>
      <c r="DGD1096" s="286"/>
      <c r="DGE1096" s="286"/>
      <c r="DGF1096" s="286"/>
      <c r="DGG1096" s="286"/>
      <c r="DGH1096" s="286"/>
      <c r="DGI1096" s="286"/>
      <c r="DGJ1096" s="286"/>
      <c r="DGK1096" s="286"/>
      <c r="DGL1096" s="286"/>
      <c r="DGM1096" s="286"/>
      <c r="DGN1096" s="286"/>
      <c r="DGO1096" s="286"/>
      <c r="DGP1096" s="286"/>
      <c r="DGQ1096" s="286"/>
      <c r="DGR1096" s="286"/>
      <c r="DGS1096" s="286"/>
      <c r="DGT1096" s="286"/>
      <c r="DGU1096" s="286"/>
      <c r="DGV1096" s="286"/>
      <c r="DGW1096" s="286"/>
      <c r="DGX1096" s="286"/>
      <c r="DGY1096" s="286"/>
      <c r="DGZ1096" s="286"/>
      <c r="DHA1096" s="286"/>
      <c r="DHB1096" s="286"/>
      <c r="DHC1096" s="286"/>
      <c r="DHD1096" s="286"/>
      <c r="DHE1096" s="286"/>
      <c r="DHF1096" s="286"/>
      <c r="DHG1096" s="286"/>
      <c r="DHH1096" s="286"/>
      <c r="DHI1096" s="286"/>
      <c r="DHJ1096" s="286"/>
      <c r="DHK1096" s="286"/>
      <c r="DHL1096" s="286"/>
      <c r="DHM1096" s="286"/>
      <c r="DHN1096" s="286"/>
      <c r="DHO1096" s="286"/>
      <c r="DHP1096" s="286"/>
      <c r="DHQ1096" s="286"/>
      <c r="DHR1096" s="286"/>
      <c r="DHS1096" s="286"/>
      <c r="DHT1096" s="286"/>
      <c r="DHU1096" s="286"/>
      <c r="DHV1096" s="286"/>
      <c r="DHW1096" s="286"/>
      <c r="DHX1096" s="286"/>
      <c r="DHY1096" s="286"/>
      <c r="DHZ1096" s="286"/>
      <c r="DIA1096" s="286"/>
      <c r="DIB1096" s="286"/>
      <c r="DIC1096" s="286"/>
      <c r="DID1096" s="286"/>
      <c r="DIE1096" s="286"/>
      <c r="DIF1096" s="286"/>
      <c r="DIG1096" s="286"/>
      <c r="DIH1096" s="286"/>
      <c r="DII1096" s="286"/>
      <c r="DIJ1096" s="286"/>
      <c r="DIK1096" s="286"/>
      <c r="DIL1096" s="286"/>
      <c r="DIM1096" s="286"/>
      <c r="DIN1096" s="286"/>
      <c r="DIO1096" s="286"/>
      <c r="DIP1096" s="286"/>
      <c r="DIQ1096" s="286"/>
      <c r="DIR1096" s="286"/>
      <c r="DIS1096" s="286"/>
      <c r="DIT1096" s="286"/>
      <c r="DIU1096" s="286"/>
      <c r="DIV1096" s="286"/>
      <c r="DIW1096" s="286"/>
      <c r="DIX1096" s="286"/>
      <c r="DIY1096" s="286"/>
      <c r="DIZ1096" s="286"/>
      <c r="DJA1096" s="286"/>
      <c r="DJB1096" s="286"/>
      <c r="DJC1096" s="286"/>
      <c r="DJD1096" s="286"/>
      <c r="DJE1096" s="286"/>
      <c r="DJF1096" s="286"/>
      <c r="DJG1096" s="286"/>
      <c r="DJH1096" s="286"/>
      <c r="DJI1096" s="286"/>
      <c r="DJJ1096" s="286"/>
      <c r="DJK1096" s="286"/>
      <c r="DJL1096" s="286"/>
      <c r="DJM1096" s="286"/>
      <c r="DJN1096" s="286"/>
      <c r="DJO1096" s="286"/>
      <c r="DJP1096" s="286"/>
      <c r="DJQ1096" s="286"/>
      <c r="DJR1096" s="286"/>
      <c r="DJS1096" s="286"/>
      <c r="DJT1096" s="286"/>
      <c r="DJU1096" s="286"/>
      <c r="DJV1096" s="286"/>
      <c r="DJW1096" s="286"/>
      <c r="DJX1096" s="286"/>
      <c r="DJY1096" s="286"/>
      <c r="DJZ1096" s="286"/>
      <c r="DKA1096" s="286"/>
      <c r="DKB1096" s="286"/>
      <c r="DKC1096" s="286"/>
      <c r="DKD1096" s="286"/>
      <c r="DKE1096" s="286"/>
      <c r="DKF1096" s="286"/>
      <c r="DKG1096" s="286"/>
      <c r="DKH1096" s="286"/>
      <c r="DKI1096" s="286"/>
      <c r="DKJ1096" s="286"/>
      <c r="DKK1096" s="286"/>
      <c r="DKL1096" s="286"/>
      <c r="DKM1096" s="286"/>
      <c r="DKN1096" s="286"/>
      <c r="DKO1096" s="286"/>
      <c r="DKP1096" s="286"/>
      <c r="DKQ1096" s="286"/>
      <c r="DKR1096" s="286"/>
      <c r="DKS1096" s="286"/>
      <c r="DKT1096" s="286"/>
      <c r="DKU1096" s="286"/>
      <c r="DKV1096" s="286"/>
      <c r="DKW1096" s="286"/>
      <c r="DKX1096" s="286"/>
      <c r="DKY1096" s="286"/>
      <c r="DKZ1096" s="286"/>
      <c r="DLA1096" s="286"/>
      <c r="DLB1096" s="286"/>
      <c r="DLC1096" s="286"/>
      <c r="DLD1096" s="286"/>
      <c r="DLE1096" s="286"/>
      <c r="DLF1096" s="286"/>
      <c r="DLG1096" s="286"/>
      <c r="DLH1096" s="286"/>
      <c r="DLI1096" s="286"/>
      <c r="DLJ1096" s="286"/>
      <c r="DLK1096" s="286"/>
      <c r="DLL1096" s="286"/>
      <c r="DLM1096" s="286"/>
      <c r="DLN1096" s="286"/>
      <c r="DLO1096" s="286"/>
      <c r="DLP1096" s="286"/>
      <c r="DLQ1096" s="286"/>
      <c r="DLR1096" s="286"/>
      <c r="DLS1096" s="286"/>
      <c r="DLT1096" s="286"/>
      <c r="DLU1096" s="286"/>
      <c r="DLV1096" s="286"/>
      <c r="DLW1096" s="286"/>
      <c r="DLX1096" s="286"/>
      <c r="DLY1096" s="286"/>
      <c r="DLZ1096" s="286"/>
      <c r="DMA1096" s="286"/>
      <c r="DMB1096" s="286"/>
      <c r="DMC1096" s="286"/>
      <c r="DMD1096" s="286"/>
      <c r="DME1096" s="286"/>
      <c r="DMF1096" s="286"/>
      <c r="DMG1096" s="286"/>
      <c r="DMH1096" s="286"/>
      <c r="DMI1096" s="286"/>
      <c r="DMJ1096" s="286"/>
      <c r="DMK1096" s="286"/>
      <c r="DML1096" s="286"/>
      <c r="DMM1096" s="286"/>
      <c r="DMN1096" s="286"/>
      <c r="DMO1096" s="286"/>
      <c r="DMP1096" s="286"/>
      <c r="DMQ1096" s="286"/>
      <c r="DMR1096" s="286"/>
      <c r="DMS1096" s="286"/>
      <c r="DMT1096" s="286"/>
      <c r="DMU1096" s="286"/>
      <c r="DMV1096" s="286"/>
      <c r="DMW1096" s="286"/>
      <c r="DMX1096" s="286"/>
      <c r="DMY1096" s="286"/>
      <c r="DMZ1096" s="286"/>
      <c r="DNA1096" s="286"/>
      <c r="DNB1096" s="286"/>
      <c r="DNC1096" s="286"/>
      <c r="DND1096" s="286"/>
      <c r="DNE1096" s="286"/>
      <c r="DNF1096" s="286"/>
      <c r="DNG1096" s="286"/>
      <c r="DNH1096" s="286"/>
      <c r="DNI1096" s="286"/>
      <c r="DNJ1096" s="286"/>
      <c r="DNK1096" s="286"/>
      <c r="DNL1096" s="286"/>
      <c r="DNM1096" s="286"/>
      <c r="DNN1096" s="286"/>
      <c r="DNO1096" s="286"/>
      <c r="DNP1096" s="286"/>
      <c r="DNQ1096" s="286"/>
      <c r="DNR1096" s="286"/>
      <c r="DNS1096" s="286"/>
      <c r="DNT1096" s="286"/>
      <c r="DNU1096" s="286"/>
      <c r="DNV1096" s="286"/>
      <c r="DNW1096" s="286"/>
      <c r="DNX1096" s="286"/>
      <c r="DNY1096" s="286"/>
      <c r="DNZ1096" s="286"/>
      <c r="DOA1096" s="286"/>
      <c r="DOB1096" s="286"/>
      <c r="DOC1096" s="286"/>
      <c r="DOD1096" s="286"/>
      <c r="DOE1096" s="286"/>
      <c r="DOF1096" s="286"/>
      <c r="DOG1096" s="286"/>
      <c r="DOH1096" s="286"/>
      <c r="DOI1096" s="286"/>
      <c r="DOJ1096" s="286"/>
      <c r="DOK1096" s="286"/>
      <c r="DOL1096" s="286"/>
      <c r="DOM1096" s="286"/>
      <c r="DON1096" s="286"/>
      <c r="DOO1096" s="286"/>
      <c r="DOP1096" s="286"/>
      <c r="DOQ1096" s="286"/>
      <c r="DOR1096" s="286"/>
      <c r="DOS1096" s="286"/>
      <c r="DOT1096" s="286"/>
      <c r="DOU1096" s="286"/>
      <c r="DOV1096" s="286"/>
      <c r="DOW1096" s="286"/>
      <c r="DOX1096" s="286"/>
      <c r="DOY1096" s="286"/>
      <c r="DOZ1096" s="286"/>
      <c r="DPA1096" s="286"/>
      <c r="DPB1096" s="286"/>
      <c r="DPC1096" s="286"/>
      <c r="DPD1096" s="286"/>
      <c r="DPE1096" s="286"/>
      <c r="DPF1096" s="286"/>
      <c r="DPG1096" s="286"/>
      <c r="DPH1096" s="286"/>
      <c r="DPI1096" s="286"/>
      <c r="DPJ1096" s="286"/>
      <c r="DPK1096" s="286"/>
      <c r="DPL1096" s="286"/>
      <c r="DPM1096" s="286"/>
      <c r="DPN1096" s="286"/>
      <c r="DPO1096" s="286"/>
      <c r="DPP1096" s="286"/>
      <c r="DPQ1096" s="286"/>
      <c r="DPR1096" s="286"/>
      <c r="DPS1096" s="286"/>
      <c r="DPT1096" s="286"/>
      <c r="DPU1096" s="286"/>
      <c r="DPV1096" s="286"/>
      <c r="DPW1096" s="286"/>
      <c r="DPX1096" s="286"/>
      <c r="DPY1096" s="286"/>
      <c r="DPZ1096" s="286"/>
      <c r="DQA1096" s="286"/>
      <c r="DQB1096" s="286"/>
      <c r="DQC1096" s="286"/>
      <c r="DQD1096" s="286"/>
      <c r="DQE1096" s="286"/>
      <c r="DQF1096" s="286"/>
      <c r="DQG1096" s="286"/>
      <c r="DQH1096" s="286"/>
      <c r="DQI1096" s="286"/>
      <c r="DQJ1096" s="286"/>
      <c r="DQK1096" s="286"/>
      <c r="DQL1096" s="286"/>
      <c r="DQM1096" s="286"/>
      <c r="DQN1096" s="286"/>
      <c r="DQO1096" s="286"/>
      <c r="DQP1096" s="286"/>
      <c r="DQQ1096" s="286"/>
      <c r="DQR1096" s="286"/>
      <c r="DQS1096" s="286"/>
      <c r="DQT1096" s="286"/>
      <c r="DQU1096" s="286"/>
      <c r="DQV1096" s="286"/>
      <c r="DQW1096" s="286"/>
      <c r="DQX1096" s="286"/>
      <c r="DQY1096" s="286"/>
      <c r="DQZ1096" s="286"/>
      <c r="DRA1096" s="286"/>
      <c r="DRB1096" s="286"/>
      <c r="DRC1096" s="286"/>
      <c r="DRD1096" s="286"/>
      <c r="DRE1096" s="286"/>
      <c r="DRF1096" s="286"/>
      <c r="DRG1096" s="286"/>
      <c r="DRH1096" s="286"/>
      <c r="DRI1096" s="286"/>
      <c r="DRJ1096" s="286"/>
      <c r="DRK1096" s="286"/>
      <c r="DRL1096" s="286"/>
      <c r="DRM1096" s="286"/>
      <c r="DRN1096" s="286"/>
      <c r="DRO1096" s="286"/>
      <c r="DRP1096" s="286"/>
      <c r="DRQ1096" s="286"/>
      <c r="DRR1096" s="286"/>
      <c r="DRS1096" s="286"/>
      <c r="DRT1096" s="286"/>
      <c r="DRU1096" s="286"/>
      <c r="DRV1096" s="286"/>
      <c r="DRW1096" s="286"/>
      <c r="DRX1096" s="286"/>
      <c r="DRY1096" s="286"/>
      <c r="DRZ1096" s="286"/>
      <c r="DSA1096" s="286"/>
      <c r="DSB1096" s="286"/>
      <c r="DSC1096" s="286"/>
      <c r="DSD1096" s="286"/>
      <c r="DSE1096" s="286"/>
      <c r="DSF1096" s="286"/>
      <c r="DSG1096" s="286"/>
      <c r="DSH1096" s="286"/>
      <c r="DSI1096" s="286"/>
      <c r="DSJ1096" s="286"/>
      <c r="DSK1096" s="286"/>
      <c r="DSL1096" s="286"/>
      <c r="DSM1096" s="286"/>
      <c r="DSN1096" s="286"/>
      <c r="DSO1096" s="286"/>
      <c r="DSP1096" s="286"/>
      <c r="DSQ1096" s="286"/>
      <c r="DSR1096" s="286"/>
      <c r="DSS1096" s="286"/>
      <c r="DST1096" s="286"/>
      <c r="DSU1096" s="286"/>
      <c r="DSV1096" s="286"/>
      <c r="DSW1096" s="286"/>
      <c r="DSX1096" s="286"/>
      <c r="DSY1096" s="286"/>
      <c r="DSZ1096" s="286"/>
      <c r="DTA1096" s="286"/>
      <c r="DTB1096" s="286"/>
      <c r="DTC1096" s="286"/>
      <c r="DTD1096" s="286"/>
      <c r="DTE1096" s="286"/>
      <c r="DTF1096" s="286"/>
      <c r="DTG1096" s="286"/>
      <c r="DTH1096" s="286"/>
      <c r="DTI1096" s="286"/>
      <c r="DTJ1096" s="286"/>
      <c r="DTK1096" s="286"/>
      <c r="DTL1096" s="286"/>
      <c r="DTM1096" s="286"/>
      <c r="DTN1096" s="286"/>
      <c r="DTO1096" s="286"/>
      <c r="DTP1096" s="286"/>
      <c r="DTQ1096" s="286"/>
      <c r="DTR1096" s="286"/>
      <c r="DTS1096" s="286"/>
      <c r="DTT1096" s="286"/>
      <c r="DTU1096" s="286"/>
      <c r="DTV1096" s="286"/>
      <c r="DTW1096" s="286"/>
      <c r="DTX1096" s="286"/>
      <c r="DTY1096" s="286"/>
      <c r="DTZ1096" s="286"/>
      <c r="DUA1096" s="286"/>
      <c r="DUB1096" s="286"/>
      <c r="DUC1096" s="286"/>
      <c r="DUD1096" s="286"/>
      <c r="DUE1096" s="286"/>
      <c r="DUF1096" s="286"/>
      <c r="DUG1096" s="286"/>
      <c r="DUH1096" s="286"/>
      <c r="DUI1096" s="286"/>
      <c r="DUJ1096" s="286"/>
      <c r="DUK1096" s="286"/>
      <c r="DUL1096" s="286"/>
      <c r="DUM1096" s="286"/>
      <c r="DUN1096" s="286"/>
      <c r="DUO1096" s="286"/>
      <c r="DUP1096" s="286"/>
      <c r="DUQ1096" s="286"/>
      <c r="DUR1096" s="286"/>
      <c r="DUS1096" s="286"/>
      <c r="DUT1096" s="286"/>
      <c r="DUU1096" s="286"/>
      <c r="DUV1096" s="286"/>
      <c r="DUW1096" s="286"/>
      <c r="DUX1096" s="286"/>
      <c r="DUY1096" s="286"/>
      <c r="DUZ1096" s="286"/>
      <c r="DVA1096" s="286"/>
      <c r="DVB1096" s="286"/>
      <c r="DVC1096" s="286"/>
      <c r="DVD1096" s="286"/>
      <c r="DVE1096" s="286"/>
      <c r="DVF1096" s="286"/>
      <c r="DVG1096" s="286"/>
      <c r="DVH1096" s="286"/>
      <c r="DVI1096" s="286"/>
      <c r="DVJ1096" s="286"/>
      <c r="DVK1096" s="286"/>
      <c r="DVL1096" s="286"/>
      <c r="DVM1096" s="286"/>
      <c r="DVN1096" s="286"/>
      <c r="DVO1096" s="286"/>
      <c r="DVP1096" s="286"/>
      <c r="DVQ1096" s="286"/>
      <c r="DVR1096" s="286"/>
      <c r="DVS1096" s="286"/>
      <c r="DVT1096" s="286"/>
      <c r="DVU1096" s="286"/>
      <c r="DVV1096" s="286"/>
      <c r="DVW1096" s="286"/>
      <c r="DVX1096" s="286"/>
      <c r="DVY1096" s="286"/>
      <c r="DVZ1096" s="286"/>
      <c r="DWA1096" s="286"/>
      <c r="DWB1096" s="286"/>
      <c r="DWC1096" s="286"/>
      <c r="DWD1096" s="286"/>
      <c r="DWE1096" s="286"/>
      <c r="DWF1096" s="286"/>
      <c r="DWG1096" s="286"/>
      <c r="DWH1096" s="286"/>
      <c r="DWI1096" s="286"/>
      <c r="DWJ1096" s="286"/>
      <c r="DWK1096" s="286"/>
      <c r="DWL1096" s="286"/>
      <c r="DWM1096" s="286"/>
      <c r="DWN1096" s="286"/>
      <c r="DWO1096" s="286"/>
      <c r="DWP1096" s="286"/>
      <c r="DWQ1096" s="286"/>
      <c r="DWR1096" s="286"/>
      <c r="DWS1096" s="286"/>
      <c r="DWT1096" s="286"/>
      <c r="DWU1096" s="286"/>
      <c r="DWV1096" s="286"/>
      <c r="DWW1096" s="286"/>
      <c r="DWX1096" s="286"/>
      <c r="DWY1096" s="286"/>
      <c r="DWZ1096" s="286"/>
      <c r="DXA1096" s="286"/>
      <c r="DXB1096" s="286"/>
      <c r="DXC1096" s="286"/>
      <c r="DXD1096" s="286"/>
      <c r="DXE1096" s="286"/>
      <c r="DXF1096" s="286"/>
      <c r="DXG1096" s="286"/>
      <c r="DXH1096" s="286"/>
      <c r="DXI1096" s="286"/>
      <c r="DXJ1096" s="286"/>
      <c r="DXK1096" s="286"/>
      <c r="DXL1096" s="286"/>
      <c r="DXM1096" s="286"/>
      <c r="DXN1096" s="286"/>
      <c r="DXO1096" s="286"/>
      <c r="DXP1096" s="286"/>
      <c r="DXQ1096" s="286"/>
      <c r="DXR1096" s="286"/>
      <c r="DXS1096" s="286"/>
      <c r="DXT1096" s="286"/>
      <c r="DXU1096" s="286"/>
      <c r="DXV1096" s="286"/>
      <c r="DXW1096" s="286"/>
      <c r="DXX1096" s="286"/>
      <c r="DXY1096" s="286"/>
      <c r="DXZ1096" s="286"/>
      <c r="DYA1096" s="286"/>
      <c r="DYB1096" s="286"/>
      <c r="DYC1096" s="286"/>
      <c r="DYD1096" s="286"/>
      <c r="DYE1096" s="286"/>
      <c r="DYF1096" s="286"/>
      <c r="DYG1096" s="286"/>
      <c r="DYH1096" s="286"/>
      <c r="DYI1096" s="286"/>
      <c r="DYJ1096" s="286"/>
      <c r="DYK1096" s="286"/>
      <c r="DYL1096" s="286"/>
      <c r="DYM1096" s="286"/>
      <c r="DYN1096" s="286"/>
      <c r="DYO1096" s="286"/>
      <c r="DYP1096" s="286"/>
      <c r="DYQ1096" s="286"/>
      <c r="DYR1096" s="286"/>
      <c r="DYS1096" s="286"/>
      <c r="DYT1096" s="286"/>
      <c r="DYU1096" s="286"/>
      <c r="DYV1096" s="286"/>
      <c r="DYW1096" s="286"/>
      <c r="DYX1096" s="286"/>
      <c r="DYY1096" s="286"/>
      <c r="DYZ1096" s="286"/>
      <c r="DZA1096" s="286"/>
      <c r="DZB1096" s="286"/>
      <c r="DZC1096" s="286"/>
      <c r="DZD1096" s="286"/>
      <c r="DZE1096" s="286"/>
      <c r="DZF1096" s="286"/>
      <c r="DZG1096" s="286"/>
      <c r="DZH1096" s="286"/>
      <c r="DZI1096" s="286"/>
      <c r="DZJ1096" s="286"/>
      <c r="DZK1096" s="286"/>
      <c r="DZL1096" s="286"/>
      <c r="DZM1096" s="286"/>
      <c r="DZN1096" s="286"/>
      <c r="DZO1096" s="286"/>
      <c r="DZP1096" s="286"/>
      <c r="DZQ1096" s="286"/>
      <c r="DZR1096" s="286"/>
      <c r="DZS1096" s="286"/>
      <c r="DZT1096" s="286"/>
      <c r="DZU1096" s="286"/>
      <c r="DZV1096" s="286"/>
      <c r="DZW1096" s="286"/>
      <c r="DZX1096" s="286"/>
      <c r="DZY1096" s="286"/>
      <c r="DZZ1096" s="286"/>
      <c r="EAA1096" s="286"/>
      <c r="EAB1096" s="286"/>
      <c r="EAC1096" s="286"/>
      <c r="EAD1096" s="286"/>
      <c r="EAE1096" s="286"/>
      <c r="EAF1096" s="286"/>
      <c r="EAG1096" s="286"/>
      <c r="EAH1096" s="286"/>
      <c r="EAI1096" s="286"/>
      <c r="EAJ1096" s="286"/>
      <c r="EAK1096" s="286"/>
      <c r="EAL1096" s="286"/>
      <c r="EAM1096" s="286"/>
      <c r="EAN1096" s="286"/>
      <c r="EAO1096" s="286"/>
      <c r="EAP1096" s="286"/>
      <c r="EAQ1096" s="286"/>
      <c r="EAR1096" s="286"/>
      <c r="EAS1096" s="286"/>
      <c r="EAT1096" s="286"/>
      <c r="EAU1096" s="286"/>
      <c r="EAV1096" s="286"/>
      <c r="EAW1096" s="286"/>
      <c r="EAX1096" s="286"/>
      <c r="EAY1096" s="286"/>
      <c r="EAZ1096" s="286"/>
      <c r="EBA1096" s="286"/>
      <c r="EBB1096" s="286"/>
      <c r="EBC1096" s="286"/>
      <c r="EBD1096" s="286"/>
      <c r="EBE1096" s="286"/>
      <c r="EBF1096" s="286"/>
      <c r="EBG1096" s="286"/>
      <c r="EBH1096" s="286"/>
      <c r="EBI1096" s="286"/>
      <c r="EBJ1096" s="286"/>
      <c r="EBK1096" s="286"/>
      <c r="EBL1096" s="286"/>
      <c r="EBM1096" s="286"/>
      <c r="EBN1096" s="286"/>
      <c r="EBO1096" s="286"/>
      <c r="EBP1096" s="286"/>
      <c r="EBQ1096" s="286"/>
      <c r="EBR1096" s="286"/>
      <c r="EBS1096" s="286"/>
      <c r="EBT1096" s="286"/>
      <c r="EBU1096" s="286"/>
      <c r="EBV1096" s="286"/>
      <c r="EBW1096" s="286"/>
      <c r="EBX1096" s="286"/>
      <c r="EBY1096" s="286"/>
      <c r="EBZ1096" s="286"/>
      <c r="ECA1096" s="286"/>
      <c r="ECB1096" s="286"/>
      <c r="ECC1096" s="286"/>
      <c r="ECD1096" s="286"/>
      <c r="ECE1096" s="286"/>
      <c r="ECF1096" s="286"/>
      <c r="ECG1096" s="286"/>
      <c r="ECH1096" s="286"/>
      <c r="ECI1096" s="286"/>
      <c r="ECJ1096" s="286"/>
      <c r="ECK1096" s="286"/>
      <c r="ECL1096" s="286"/>
      <c r="ECM1096" s="286"/>
      <c r="ECN1096" s="286"/>
      <c r="ECO1096" s="286"/>
      <c r="ECP1096" s="286"/>
      <c r="ECQ1096" s="286"/>
      <c r="ECR1096" s="286"/>
      <c r="ECS1096" s="286"/>
      <c r="ECT1096" s="286"/>
      <c r="ECU1096" s="286"/>
      <c r="ECV1096" s="286"/>
      <c r="ECW1096" s="286"/>
      <c r="ECX1096" s="286"/>
      <c r="ECY1096" s="286"/>
      <c r="ECZ1096" s="286"/>
      <c r="EDA1096" s="286"/>
      <c r="EDB1096" s="286"/>
      <c r="EDC1096" s="286"/>
      <c r="EDD1096" s="286"/>
      <c r="EDE1096" s="286"/>
      <c r="EDF1096" s="286"/>
      <c r="EDG1096" s="286"/>
      <c r="EDH1096" s="286"/>
      <c r="EDI1096" s="286"/>
      <c r="EDJ1096" s="286"/>
      <c r="EDK1096" s="286"/>
      <c r="EDL1096" s="286"/>
      <c r="EDM1096" s="286"/>
      <c r="EDN1096" s="286"/>
      <c r="EDO1096" s="286"/>
      <c r="EDP1096" s="286"/>
      <c r="EDQ1096" s="286"/>
      <c r="EDR1096" s="286"/>
      <c r="EDS1096" s="286"/>
      <c r="EDT1096" s="286"/>
      <c r="EDU1096" s="286"/>
      <c r="EDV1096" s="286"/>
      <c r="EDW1096" s="286"/>
      <c r="EDX1096" s="286"/>
      <c r="EDY1096" s="286"/>
      <c r="EDZ1096" s="286"/>
      <c r="EEA1096" s="286"/>
      <c r="EEB1096" s="286"/>
      <c r="EEC1096" s="286"/>
      <c r="EED1096" s="286"/>
      <c r="EEE1096" s="286"/>
      <c r="EEF1096" s="286"/>
      <c r="EEG1096" s="286"/>
      <c r="EEH1096" s="286"/>
      <c r="EEI1096" s="286"/>
      <c r="EEJ1096" s="286"/>
      <c r="EEK1096" s="286"/>
      <c r="EEL1096" s="286"/>
      <c r="EEM1096" s="286"/>
      <c r="EEN1096" s="286"/>
      <c r="EEO1096" s="286"/>
      <c r="EEP1096" s="286"/>
      <c r="EEQ1096" s="286"/>
      <c r="EER1096" s="286"/>
      <c r="EES1096" s="286"/>
      <c r="EET1096" s="286"/>
      <c r="EEU1096" s="286"/>
      <c r="EEV1096" s="286"/>
      <c r="EEW1096" s="286"/>
      <c r="EEX1096" s="286"/>
      <c r="EEY1096" s="286"/>
      <c r="EEZ1096" s="286"/>
      <c r="EFA1096" s="286"/>
      <c r="EFB1096" s="286"/>
      <c r="EFC1096" s="286"/>
      <c r="EFD1096" s="286"/>
      <c r="EFE1096" s="286"/>
      <c r="EFF1096" s="286"/>
      <c r="EFG1096" s="286"/>
      <c r="EFH1096" s="286"/>
      <c r="EFI1096" s="286"/>
      <c r="EFJ1096" s="286"/>
      <c r="EFK1096" s="286"/>
      <c r="EFL1096" s="286"/>
      <c r="EFM1096" s="286"/>
      <c r="EFN1096" s="286"/>
      <c r="EFO1096" s="286"/>
      <c r="EFP1096" s="286"/>
      <c r="EFQ1096" s="286"/>
      <c r="EFR1096" s="286"/>
      <c r="EFS1096" s="286"/>
      <c r="EFT1096" s="286"/>
      <c r="EFU1096" s="286"/>
      <c r="EFV1096" s="286"/>
      <c r="EFW1096" s="286"/>
      <c r="EFX1096" s="286"/>
      <c r="EFY1096" s="286"/>
      <c r="EFZ1096" s="286"/>
      <c r="EGA1096" s="286"/>
      <c r="EGB1096" s="286"/>
      <c r="EGC1096" s="286"/>
      <c r="EGD1096" s="286"/>
      <c r="EGE1096" s="286"/>
      <c r="EGF1096" s="286"/>
      <c r="EGG1096" s="286"/>
      <c r="EGH1096" s="286"/>
      <c r="EGI1096" s="286"/>
      <c r="EGJ1096" s="286"/>
      <c r="EGK1096" s="286"/>
      <c r="EGL1096" s="286"/>
      <c r="EGM1096" s="286"/>
      <c r="EGN1096" s="286"/>
      <c r="EGO1096" s="286"/>
      <c r="EGP1096" s="286"/>
      <c r="EGQ1096" s="286"/>
      <c r="EGR1096" s="286"/>
      <c r="EGS1096" s="286"/>
      <c r="EGT1096" s="286"/>
      <c r="EGU1096" s="286"/>
      <c r="EGV1096" s="286"/>
      <c r="EGW1096" s="286"/>
      <c r="EGX1096" s="286"/>
      <c r="EGY1096" s="286"/>
      <c r="EGZ1096" s="286"/>
      <c r="EHA1096" s="286"/>
      <c r="EHB1096" s="286"/>
      <c r="EHC1096" s="286"/>
      <c r="EHD1096" s="286"/>
      <c r="EHE1096" s="286"/>
      <c r="EHF1096" s="286"/>
      <c r="EHG1096" s="286"/>
      <c r="EHH1096" s="286"/>
      <c r="EHI1096" s="286"/>
      <c r="EHJ1096" s="286"/>
      <c r="EHK1096" s="286"/>
      <c r="EHL1096" s="286"/>
      <c r="EHM1096" s="286"/>
      <c r="EHN1096" s="286"/>
      <c r="EHO1096" s="286"/>
      <c r="EHP1096" s="286"/>
      <c r="EHQ1096" s="286"/>
      <c r="EHR1096" s="286"/>
      <c r="EHS1096" s="286"/>
      <c r="EHT1096" s="286"/>
      <c r="EHU1096" s="286"/>
      <c r="EHV1096" s="286"/>
      <c r="EHW1096" s="286"/>
      <c r="EHX1096" s="286"/>
      <c r="EHY1096" s="286"/>
      <c r="EHZ1096" s="286"/>
      <c r="EIA1096" s="286"/>
      <c r="EIB1096" s="286"/>
      <c r="EIC1096" s="286"/>
      <c r="EID1096" s="286"/>
      <c r="EIE1096" s="286"/>
      <c r="EIF1096" s="286"/>
      <c r="EIG1096" s="286"/>
      <c r="EIH1096" s="286"/>
      <c r="EII1096" s="286"/>
      <c r="EIJ1096" s="286"/>
      <c r="EIK1096" s="286"/>
      <c r="EIL1096" s="286"/>
      <c r="EIM1096" s="286"/>
      <c r="EIN1096" s="286"/>
      <c r="EIO1096" s="286"/>
      <c r="EIP1096" s="286"/>
      <c r="EIQ1096" s="286"/>
      <c r="EIR1096" s="286"/>
      <c r="EIS1096" s="286"/>
      <c r="EIT1096" s="286"/>
      <c r="EIU1096" s="286"/>
      <c r="EIV1096" s="286"/>
      <c r="EIW1096" s="286"/>
      <c r="EIX1096" s="286"/>
      <c r="EIY1096" s="286"/>
      <c r="EIZ1096" s="286"/>
      <c r="EJA1096" s="286"/>
      <c r="EJB1096" s="286"/>
      <c r="EJC1096" s="286"/>
      <c r="EJD1096" s="286"/>
      <c r="EJE1096" s="286"/>
      <c r="EJF1096" s="286"/>
      <c r="EJG1096" s="286"/>
      <c r="EJH1096" s="286"/>
      <c r="EJI1096" s="286"/>
      <c r="EJJ1096" s="286"/>
      <c r="EJK1096" s="286"/>
      <c r="EJL1096" s="286"/>
      <c r="EJM1096" s="286"/>
      <c r="EJN1096" s="286"/>
      <c r="EJO1096" s="286"/>
      <c r="EJP1096" s="286"/>
      <c r="EJQ1096" s="286"/>
      <c r="EJR1096" s="286"/>
      <c r="EJS1096" s="286"/>
      <c r="EJT1096" s="286"/>
      <c r="EJU1096" s="286"/>
      <c r="EJV1096" s="286"/>
      <c r="EJW1096" s="286"/>
      <c r="EJX1096" s="286"/>
      <c r="EJY1096" s="286"/>
      <c r="EJZ1096" s="286"/>
      <c r="EKA1096" s="286"/>
      <c r="EKB1096" s="286"/>
      <c r="EKC1096" s="286"/>
      <c r="EKD1096" s="286"/>
      <c r="EKE1096" s="286"/>
      <c r="EKF1096" s="286"/>
      <c r="EKG1096" s="286"/>
      <c r="EKH1096" s="286"/>
      <c r="EKI1096" s="286"/>
      <c r="EKJ1096" s="286"/>
      <c r="EKK1096" s="286"/>
      <c r="EKL1096" s="286"/>
      <c r="EKM1096" s="286"/>
      <c r="EKN1096" s="286"/>
      <c r="EKO1096" s="286"/>
      <c r="EKP1096" s="286"/>
      <c r="EKQ1096" s="286"/>
      <c r="EKR1096" s="286"/>
      <c r="EKS1096" s="286"/>
      <c r="EKT1096" s="286"/>
      <c r="EKU1096" s="286"/>
      <c r="EKV1096" s="286"/>
      <c r="EKW1096" s="286"/>
      <c r="EKX1096" s="286"/>
      <c r="EKY1096" s="286"/>
      <c r="EKZ1096" s="286"/>
      <c r="ELA1096" s="286"/>
      <c r="ELB1096" s="286"/>
      <c r="ELC1096" s="286"/>
      <c r="ELD1096" s="286"/>
      <c r="ELE1096" s="286"/>
      <c r="ELF1096" s="286"/>
      <c r="ELG1096" s="286"/>
      <c r="ELH1096" s="286"/>
      <c r="ELI1096" s="286"/>
      <c r="ELJ1096" s="286"/>
      <c r="ELK1096" s="286"/>
      <c r="ELL1096" s="286"/>
      <c r="ELM1096" s="286"/>
      <c r="ELN1096" s="286"/>
      <c r="ELO1096" s="286"/>
      <c r="ELP1096" s="286"/>
      <c r="ELQ1096" s="286"/>
      <c r="ELR1096" s="286"/>
      <c r="ELS1096" s="286"/>
      <c r="ELT1096" s="286"/>
      <c r="ELU1096" s="286"/>
      <c r="ELV1096" s="286"/>
      <c r="ELW1096" s="286"/>
      <c r="ELX1096" s="286"/>
      <c r="ELY1096" s="286"/>
      <c r="ELZ1096" s="286"/>
      <c r="EMA1096" s="286"/>
      <c r="EMB1096" s="286"/>
      <c r="EMC1096" s="286"/>
      <c r="EMD1096" s="286"/>
      <c r="EME1096" s="286"/>
      <c r="EMF1096" s="286"/>
      <c r="EMG1096" s="286"/>
      <c r="EMH1096" s="286"/>
      <c r="EMI1096" s="286"/>
      <c r="EMJ1096" s="286"/>
      <c r="EMK1096" s="286"/>
      <c r="EML1096" s="286"/>
      <c r="EMM1096" s="286"/>
      <c r="EMN1096" s="286"/>
      <c r="EMO1096" s="286"/>
      <c r="EMP1096" s="286"/>
      <c r="EMQ1096" s="286"/>
      <c r="EMR1096" s="286"/>
      <c r="EMS1096" s="286"/>
      <c r="EMT1096" s="286"/>
      <c r="EMU1096" s="286"/>
      <c r="EMV1096" s="286"/>
      <c r="EMW1096" s="286"/>
      <c r="EMX1096" s="286"/>
      <c r="EMY1096" s="286"/>
      <c r="EMZ1096" s="286"/>
      <c r="ENA1096" s="286"/>
      <c r="ENB1096" s="286"/>
      <c r="ENC1096" s="286"/>
      <c r="END1096" s="286"/>
      <c r="ENE1096" s="286"/>
      <c r="ENF1096" s="286"/>
      <c r="ENG1096" s="286"/>
      <c r="ENH1096" s="286"/>
      <c r="ENI1096" s="286"/>
      <c r="ENJ1096" s="286"/>
      <c r="ENK1096" s="286"/>
      <c r="ENL1096" s="286"/>
      <c r="ENM1096" s="286"/>
      <c r="ENN1096" s="286"/>
      <c r="ENO1096" s="286"/>
      <c r="ENP1096" s="286"/>
      <c r="ENQ1096" s="286"/>
      <c r="ENR1096" s="286"/>
      <c r="ENS1096" s="286"/>
      <c r="ENT1096" s="286"/>
      <c r="ENU1096" s="286"/>
      <c r="ENV1096" s="286"/>
      <c r="ENW1096" s="286"/>
      <c r="ENX1096" s="286"/>
      <c r="ENY1096" s="286"/>
      <c r="ENZ1096" s="286"/>
      <c r="EOA1096" s="286"/>
      <c r="EOB1096" s="286"/>
      <c r="EOC1096" s="286"/>
      <c r="EOD1096" s="286"/>
      <c r="EOE1096" s="286"/>
      <c r="EOF1096" s="286"/>
      <c r="EOG1096" s="286"/>
      <c r="EOH1096" s="286"/>
      <c r="EOI1096" s="286"/>
      <c r="EOJ1096" s="286"/>
      <c r="EOK1096" s="286"/>
      <c r="EOL1096" s="286"/>
      <c r="EOM1096" s="286"/>
      <c r="EON1096" s="286"/>
      <c r="EOO1096" s="286"/>
      <c r="EOP1096" s="286"/>
      <c r="EOQ1096" s="286"/>
      <c r="EOR1096" s="286"/>
      <c r="EOS1096" s="286"/>
      <c r="EOT1096" s="286"/>
      <c r="EOU1096" s="286"/>
      <c r="EOV1096" s="286"/>
      <c r="EOW1096" s="286"/>
      <c r="EOX1096" s="286"/>
      <c r="EOY1096" s="286"/>
      <c r="EOZ1096" s="286"/>
      <c r="EPA1096" s="286"/>
      <c r="EPB1096" s="286"/>
      <c r="EPC1096" s="286"/>
      <c r="EPD1096" s="286"/>
      <c r="EPE1096" s="286"/>
      <c r="EPF1096" s="286"/>
      <c r="EPG1096" s="286"/>
      <c r="EPH1096" s="286"/>
      <c r="EPI1096" s="286"/>
      <c r="EPJ1096" s="286"/>
      <c r="EPK1096" s="286"/>
      <c r="EPL1096" s="286"/>
      <c r="EPM1096" s="286"/>
      <c r="EPN1096" s="286"/>
      <c r="EPO1096" s="286"/>
      <c r="EPP1096" s="286"/>
      <c r="EPQ1096" s="286"/>
      <c r="EPR1096" s="286"/>
      <c r="EPS1096" s="286"/>
      <c r="EPT1096" s="286"/>
      <c r="EPU1096" s="286"/>
      <c r="EPV1096" s="286"/>
      <c r="EPW1096" s="286"/>
      <c r="EPX1096" s="286"/>
      <c r="EPY1096" s="286"/>
      <c r="EPZ1096" s="286"/>
      <c r="EQA1096" s="286"/>
      <c r="EQB1096" s="286"/>
      <c r="EQC1096" s="286"/>
      <c r="EQD1096" s="286"/>
      <c r="EQE1096" s="286"/>
      <c r="EQF1096" s="286"/>
      <c r="EQG1096" s="286"/>
      <c r="EQH1096" s="286"/>
      <c r="EQI1096" s="286"/>
      <c r="EQJ1096" s="286"/>
      <c r="EQK1096" s="286"/>
      <c r="EQL1096" s="286"/>
      <c r="EQM1096" s="286"/>
      <c r="EQN1096" s="286"/>
      <c r="EQO1096" s="286"/>
      <c r="EQP1096" s="286"/>
      <c r="EQQ1096" s="286"/>
      <c r="EQR1096" s="286"/>
      <c r="EQS1096" s="286"/>
      <c r="EQT1096" s="286"/>
      <c r="EQU1096" s="286"/>
      <c r="EQV1096" s="286"/>
      <c r="EQW1096" s="286"/>
      <c r="EQX1096" s="286"/>
      <c r="EQY1096" s="286"/>
      <c r="EQZ1096" s="286"/>
      <c r="ERA1096" s="286"/>
      <c r="ERB1096" s="286"/>
      <c r="ERC1096" s="286"/>
      <c r="ERD1096" s="286"/>
      <c r="ERE1096" s="286"/>
      <c r="ERF1096" s="286"/>
      <c r="ERG1096" s="286"/>
      <c r="ERH1096" s="286"/>
      <c r="ERI1096" s="286"/>
      <c r="ERJ1096" s="286"/>
      <c r="ERK1096" s="286"/>
      <c r="ERL1096" s="286"/>
      <c r="ERM1096" s="286"/>
      <c r="ERN1096" s="286"/>
      <c r="ERO1096" s="286"/>
      <c r="ERP1096" s="286"/>
      <c r="ERQ1096" s="286"/>
      <c r="ERR1096" s="286"/>
      <c r="ERS1096" s="286"/>
      <c r="ERT1096" s="286"/>
      <c r="ERU1096" s="286"/>
      <c r="ERV1096" s="286"/>
      <c r="ERW1096" s="286"/>
      <c r="ERX1096" s="286"/>
      <c r="ERY1096" s="286"/>
      <c r="ERZ1096" s="286"/>
      <c r="ESA1096" s="286"/>
      <c r="ESB1096" s="286"/>
      <c r="ESC1096" s="286"/>
      <c r="ESD1096" s="286"/>
      <c r="ESE1096" s="286"/>
      <c r="ESF1096" s="286"/>
      <c r="ESG1096" s="286"/>
      <c r="ESH1096" s="286"/>
      <c r="ESI1096" s="286"/>
      <c r="ESJ1096" s="286"/>
      <c r="ESK1096" s="286"/>
      <c r="ESL1096" s="286"/>
      <c r="ESM1096" s="286"/>
      <c r="ESN1096" s="286"/>
      <c r="ESO1096" s="286"/>
      <c r="ESP1096" s="286"/>
      <c r="ESQ1096" s="286"/>
      <c r="ESR1096" s="286"/>
      <c r="ESS1096" s="286"/>
      <c r="EST1096" s="286"/>
      <c r="ESU1096" s="286"/>
      <c r="ESV1096" s="286"/>
      <c r="ESW1096" s="286"/>
      <c r="ESX1096" s="286"/>
      <c r="ESY1096" s="286"/>
      <c r="ESZ1096" s="286"/>
      <c r="ETA1096" s="286"/>
      <c r="ETB1096" s="286"/>
      <c r="ETC1096" s="286"/>
      <c r="ETD1096" s="286"/>
      <c r="ETE1096" s="286"/>
      <c r="ETF1096" s="286"/>
      <c r="ETG1096" s="286"/>
      <c r="ETH1096" s="286"/>
      <c r="ETI1096" s="286"/>
      <c r="ETJ1096" s="286"/>
      <c r="ETK1096" s="286"/>
      <c r="ETL1096" s="286"/>
      <c r="ETM1096" s="286"/>
      <c r="ETN1096" s="286"/>
      <c r="ETO1096" s="286"/>
      <c r="ETP1096" s="286"/>
      <c r="ETQ1096" s="286"/>
      <c r="ETR1096" s="286"/>
      <c r="ETS1096" s="286"/>
      <c r="ETT1096" s="286"/>
      <c r="ETU1096" s="286"/>
      <c r="ETV1096" s="286"/>
      <c r="ETW1096" s="286"/>
      <c r="ETX1096" s="286"/>
      <c r="ETY1096" s="286"/>
      <c r="ETZ1096" s="286"/>
      <c r="EUA1096" s="286"/>
      <c r="EUB1096" s="286"/>
      <c r="EUC1096" s="286"/>
      <c r="EUD1096" s="286"/>
      <c r="EUE1096" s="286"/>
      <c r="EUF1096" s="286"/>
      <c r="EUG1096" s="286"/>
      <c r="EUH1096" s="286"/>
      <c r="EUI1096" s="286"/>
      <c r="EUJ1096" s="286"/>
      <c r="EUK1096" s="286"/>
      <c r="EUL1096" s="286"/>
      <c r="EUM1096" s="286"/>
      <c r="EUN1096" s="286"/>
      <c r="EUO1096" s="286"/>
      <c r="EUP1096" s="286"/>
      <c r="EUQ1096" s="286"/>
      <c r="EUR1096" s="286"/>
      <c r="EUS1096" s="286"/>
      <c r="EUT1096" s="286"/>
      <c r="EUU1096" s="286"/>
      <c r="EUV1096" s="286"/>
      <c r="EUW1096" s="286"/>
      <c r="EUX1096" s="286"/>
      <c r="EUY1096" s="286"/>
      <c r="EUZ1096" s="286"/>
      <c r="EVA1096" s="286"/>
      <c r="EVB1096" s="286"/>
      <c r="EVC1096" s="286"/>
      <c r="EVD1096" s="286"/>
      <c r="EVE1096" s="286"/>
      <c r="EVF1096" s="286"/>
      <c r="EVG1096" s="286"/>
      <c r="EVH1096" s="286"/>
      <c r="EVI1096" s="286"/>
      <c r="EVJ1096" s="286"/>
      <c r="EVK1096" s="286"/>
      <c r="EVL1096" s="286"/>
      <c r="EVM1096" s="286"/>
      <c r="EVN1096" s="286"/>
      <c r="EVO1096" s="286"/>
      <c r="EVP1096" s="286"/>
      <c r="EVQ1096" s="286"/>
      <c r="EVR1096" s="286"/>
      <c r="EVS1096" s="286"/>
      <c r="EVT1096" s="286"/>
      <c r="EVU1096" s="286"/>
      <c r="EVV1096" s="286"/>
      <c r="EVW1096" s="286"/>
      <c r="EVX1096" s="286"/>
      <c r="EVY1096" s="286"/>
      <c r="EVZ1096" s="286"/>
      <c r="EWA1096" s="286"/>
      <c r="EWB1096" s="286"/>
      <c r="EWC1096" s="286"/>
      <c r="EWD1096" s="286"/>
      <c r="EWE1096" s="286"/>
      <c r="EWF1096" s="286"/>
      <c r="EWG1096" s="286"/>
      <c r="EWH1096" s="286"/>
      <c r="EWI1096" s="286"/>
      <c r="EWJ1096" s="286"/>
      <c r="EWK1096" s="286"/>
      <c r="EWL1096" s="286"/>
      <c r="EWM1096" s="286"/>
      <c r="EWN1096" s="286"/>
      <c r="EWO1096" s="286"/>
      <c r="EWP1096" s="286"/>
      <c r="EWQ1096" s="286"/>
      <c r="EWR1096" s="286"/>
      <c r="EWS1096" s="286"/>
      <c r="EWT1096" s="286"/>
      <c r="EWU1096" s="286"/>
      <c r="EWV1096" s="286"/>
      <c r="EWW1096" s="286"/>
      <c r="EWX1096" s="286"/>
      <c r="EWY1096" s="286"/>
      <c r="EWZ1096" s="286"/>
      <c r="EXA1096" s="286"/>
      <c r="EXB1096" s="286"/>
      <c r="EXC1096" s="286"/>
      <c r="EXD1096" s="286"/>
      <c r="EXE1096" s="286"/>
      <c r="EXF1096" s="286"/>
      <c r="EXG1096" s="286"/>
      <c r="EXH1096" s="286"/>
      <c r="EXI1096" s="286"/>
      <c r="EXJ1096" s="286"/>
      <c r="EXK1096" s="286"/>
      <c r="EXL1096" s="286"/>
      <c r="EXM1096" s="286"/>
      <c r="EXN1096" s="286"/>
      <c r="EXO1096" s="286"/>
      <c r="EXP1096" s="286"/>
      <c r="EXQ1096" s="286"/>
      <c r="EXR1096" s="286"/>
      <c r="EXS1096" s="286"/>
      <c r="EXT1096" s="286"/>
      <c r="EXU1096" s="286"/>
      <c r="EXV1096" s="286"/>
      <c r="EXW1096" s="286"/>
      <c r="EXX1096" s="286"/>
      <c r="EXY1096" s="286"/>
      <c r="EXZ1096" s="286"/>
      <c r="EYA1096" s="286"/>
      <c r="EYB1096" s="286"/>
      <c r="EYC1096" s="286"/>
      <c r="EYD1096" s="286"/>
      <c r="EYE1096" s="286"/>
      <c r="EYF1096" s="286"/>
      <c r="EYG1096" s="286"/>
      <c r="EYH1096" s="286"/>
      <c r="EYI1096" s="286"/>
      <c r="EYJ1096" s="286"/>
      <c r="EYK1096" s="286"/>
      <c r="EYL1096" s="286"/>
      <c r="EYM1096" s="286"/>
      <c r="EYN1096" s="286"/>
      <c r="EYO1096" s="286"/>
      <c r="EYP1096" s="286"/>
      <c r="EYQ1096" s="286"/>
      <c r="EYR1096" s="286"/>
      <c r="EYS1096" s="286"/>
      <c r="EYT1096" s="286"/>
      <c r="EYU1096" s="286"/>
      <c r="EYV1096" s="286"/>
      <c r="EYW1096" s="286"/>
      <c r="EYX1096" s="286"/>
      <c r="EYY1096" s="286"/>
      <c r="EYZ1096" s="286"/>
      <c r="EZA1096" s="286"/>
      <c r="EZB1096" s="286"/>
      <c r="EZC1096" s="286"/>
      <c r="EZD1096" s="286"/>
      <c r="EZE1096" s="286"/>
      <c r="EZF1096" s="286"/>
      <c r="EZG1096" s="286"/>
      <c r="EZH1096" s="286"/>
      <c r="EZI1096" s="286"/>
      <c r="EZJ1096" s="286"/>
      <c r="EZK1096" s="286"/>
      <c r="EZL1096" s="286"/>
      <c r="EZM1096" s="286"/>
      <c r="EZN1096" s="286"/>
      <c r="EZO1096" s="286"/>
      <c r="EZP1096" s="286"/>
      <c r="EZQ1096" s="286"/>
      <c r="EZR1096" s="286"/>
      <c r="EZS1096" s="286"/>
      <c r="EZT1096" s="286"/>
      <c r="EZU1096" s="286"/>
      <c r="EZV1096" s="286"/>
      <c r="EZW1096" s="286"/>
      <c r="EZX1096" s="286"/>
      <c r="EZY1096" s="286"/>
      <c r="EZZ1096" s="286"/>
      <c r="FAA1096" s="286"/>
      <c r="FAB1096" s="286"/>
      <c r="FAC1096" s="286"/>
      <c r="FAD1096" s="286"/>
      <c r="FAE1096" s="286"/>
      <c r="FAF1096" s="286"/>
      <c r="FAG1096" s="286"/>
      <c r="FAH1096" s="286"/>
      <c r="FAI1096" s="286"/>
      <c r="FAJ1096" s="286"/>
      <c r="FAK1096" s="286"/>
      <c r="FAL1096" s="286"/>
      <c r="FAM1096" s="286"/>
      <c r="FAN1096" s="286"/>
      <c r="FAO1096" s="286"/>
      <c r="FAP1096" s="286"/>
      <c r="FAQ1096" s="286"/>
      <c r="FAR1096" s="286"/>
      <c r="FAS1096" s="286"/>
      <c r="FAT1096" s="286"/>
      <c r="FAU1096" s="286"/>
      <c r="FAV1096" s="286"/>
      <c r="FAW1096" s="286"/>
      <c r="FAX1096" s="286"/>
      <c r="FAY1096" s="286"/>
      <c r="FAZ1096" s="286"/>
      <c r="FBA1096" s="286"/>
      <c r="FBB1096" s="286"/>
      <c r="FBC1096" s="286"/>
      <c r="FBD1096" s="286"/>
      <c r="FBE1096" s="286"/>
      <c r="FBF1096" s="286"/>
      <c r="FBG1096" s="286"/>
      <c r="FBH1096" s="286"/>
      <c r="FBI1096" s="286"/>
      <c r="FBJ1096" s="286"/>
      <c r="FBK1096" s="286"/>
      <c r="FBL1096" s="286"/>
      <c r="FBM1096" s="286"/>
      <c r="FBN1096" s="286"/>
      <c r="FBO1096" s="286"/>
      <c r="FBP1096" s="286"/>
      <c r="FBQ1096" s="286"/>
      <c r="FBR1096" s="286"/>
      <c r="FBS1096" s="286"/>
      <c r="FBT1096" s="286"/>
      <c r="FBU1096" s="286"/>
      <c r="FBV1096" s="286"/>
      <c r="FBW1096" s="286"/>
      <c r="FBX1096" s="286"/>
      <c r="FBY1096" s="286"/>
      <c r="FBZ1096" s="286"/>
      <c r="FCA1096" s="286"/>
      <c r="FCB1096" s="286"/>
      <c r="FCC1096" s="286"/>
      <c r="FCD1096" s="286"/>
      <c r="FCE1096" s="286"/>
      <c r="FCF1096" s="286"/>
      <c r="FCG1096" s="286"/>
      <c r="FCH1096" s="286"/>
      <c r="FCI1096" s="286"/>
      <c r="FCJ1096" s="286"/>
      <c r="FCK1096" s="286"/>
      <c r="FCL1096" s="286"/>
      <c r="FCM1096" s="286"/>
      <c r="FCN1096" s="286"/>
      <c r="FCO1096" s="286"/>
      <c r="FCP1096" s="286"/>
      <c r="FCQ1096" s="286"/>
      <c r="FCR1096" s="286"/>
      <c r="FCS1096" s="286"/>
      <c r="FCT1096" s="286"/>
      <c r="FCU1096" s="286"/>
      <c r="FCV1096" s="286"/>
      <c r="FCW1096" s="286"/>
      <c r="FCX1096" s="286"/>
      <c r="FCY1096" s="286"/>
      <c r="FCZ1096" s="286"/>
      <c r="FDA1096" s="286"/>
      <c r="FDB1096" s="286"/>
      <c r="FDC1096" s="286"/>
      <c r="FDD1096" s="286"/>
      <c r="FDE1096" s="286"/>
      <c r="FDF1096" s="286"/>
      <c r="FDG1096" s="286"/>
      <c r="FDH1096" s="286"/>
      <c r="FDI1096" s="286"/>
      <c r="FDJ1096" s="286"/>
      <c r="FDK1096" s="286"/>
      <c r="FDL1096" s="286"/>
      <c r="FDM1096" s="286"/>
      <c r="FDN1096" s="286"/>
      <c r="FDO1096" s="286"/>
      <c r="FDP1096" s="286"/>
      <c r="FDQ1096" s="286"/>
      <c r="FDR1096" s="286"/>
      <c r="FDS1096" s="286"/>
      <c r="FDT1096" s="286"/>
      <c r="FDU1096" s="286"/>
      <c r="FDV1096" s="286"/>
      <c r="FDW1096" s="286"/>
      <c r="FDX1096" s="286"/>
      <c r="FDY1096" s="286"/>
      <c r="FDZ1096" s="286"/>
      <c r="FEA1096" s="286"/>
      <c r="FEB1096" s="286"/>
      <c r="FEC1096" s="286"/>
      <c r="FED1096" s="286"/>
      <c r="FEE1096" s="286"/>
      <c r="FEF1096" s="286"/>
      <c r="FEG1096" s="286"/>
      <c r="FEH1096" s="286"/>
      <c r="FEI1096" s="286"/>
      <c r="FEJ1096" s="286"/>
      <c r="FEK1096" s="286"/>
      <c r="FEL1096" s="286"/>
      <c r="FEM1096" s="286"/>
      <c r="FEN1096" s="286"/>
      <c r="FEO1096" s="286"/>
      <c r="FEP1096" s="286"/>
      <c r="FEQ1096" s="286"/>
      <c r="FER1096" s="286"/>
      <c r="FES1096" s="286"/>
      <c r="FET1096" s="286"/>
      <c r="FEU1096" s="286"/>
      <c r="FEV1096" s="286"/>
      <c r="FEW1096" s="286"/>
      <c r="FEX1096" s="286"/>
      <c r="FEY1096" s="286"/>
      <c r="FEZ1096" s="286"/>
      <c r="FFA1096" s="286"/>
      <c r="FFB1096" s="286"/>
      <c r="FFC1096" s="286"/>
      <c r="FFD1096" s="286"/>
      <c r="FFE1096" s="286"/>
      <c r="FFF1096" s="286"/>
      <c r="FFG1096" s="286"/>
      <c r="FFH1096" s="286"/>
      <c r="FFI1096" s="286"/>
      <c r="FFJ1096" s="286"/>
      <c r="FFK1096" s="286"/>
      <c r="FFL1096" s="286"/>
      <c r="FFM1096" s="286"/>
      <c r="FFN1096" s="286"/>
      <c r="FFO1096" s="286"/>
      <c r="FFP1096" s="286"/>
      <c r="FFQ1096" s="286"/>
      <c r="FFR1096" s="286"/>
      <c r="FFS1096" s="286"/>
      <c r="FFT1096" s="286"/>
      <c r="FFU1096" s="286"/>
      <c r="FFV1096" s="286"/>
      <c r="FFW1096" s="286"/>
      <c r="FFX1096" s="286"/>
      <c r="FFY1096" s="286"/>
      <c r="FFZ1096" s="286"/>
      <c r="FGA1096" s="286"/>
      <c r="FGB1096" s="286"/>
      <c r="FGC1096" s="286"/>
      <c r="FGD1096" s="286"/>
      <c r="FGE1096" s="286"/>
      <c r="FGF1096" s="286"/>
      <c r="FGG1096" s="286"/>
      <c r="FGH1096" s="286"/>
      <c r="FGI1096" s="286"/>
      <c r="FGJ1096" s="286"/>
      <c r="FGK1096" s="286"/>
      <c r="FGL1096" s="286"/>
      <c r="FGM1096" s="286"/>
      <c r="FGN1096" s="286"/>
      <c r="FGO1096" s="286"/>
      <c r="FGP1096" s="286"/>
      <c r="FGQ1096" s="286"/>
      <c r="FGR1096" s="286"/>
      <c r="FGS1096" s="286"/>
      <c r="FGT1096" s="286"/>
      <c r="FGU1096" s="286"/>
      <c r="FGV1096" s="286"/>
      <c r="FGW1096" s="286"/>
      <c r="FGX1096" s="286"/>
      <c r="FGY1096" s="286"/>
      <c r="FGZ1096" s="286"/>
      <c r="FHA1096" s="286"/>
      <c r="FHB1096" s="286"/>
      <c r="FHC1096" s="286"/>
      <c r="FHD1096" s="286"/>
      <c r="FHE1096" s="286"/>
      <c r="FHF1096" s="286"/>
      <c r="FHG1096" s="286"/>
      <c r="FHH1096" s="286"/>
      <c r="FHI1096" s="286"/>
      <c r="FHJ1096" s="286"/>
      <c r="FHK1096" s="286"/>
      <c r="FHL1096" s="286"/>
      <c r="FHM1096" s="286"/>
      <c r="FHN1096" s="286"/>
      <c r="FHO1096" s="286"/>
      <c r="FHP1096" s="286"/>
      <c r="FHQ1096" s="286"/>
      <c r="FHR1096" s="286"/>
      <c r="FHS1096" s="286"/>
      <c r="FHT1096" s="286"/>
      <c r="FHU1096" s="286"/>
      <c r="FHV1096" s="286"/>
      <c r="FHW1096" s="286"/>
      <c r="FHX1096" s="286"/>
      <c r="FHY1096" s="286"/>
      <c r="FHZ1096" s="286"/>
      <c r="FIA1096" s="286"/>
      <c r="FIB1096" s="286"/>
      <c r="FIC1096" s="286"/>
      <c r="FID1096" s="286"/>
      <c r="FIE1096" s="286"/>
      <c r="FIF1096" s="286"/>
      <c r="FIG1096" s="286"/>
      <c r="FIH1096" s="286"/>
      <c r="FII1096" s="286"/>
      <c r="FIJ1096" s="286"/>
      <c r="FIK1096" s="286"/>
      <c r="FIL1096" s="286"/>
      <c r="FIM1096" s="286"/>
      <c r="FIN1096" s="286"/>
      <c r="FIO1096" s="286"/>
      <c r="FIP1096" s="286"/>
      <c r="FIQ1096" s="286"/>
      <c r="FIR1096" s="286"/>
      <c r="FIS1096" s="286"/>
      <c r="FIT1096" s="286"/>
      <c r="FIU1096" s="286"/>
      <c r="FIV1096" s="286"/>
      <c r="FIW1096" s="286"/>
      <c r="FIX1096" s="286"/>
      <c r="FIY1096" s="286"/>
      <c r="FIZ1096" s="286"/>
      <c r="FJA1096" s="286"/>
      <c r="FJB1096" s="286"/>
      <c r="FJC1096" s="286"/>
      <c r="FJD1096" s="286"/>
      <c r="FJE1096" s="286"/>
      <c r="FJF1096" s="286"/>
      <c r="FJG1096" s="286"/>
      <c r="FJH1096" s="286"/>
      <c r="FJI1096" s="286"/>
      <c r="FJJ1096" s="286"/>
      <c r="FJK1096" s="286"/>
      <c r="FJL1096" s="286"/>
      <c r="FJM1096" s="286"/>
      <c r="FJN1096" s="286"/>
      <c r="FJO1096" s="286"/>
      <c r="FJP1096" s="286"/>
      <c r="FJQ1096" s="286"/>
      <c r="FJR1096" s="286"/>
      <c r="FJS1096" s="286"/>
      <c r="FJT1096" s="286"/>
      <c r="FJU1096" s="286"/>
      <c r="FJV1096" s="286"/>
      <c r="FJW1096" s="286"/>
      <c r="FJX1096" s="286"/>
      <c r="FJY1096" s="286"/>
      <c r="FJZ1096" s="286"/>
      <c r="FKA1096" s="286"/>
      <c r="FKB1096" s="286"/>
      <c r="FKC1096" s="286"/>
      <c r="FKD1096" s="286"/>
      <c r="FKE1096" s="286"/>
      <c r="FKF1096" s="286"/>
      <c r="FKG1096" s="286"/>
      <c r="FKH1096" s="286"/>
      <c r="FKI1096" s="286"/>
      <c r="FKJ1096" s="286"/>
      <c r="FKK1096" s="286"/>
      <c r="FKL1096" s="286"/>
      <c r="FKM1096" s="286"/>
      <c r="FKN1096" s="286"/>
      <c r="FKO1096" s="286"/>
      <c r="FKP1096" s="286"/>
      <c r="FKQ1096" s="286"/>
      <c r="FKR1096" s="286"/>
      <c r="FKS1096" s="286"/>
      <c r="FKT1096" s="286"/>
      <c r="FKU1096" s="286"/>
      <c r="FKV1096" s="286"/>
      <c r="FKW1096" s="286"/>
      <c r="FKX1096" s="286"/>
      <c r="FKY1096" s="286"/>
      <c r="FKZ1096" s="286"/>
      <c r="FLA1096" s="286"/>
      <c r="FLB1096" s="286"/>
      <c r="FLC1096" s="286"/>
      <c r="FLD1096" s="286"/>
      <c r="FLE1096" s="286"/>
      <c r="FLF1096" s="286"/>
      <c r="FLG1096" s="286"/>
      <c r="FLH1096" s="286"/>
      <c r="FLI1096" s="286"/>
      <c r="FLJ1096" s="286"/>
      <c r="FLK1096" s="286"/>
      <c r="FLL1096" s="286"/>
      <c r="FLM1096" s="286"/>
      <c r="FLN1096" s="286"/>
      <c r="FLO1096" s="286"/>
      <c r="FLP1096" s="286"/>
      <c r="FLQ1096" s="286"/>
      <c r="FLR1096" s="286"/>
      <c r="FLS1096" s="286"/>
      <c r="FLT1096" s="286"/>
      <c r="FLU1096" s="286"/>
      <c r="FLV1096" s="286"/>
      <c r="FLW1096" s="286"/>
      <c r="FLX1096" s="286"/>
      <c r="FLY1096" s="286"/>
      <c r="FLZ1096" s="286"/>
      <c r="FMA1096" s="286"/>
      <c r="FMB1096" s="286"/>
      <c r="FMC1096" s="286"/>
      <c r="FMD1096" s="286"/>
      <c r="FME1096" s="286"/>
      <c r="FMF1096" s="286"/>
      <c r="FMG1096" s="286"/>
      <c r="FMH1096" s="286"/>
      <c r="FMI1096" s="286"/>
      <c r="FMJ1096" s="286"/>
      <c r="FMK1096" s="286"/>
      <c r="FML1096" s="286"/>
      <c r="FMM1096" s="286"/>
      <c r="FMN1096" s="286"/>
      <c r="FMO1096" s="286"/>
      <c r="FMP1096" s="286"/>
      <c r="FMQ1096" s="286"/>
      <c r="FMR1096" s="286"/>
      <c r="FMS1096" s="286"/>
      <c r="FMT1096" s="286"/>
      <c r="FMU1096" s="286"/>
      <c r="FMV1096" s="286"/>
      <c r="FMW1096" s="286"/>
      <c r="FMX1096" s="286"/>
      <c r="FMY1096" s="286"/>
      <c r="FMZ1096" s="286"/>
      <c r="FNA1096" s="286"/>
      <c r="FNB1096" s="286"/>
      <c r="FNC1096" s="286"/>
      <c r="FND1096" s="286"/>
      <c r="FNE1096" s="286"/>
      <c r="FNF1096" s="286"/>
      <c r="FNG1096" s="286"/>
      <c r="FNH1096" s="286"/>
      <c r="FNI1096" s="286"/>
      <c r="FNJ1096" s="286"/>
      <c r="FNK1096" s="286"/>
      <c r="FNL1096" s="286"/>
      <c r="FNM1096" s="286"/>
      <c r="FNN1096" s="286"/>
      <c r="FNO1096" s="286"/>
      <c r="FNP1096" s="286"/>
      <c r="FNQ1096" s="286"/>
      <c r="FNR1096" s="286"/>
      <c r="FNS1096" s="286"/>
      <c r="FNT1096" s="286"/>
      <c r="FNU1096" s="286"/>
      <c r="FNV1096" s="286"/>
      <c r="FNW1096" s="286"/>
      <c r="FNX1096" s="286"/>
      <c r="FNY1096" s="286"/>
      <c r="FNZ1096" s="286"/>
      <c r="FOA1096" s="286"/>
      <c r="FOB1096" s="286"/>
      <c r="FOC1096" s="286"/>
      <c r="FOD1096" s="286"/>
      <c r="FOE1096" s="286"/>
      <c r="FOF1096" s="286"/>
      <c r="FOG1096" s="286"/>
      <c r="FOH1096" s="286"/>
      <c r="FOI1096" s="286"/>
      <c r="FOJ1096" s="286"/>
      <c r="FOK1096" s="286"/>
      <c r="FOL1096" s="286"/>
      <c r="FOM1096" s="286"/>
      <c r="FON1096" s="286"/>
      <c r="FOO1096" s="286"/>
      <c r="FOP1096" s="286"/>
      <c r="FOQ1096" s="286"/>
      <c r="FOR1096" s="286"/>
      <c r="FOS1096" s="286"/>
      <c r="FOT1096" s="286"/>
      <c r="FOU1096" s="286"/>
      <c r="FOV1096" s="286"/>
      <c r="FOW1096" s="286"/>
      <c r="FOX1096" s="286"/>
      <c r="FOY1096" s="286"/>
      <c r="FOZ1096" s="286"/>
      <c r="FPA1096" s="286"/>
      <c r="FPB1096" s="286"/>
      <c r="FPC1096" s="286"/>
      <c r="FPD1096" s="286"/>
      <c r="FPE1096" s="286"/>
      <c r="FPF1096" s="286"/>
      <c r="FPG1096" s="286"/>
      <c r="FPH1096" s="286"/>
      <c r="FPI1096" s="286"/>
      <c r="FPJ1096" s="286"/>
      <c r="FPK1096" s="286"/>
      <c r="FPL1096" s="286"/>
      <c r="FPM1096" s="286"/>
      <c r="FPN1096" s="286"/>
      <c r="FPO1096" s="286"/>
      <c r="FPP1096" s="286"/>
      <c r="FPQ1096" s="286"/>
      <c r="FPR1096" s="286"/>
      <c r="FPS1096" s="286"/>
      <c r="FPT1096" s="286"/>
      <c r="FPU1096" s="286"/>
      <c r="FPV1096" s="286"/>
      <c r="FPW1096" s="286"/>
      <c r="FPX1096" s="286"/>
      <c r="FPY1096" s="286"/>
      <c r="FPZ1096" s="286"/>
      <c r="FQA1096" s="286"/>
      <c r="FQB1096" s="286"/>
      <c r="FQC1096" s="286"/>
      <c r="FQD1096" s="286"/>
      <c r="FQE1096" s="286"/>
      <c r="FQF1096" s="286"/>
      <c r="FQG1096" s="286"/>
      <c r="FQH1096" s="286"/>
      <c r="FQI1096" s="286"/>
      <c r="FQJ1096" s="286"/>
      <c r="FQK1096" s="286"/>
      <c r="FQL1096" s="286"/>
      <c r="FQM1096" s="286"/>
      <c r="FQN1096" s="286"/>
      <c r="FQO1096" s="286"/>
      <c r="FQP1096" s="286"/>
      <c r="FQQ1096" s="286"/>
      <c r="FQR1096" s="286"/>
      <c r="FQS1096" s="286"/>
      <c r="FQT1096" s="286"/>
      <c r="FQU1096" s="286"/>
      <c r="FQV1096" s="286"/>
      <c r="FQW1096" s="286"/>
      <c r="FQX1096" s="286"/>
      <c r="FQY1096" s="286"/>
      <c r="FQZ1096" s="286"/>
      <c r="FRA1096" s="286"/>
      <c r="FRB1096" s="286"/>
      <c r="FRC1096" s="286"/>
      <c r="FRD1096" s="286"/>
      <c r="FRE1096" s="286"/>
      <c r="FRF1096" s="286"/>
      <c r="FRG1096" s="286"/>
      <c r="FRH1096" s="286"/>
      <c r="FRI1096" s="286"/>
      <c r="FRJ1096" s="286"/>
      <c r="FRK1096" s="286"/>
      <c r="FRL1096" s="286"/>
      <c r="FRM1096" s="286"/>
      <c r="FRN1096" s="286"/>
      <c r="FRO1096" s="286"/>
      <c r="FRP1096" s="286"/>
      <c r="FRQ1096" s="286"/>
      <c r="FRR1096" s="286"/>
      <c r="FRS1096" s="286"/>
      <c r="FRT1096" s="286"/>
      <c r="FRU1096" s="286"/>
      <c r="FRV1096" s="286"/>
      <c r="FRW1096" s="286"/>
      <c r="FRX1096" s="286"/>
      <c r="FRY1096" s="286"/>
      <c r="FRZ1096" s="286"/>
      <c r="FSA1096" s="286"/>
      <c r="FSB1096" s="286"/>
      <c r="FSC1096" s="286"/>
      <c r="FSD1096" s="286"/>
      <c r="FSE1096" s="286"/>
      <c r="FSF1096" s="286"/>
      <c r="FSG1096" s="286"/>
      <c r="FSH1096" s="286"/>
      <c r="FSI1096" s="286"/>
      <c r="FSJ1096" s="286"/>
      <c r="FSK1096" s="286"/>
      <c r="FSL1096" s="286"/>
      <c r="FSM1096" s="286"/>
      <c r="FSN1096" s="286"/>
      <c r="FSO1096" s="286"/>
      <c r="FSP1096" s="286"/>
      <c r="FSQ1096" s="286"/>
      <c r="FSR1096" s="286"/>
      <c r="FSS1096" s="286"/>
      <c r="FST1096" s="286"/>
      <c r="FSU1096" s="286"/>
      <c r="FSV1096" s="286"/>
      <c r="FSW1096" s="286"/>
      <c r="FSX1096" s="286"/>
      <c r="FSY1096" s="286"/>
      <c r="FSZ1096" s="286"/>
      <c r="FTA1096" s="286"/>
      <c r="FTB1096" s="286"/>
      <c r="FTC1096" s="286"/>
      <c r="FTD1096" s="286"/>
      <c r="FTE1096" s="286"/>
      <c r="FTF1096" s="286"/>
      <c r="FTG1096" s="286"/>
      <c r="FTH1096" s="286"/>
      <c r="FTI1096" s="286"/>
      <c r="FTJ1096" s="286"/>
      <c r="FTK1096" s="286"/>
      <c r="FTL1096" s="286"/>
      <c r="FTM1096" s="286"/>
      <c r="FTN1096" s="286"/>
      <c r="FTO1096" s="286"/>
      <c r="FTP1096" s="286"/>
      <c r="FTQ1096" s="286"/>
      <c r="FTR1096" s="286"/>
      <c r="FTS1096" s="286"/>
      <c r="FTT1096" s="286"/>
      <c r="FTU1096" s="286"/>
      <c r="FTV1096" s="286"/>
      <c r="FTW1096" s="286"/>
      <c r="FTX1096" s="286"/>
      <c r="FTY1096" s="286"/>
      <c r="FTZ1096" s="286"/>
      <c r="FUA1096" s="286"/>
      <c r="FUB1096" s="286"/>
      <c r="FUC1096" s="286"/>
      <c r="FUD1096" s="286"/>
      <c r="FUE1096" s="286"/>
      <c r="FUF1096" s="286"/>
      <c r="FUG1096" s="286"/>
      <c r="FUH1096" s="286"/>
      <c r="FUI1096" s="286"/>
      <c r="FUJ1096" s="286"/>
      <c r="FUK1096" s="286"/>
      <c r="FUL1096" s="286"/>
      <c r="FUM1096" s="286"/>
      <c r="FUN1096" s="286"/>
      <c r="FUO1096" s="286"/>
      <c r="FUP1096" s="286"/>
      <c r="FUQ1096" s="286"/>
      <c r="FUR1096" s="286"/>
      <c r="FUS1096" s="286"/>
      <c r="FUT1096" s="286"/>
      <c r="FUU1096" s="286"/>
      <c r="FUV1096" s="286"/>
      <c r="FUW1096" s="286"/>
      <c r="FUX1096" s="286"/>
      <c r="FUY1096" s="286"/>
      <c r="FUZ1096" s="286"/>
      <c r="FVA1096" s="286"/>
      <c r="FVB1096" s="286"/>
      <c r="FVC1096" s="286"/>
      <c r="FVD1096" s="286"/>
      <c r="FVE1096" s="286"/>
      <c r="FVF1096" s="286"/>
      <c r="FVG1096" s="286"/>
      <c r="FVH1096" s="286"/>
      <c r="FVI1096" s="286"/>
      <c r="FVJ1096" s="286"/>
      <c r="FVK1096" s="286"/>
      <c r="FVL1096" s="286"/>
      <c r="FVM1096" s="286"/>
      <c r="FVN1096" s="286"/>
      <c r="FVO1096" s="286"/>
      <c r="FVP1096" s="286"/>
      <c r="FVQ1096" s="286"/>
      <c r="FVR1096" s="286"/>
      <c r="FVS1096" s="286"/>
      <c r="FVT1096" s="286"/>
      <c r="FVU1096" s="286"/>
      <c r="FVV1096" s="286"/>
      <c r="FVW1096" s="286"/>
      <c r="FVX1096" s="286"/>
      <c r="FVY1096" s="286"/>
      <c r="FVZ1096" s="286"/>
      <c r="FWA1096" s="286"/>
      <c r="FWB1096" s="286"/>
      <c r="FWC1096" s="286"/>
      <c r="FWD1096" s="286"/>
      <c r="FWE1096" s="286"/>
      <c r="FWF1096" s="286"/>
      <c r="FWG1096" s="286"/>
      <c r="FWH1096" s="286"/>
      <c r="FWI1096" s="286"/>
      <c r="FWJ1096" s="286"/>
      <c r="FWK1096" s="286"/>
      <c r="FWL1096" s="286"/>
      <c r="FWM1096" s="286"/>
      <c r="FWN1096" s="286"/>
      <c r="FWO1096" s="286"/>
      <c r="FWP1096" s="286"/>
      <c r="FWQ1096" s="286"/>
      <c r="FWR1096" s="286"/>
      <c r="FWS1096" s="286"/>
      <c r="FWT1096" s="286"/>
      <c r="FWU1096" s="286"/>
      <c r="FWV1096" s="286"/>
      <c r="FWW1096" s="286"/>
      <c r="FWX1096" s="286"/>
      <c r="FWY1096" s="286"/>
      <c r="FWZ1096" s="286"/>
      <c r="FXA1096" s="286"/>
      <c r="FXB1096" s="286"/>
      <c r="FXC1096" s="286"/>
      <c r="FXD1096" s="286"/>
      <c r="FXE1096" s="286"/>
      <c r="FXF1096" s="286"/>
      <c r="FXG1096" s="286"/>
      <c r="FXH1096" s="286"/>
      <c r="FXI1096" s="286"/>
      <c r="FXJ1096" s="286"/>
      <c r="FXK1096" s="286"/>
      <c r="FXL1096" s="286"/>
      <c r="FXM1096" s="286"/>
      <c r="FXN1096" s="286"/>
      <c r="FXO1096" s="286"/>
      <c r="FXP1096" s="286"/>
      <c r="FXQ1096" s="286"/>
      <c r="FXR1096" s="286"/>
      <c r="FXS1096" s="286"/>
      <c r="FXT1096" s="286"/>
      <c r="FXU1096" s="286"/>
      <c r="FXV1096" s="286"/>
      <c r="FXW1096" s="286"/>
      <c r="FXX1096" s="286"/>
      <c r="FXY1096" s="286"/>
      <c r="FXZ1096" s="286"/>
      <c r="FYA1096" s="286"/>
      <c r="FYB1096" s="286"/>
      <c r="FYC1096" s="286"/>
      <c r="FYD1096" s="286"/>
      <c r="FYE1096" s="286"/>
      <c r="FYF1096" s="286"/>
      <c r="FYG1096" s="286"/>
      <c r="FYH1096" s="286"/>
      <c r="FYI1096" s="286"/>
      <c r="FYJ1096" s="286"/>
      <c r="FYK1096" s="286"/>
      <c r="FYL1096" s="286"/>
      <c r="FYM1096" s="286"/>
      <c r="FYN1096" s="286"/>
      <c r="FYO1096" s="286"/>
      <c r="FYP1096" s="286"/>
      <c r="FYQ1096" s="286"/>
      <c r="FYR1096" s="286"/>
      <c r="FYS1096" s="286"/>
      <c r="FYT1096" s="286"/>
      <c r="FYU1096" s="286"/>
      <c r="FYV1096" s="286"/>
      <c r="FYW1096" s="286"/>
      <c r="FYX1096" s="286"/>
      <c r="FYY1096" s="286"/>
      <c r="FYZ1096" s="286"/>
      <c r="FZA1096" s="286"/>
      <c r="FZB1096" s="286"/>
      <c r="FZC1096" s="286"/>
      <c r="FZD1096" s="286"/>
      <c r="FZE1096" s="286"/>
      <c r="FZF1096" s="286"/>
      <c r="FZG1096" s="286"/>
      <c r="FZH1096" s="286"/>
      <c r="FZI1096" s="286"/>
      <c r="FZJ1096" s="286"/>
      <c r="FZK1096" s="286"/>
      <c r="FZL1096" s="286"/>
      <c r="FZM1096" s="286"/>
      <c r="FZN1096" s="286"/>
      <c r="FZO1096" s="286"/>
      <c r="FZP1096" s="286"/>
      <c r="FZQ1096" s="286"/>
      <c r="FZR1096" s="286"/>
      <c r="FZS1096" s="286"/>
      <c r="FZT1096" s="286"/>
      <c r="FZU1096" s="286"/>
      <c r="FZV1096" s="286"/>
      <c r="FZW1096" s="286"/>
      <c r="FZX1096" s="286"/>
      <c r="FZY1096" s="286"/>
      <c r="FZZ1096" s="286"/>
      <c r="GAA1096" s="286"/>
      <c r="GAB1096" s="286"/>
      <c r="GAC1096" s="286"/>
      <c r="GAD1096" s="286"/>
      <c r="GAE1096" s="286"/>
      <c r="GAF1096" s="286"/>
      <c r="GAG1096" s="286"/>
      <c r="GAH1096" s="286"/>
      <c r="GAI1096" s="286"/>
      <c r="GAJ1096" s="286"/>
      <c r="GAK1096" s="286"/>
      <c r="GAL1096" s="286"/>
      <c r="GAM1096" s="286"/>
      <c r="GAN1096" s="286"/>
      <c r="GAO1096" s="286"/>
      <c r="GAP1096" s="286"/>
      <c r="GAQ1096" s="286"/>
      <c r="GAR1096" s="286"/>
      <c r="GAS1096" s="286"/>
      <c r="GAT1096" s="286"/>
      <c r="GAU1096" s="286"/>
      <c r="GAV1096" s="286"/>
      <c r="GAW1096" s="286"/>
      <c r="GAX1096" s="286"/>
      <c r="GAY1096" s="286"/>
      <c r="GAZ1096" s="286"/>
      <c r="GBA1096" s="286"/>
      <c r="GBB1096" s="286"/>
      <c r="GBC1096" s="286"/>
      <c r="GBD1096" s="286"/>
      <c r="GBE1096" s="286"/>
      <c r="GBF1096" s="286"/>
      <c r="GBG1096" s="286"/>
      <c r="GBH1096" s="286"/>
      <c r="GBI1096" s="286"/>
      <c r="GBJ1096" s="286"/>
      <c r="GBK1096" s="286"/>
      <c r="GBL1096" s="286"/>
      <c r="GBM1096" s="286"/>
      <c r="GBN1096" s="286"/>
      <c r="GBO1096" s="286"/>
      <c r="GBP1096" s="286"/>
      <c r="GBQ1096" s="286"/>
      <c r="GBR1096" s="286"/>
      <c r="GBS1096" s="286"/>
      <c r="GBT1096" s="286"/>
      <c r="GBU1096" s="286"/>
      <c r="GBV1096" s="286"/>
      <c r="GBW1096" s="286"/>
      <c r="GBX1096" s="286"/>
      <c r="GBY1096" s="286"/>
      <c r="GBZ1096" s="286"/>
      <c r="GCA1096" s="286"/>
      <c r="GCB1096" s="286"/>
      <c r="GCC1096" s="286"/>
      <c r="GCD1096" s="286"/>
      <c r="GCE1096" s="286"/>
      <c r="GCF1096" s="286"/>
      <c r="GCG1096" s="286"/>
      <c r="GCH1096" s="286"/>
      <c r="GCI1096" s="286"/>
      <c r="GCJ1096" s="286"/>
      <c r="GCK1096" s="286"/>
      <c r="GCL1096" s="286"/>
      <c r="GCM1096" s="286"/>
      <c r="GCN1096" s="286"/>
      <c r="GCO1096" s="286"/>
      <c r="GCP1096" s="286"/>
      <c r="GCQ1096" s="286"/>
      <c r="GCR1096" s="286"/>
      <c r="GCS1096" s="286"/>
      <c r="GCT1096" s="286"/>
      <c r="GCU1096" s="286"/>
      <c r="GCV1096" s="286"/>
      <c r="GCW1096" s="286"/>
      <c r="GCX1096" s="286"/>
      <c r="GCY1096" s="286"/>
      <c r="GCZ1096" s="286"/>
      <c r="GDA1096" s="286"/>
      <c r="GDB1096" s="286"/>
      <c r="GDC1096" s="286"/>
      <c r="GDD1096" s="286"/>
      <c r="GDE1096" s="286"/>
      <c r="GDF1096" s="286"/>
      <c r="GDG1096" s="286"/>
      <c r="GDH1096" s="286"/>
      <c r="GDI1096" s="286"/>
      <c r="GDJ1096" s="286"/>
      <c r="GDK1096" s="286"/>
      <c r="GDL1096" s="286"/>
      <c r="GDM1096" s="286"/>
      <c r="GDN1096" s="286"/>
      <c r="GDO1096" s="286"/>
      <c r="GDP1096" s="286"/>
      <c r="GDQ1096" s="286"/>
      <c r="GDR1096" s="286"/>
      <c r="GDS1096" s="286"/>
      <c r="GDT1096" s="286"/>
      <c r="GDU1096" s="286"/>
      <c r="GDV1096" s="286"/>
      <c r="GDW1096" s="286"/>
      <c r="GDX1096" s="286"/>
      <c r="GDY1096" s="286"/>
      <c r="GDZ1096" s="286"/>
      <c r="GEA1096" s="286"/>
      <c r="GEB1096" s="286"/>
      <c r="GEC1096" s="286"/>
      <c r="GED1096" s="286"/>
      <c r="GEE1096" s="286"/>
      <c r="GEF1096" s="286"/>
      <c r="GEG1096" s="286"/>
      <c r="GEH1096" s="286"/>
      <c r="GEI1096" s="286"/>
      <c r="GEJ1096" s="286"/>
      <c r="GEK1096" s="286"/>
      <c r="GEL1096" s="286"/>
      <c r="GEM1096" s="286"/>
      <c r="GEN1096" s="286"/>
      <c r="GEO1096" s="286"/>
      <c r="GEP1096" s="286"/>
      <c r="GEQ1096" s="286"/>
      <c r="GER1096" s="286"/>
      <c r="GES1096" s="286"/>
      <c r="GET1096" s="286"/>
      <c r="GEU1096" s="286"/>
      <c r="GEV1096" s="286"/>
      <c r="GEW1096" s="286"/>
      <c r="GEX1096" s="286"/>
      <c r="GEY1096" s="286"/>
      <c r="GEZ1096" s="286"/>
      <c r="GFA1096" s="286"/>
      <c r="GFB1096" s="286"/>
      <c r="GFC1096" s="286"/>
      <c r="GFD1096" s="286"/>
      <c r="GFE1096" s="286"/>
      <c r="GFF1096" s="286"/>
      <c r="GFG1096" s="286"/>
      <c r="GFH1096" s="286"/>
      <c r="GFI1096" s="286"/>
      <c r="GFJ1096" s="286"/>
      <c r="GFK1096" s="286"/>
      <c r="GFL1096" s="286"/>
      <c r="GFM1096" s="286"/>
      <c r="GFN1096" s="286"/>
      <c r="GFO1096" s="286"/>
      <c r="GFP1096" s="286"/>
      <c r="GFQ1096" s="286"/>
      <c r="GFR1096" s="286"/>
      <c r="GFS1096" s="286"/>
      <c r="GFT1096" s="286"/>
      <c r="GFU1096" s="286"/>
      <c r="GFV1096" s="286"/>
      <c r="GFW1096" s="286"/>
      <c r="GFX1096" s="286"/>
      <c r="GFY1096" s="286"/>
      <c r="GFZ1096" s="286"/>
      <c r="GGA1096" s="286"/>
      <c r="GGB1096" s="286"/>
      <c r="GGC1096" s="286"/>
      <c r="GGD1096" s="286"/>
      <c r="GGE1096" s="286"/>
      <c r="GGF1096" s="286"/>
      <c r="GGG1096" s="286"/>
      <c r="GGH1096" s="286"/>
      <c r="GGI1096" s="286"/>
      <c r="GGJ1096" s="286"/>
      <c r="GGK1096" s="286"/>
      <c r="GGL1096" s="286"/>
      <c r="GGM1096" s="286"/>
      <c r="GGN1096" s="286"/>
      <c r="GGO1096" s="286"/>
      <c r="GGP1096" s="286"/>
      <c r="GGQ1096" s="286"/>
      <c r="GGR1096" s="286"/>
      <c r="GGS1096" s="286"/>
      <c r="GGT1096" s="286"/>
      <c r="GGU1096" s="286"/>
      <c r="GGV1096" s="286"/>
      <c r="GGW1096" s="286"/>
      <c r="GGX1096" s="286"/>
      <c r="GGY1096" s="286"/>
      <c r="GGZ1096" s="286"/>
      <c r="GHA1096" s="286"/>
      <c r="GHB1096" s="286"/>
      <c r="GHC1096" s="286"/>
      <c r="GHD1096" s="286"/>
      <c r="GHE1096" s="286"/>
      <c r="GHF1096" s="286"/>
      <c r="GHG1096" s="286"/>
      <c r="GHH1096" s="286"/>
      <c r="GHI1096" s="286"/>
      <c r="GHJ1096" s="286"/>
      <c r="GHK1096" s="286"/>
      <c r="GHL1096" s="286"/>
      <c r="GHM1096" s="286"/>
      <c r="GHN1096" s="286"/>
      <c r="GHO1096" s="286"/>
      <c r="GHP1096" s="286"/>
      <c r="GHQ1096" s="286"/>
      <c r="GHR1096" s="286"/>
      <c r="GHS1096" s="286"/>
      <c r="GHT1096" s="286"/>
      <c r="GHU1096" s="286"/>
      <c r="GHV1096" s="286"/>
      <c r="GHW1096" s="286"/>
      <c r="GHX1096" s="286"/>
      <c r="GHY1096" s="286"/>
      <c r="GHZ1096" s="286"/>
      <c r="GIA1096" s="286"/>
      <c r="GIB1096" s="286"/>
      <c r="GIC1096" s="286"/>
      <c r="GID1096" s="286"/>
      <c r="GIE1096" s="286"/>
      <c r="GIF1096" s="286"/>
      <c r="GIG1096" s="286"/>
      <c r="GIH1096" s="286"/>
      <c r="GII1096" s="286"/>
      <c r="GIJ1096" s="286"/>
      <c r="GIK1096" s="286"/>
      <c r="GIL1096" s="286"/>
      <c r="GIM1096" s="286"/>
      <c r="GIN1096" s="286"/>
      <c r="GIO1096" s="286"/>
      <c r="GIP1096" s="286"/>
      <c r="GIQ1096" s="286"/>
      <c r="GIR1096" s="286"/>
      <c r="GIS1096" s="286"/>
      <c r="GIT1096" s="286"/>
      <c r="GIU1096" s="286"/>
      <c r="GIV1096" s="286"/>
      <c r="GIW1096" s="286"/>
      <c r="GIX1096" s="286"/>
      <c r="GIY1096" s="286"/>
      <c r="GIZ1096" s="286"/>
      <c r="GJA1096" s="286"/>
      <c r="GJB1096" s="286"/>
      <c r="GJC1096" s="286"/>
      <c r="GJD1096" s="286"/>
      <c r="GJE1096" s="286"/>
      <c r="GJF1096" s="286"/>
      <c r="GJG1096" s="286"/>
      <c r="GJH1096" s="286"/>
      <c r="GJI1096" s="286"/>
      <c r="GJJ1096" s="286"/>
      <c r="GJK1096" s="286"/>
      <c r="GJL1096" s="286"/>
      <c r="GJM1096" s="286"/>
      <c r="GJN1096" s="286"/>
      <c r="GJO1096" s="286"/>
      <c r="GJP1096" s="286"/>
      <c r="GJQ1096" s="286"/>
      <c r="GJR1096" s="286"/>
      <c r="GJS1096" s="286"/>
      <c r="GJT1096" s="286"/>
      <c r="GJU1096" s="286"/>
      <c r="GJV1096" s="286"/>
      <c r="GJW1096" s="286"/>
      <c r="GJX1096" s="286"/>
      <c r="GJY1096" s="286"/>
      <c r="GJZ1096" s="286"/>
      <c r="GKA1096" s="286"/>
      <c r="GKB1096" s="286"/>
      <c r="GKC1096" s="286"/>
      <c r="GKD1096" s="286"/>
      <c r="GKE1096" s="286"/>
      <c r="GKF1096" s="286"/>
      <c r="GKG1096" s="286"/>
      <c r="GKH1096" s="286"/>
      <c r="GKI1096" s="286"/>
      <c r="GKJ1096" s="286"/>
      <c r="GKK1096" s="286"/>
      <c r="GKL1096" s="286"/>
      <c r="GKM1096" s="286"/>
      <c r="GKN1096" s="286"/>
      <c r="GKO1096" s="286"/>
      <c r="GKP1096" s="286"/>
      <c r="GKQ1096" s="286"/>
      <c r="GKR1096" s="286"/>
      <c r="GKS1096" s="286"/>
      <c r="GKT1096" s="286"/>
      <c r="GKU1096" s="286"/>
      <c r="GKV1096" s="286"/>
      <c r="GKW1096" s="286"/>
      <c r="GKX1096" s="286"/>
      <c r="GKY1096" s="286"/>
      <c r="GKZ1096" s="286"/>
      <c r="GLA1096" s="286"/>
      <c r="GLB1096" s="286"/>
      <c r="GLC1096" s="286"/>
      <c r="GLD1096" s="286"/>
      <c r="GLE1096" s="286"/>
      <c r="GLF1096" s="286"/>
      <c r="GLG1096" s="286"/>
      <c r="GLH1096" s="286"/>
      <c r="GLI1096" s="286"/>
      <c r="GLJ1096" s="286"/>
      <c r="GLK1096" s="286"/>
      <c r="GLL1096" s="286"/>
      <c r="GLM1096" s="286"/>
      <c r="GLN1096" s="286"/>
      <c r="GLO1096" s="286"/>
      <c r="GLP1096" s="286"/>
      <c r="GLQ1096" s="286"/>
      <c r="GLR1096" s="286"/>
      <c r="GLS1096" s="286"/>
      <c r="GLT1096" s="286"/>
      <c r="GLU1096" s="286"/>
      <c r="GLV1096" s="286"/>
      <c r="GLW1096" s="286"/>
      <c r="GLX1096" s="286"/>
      <c r="GLY1096" s="286"/>
      <c r="GLZ1096" s="286"/>
      <c r="GMA1096" s="286"/>
      <c r="GMB1096" s="286"/>
      <c r="GMC1096" s="286"/>
      <c r="GMD1096" s="286"/>
      <c r="GME1096" s="286"/>
      <c r="GMF1096" s="286"/>
      <c r="GMG1096" s="286"/>
      <c r="GMH1096" s="286"/>
      <c r="GMI1096" s="286"/>
      <c r="GMJ1096" s="286"/>
      <c r="GMK1096" s="286"/>
      <c r="GML1096" s="286"/>
      <c r="GMM1096" s="286"/>
      <c r="GMN1096" s="286"/>
      <c r="GMO1096" s="286"/>
      <c r="GMP1096" s="286"/>
      <c r="GMQ1096" s="286"/>
      <c r="GMR1096" s="286"/>
      <c r="GMS1096" s="286"/>
      <c r="GMT1096" s="286"/>
      <c r="GMU1096" s="286"/>
      <c r="GMV1096" s="286"/>
      <c r="GMW1096" s="286"/>
      <c r="GMX1096" s="286"/>
      <c r="GMY1096" s="286"/>
      <c r="GMZ1096" s="286"/>
      <c r="GNA1096" s="286"/>
      <c r="GNB1096" s="286"/>
      <c r="GNC1096" s="286"/>
      <c r="GND1096" s="286"/>
      <c r="GNE1096" s="286"/>
      <c r="GNF1096" s="286"/>
      <c r="GNG1096" s="286"/>
      <c r="GNH1096" s="286"/>
      <c r="GNI1096" s="286"/>
      <c r="GNJ1096" s="286"/>
      <c r="GNK1096" s="286"/>
      <c r="GNL1096" s="286"/>
      <c r="GNM1096" s="286"/>
      <c r="GNN1096" s="286"/>
      <c r="GNO1096" s="286"/>
      <c r="GNP1096" s="286"/>
      <c r="GNQ1096" s="286"/>
      <c r="GNR1096" s="286"/>
      <c r="GNS1096" s="286"/>
      <c r="GNT1096" s="286"/>
      <c r="GNU1096" s="286"/>
      <c r="GNV1096" s="286"/>
      <c r="GNW1096" s="286"/>
      <c r="GNX1096" s="286"/>
      <c r="GNY1096" s="286"/>
      <c r="GNZ1096" s="286"/>
      <c r="GOA1096" s="286"/>
      <c r="GOB1096" s="286"/>
      <c r="GOC1096" s="286"/>
      <c r="GOD1096" s="286"/>
      <c r="GOE1096" s="286"/>
      <c r="GOF1096" s="286"/>
      <c r="GOG1096" s="286"/>
      <c r="GOH1096" s="286"/>
      <c r="GOI1096" s="286"/>
      <c r="GOJ1096" s="286"/>
      <c r="GOK1096" s="286"/>
      <c r="GOL1096" s="286"/>
      <c r="GOM1096" s="286"/>
      <c r="GON1096" s="286"/>
      <c r="GOO1096" s="286"/>
      <c r="GOP1096" s="286"/>
      <c r="GOQ1096" s="286"/>
      <c r="GOR1096" s="286"/>
      <c r="GOS1096" s="286"/>
      <c r="GOT1096" s="286"/>
      <c r="GOU1096" s="286"/>
      <c r="GOV1096" s="286"/>
      <c r="GOW1096" s="286"/>
      <c r="GOX1096" s="286"/>
      <c r="GOY1096" s="286"/>
      <c r="GOZ1096" s="286"/>
      <c r="GPA1096" s="286"/>
      <c r="GPB1096" s="286"/>
      <c r="GPC1096" s="286"/>
      <c r="GPD1096" s="286"/>
      <c r="GPE1096" s="286"/>
      <c r="GPF1096" s="286"/>
      <c r="GPG1096" s="286"/>
      <c r="GPH1096" s="286"/>
      <c r="GPI1096" s="286"/>
      <c r="GPJ1096" s="286"/>
      <c r="GPK1096" s="286"/>
      <c r="GPL1096" s="286"/>
      <c r="GPM1096" s="286"/>
      <c r="GPN1096" s="286"/>
      <c r="GPO1096" s="286"/>
      <c r="GPP1096" s="286"/>
      <c r="GPQ1096" s="286"/>
      <c r="GPR1096" s="286"/>
      <c r="GPS1096" s="286"/>
      <c r="GPT1096" s="286"/>
      <c r="GPU1096" s="286"/>
      <c r="GPV1096" s="286"/>
      <c r="GPW1096" s="286"/>
      <c r="GPX1096" s="286"/>
      <c r="GPY1096" s="286"/>
      <c r="GPZ1096" s="286"/>
      <c r="GQA1096" s="286"/>
      <c r="GQB1096" s="286"/>
      <c r="GQC1096" s="286"/>
      <c r="GQD1096" s="286"/>
      <c r="GQE1096" s="286"/>
      <c r="GQF1096" s="286"/>
      <c r="GQG1096" s="286"/>
      <c r="GQH1096" s="286"/>
      <c r="GQI1096" s="286"/>
      <c r="GQJ1096" s="286"/>
      <c r="GQK1096" s="286"/>
      <c r="GQL1096" s="286"/>
      <c r="GQM1096" s="286"/>
      <c r="GQN1096" s="286"/>
      <c r="GQO1096" s="286"/>
      <c r="GQP1096" s="286"/>
      <c r="GQQ1096" s="286"/>
      <c r="GQR1096" s="286"/>
      <c r="GQS1096" s="286"/>
      <c r="GQT1096" s="286"/>
      <c r="GQU1096" s="286"/>
      <c r="GQV1096" s="286"/>
      <c r="GQW1096" s="286"/>
      <c r="GQX1096" s="286"/>
      <c r="GQY1096" s="286"/>
      <c r="GQZ1096" s="286"/>
      <c r="GRA1096" s="286"/>
      <c r="GRB1096" s="286"/>
      <c r="GRC1096" s="286"/>
      <c r="GRD1096" s="286"/>
      <c r="GRE1096" s="286"/>
      <c r="GRF1096" s="286"/>
      <c r="GRG1096" s="286"/>
      <c r="GRH1096" s="286"/>
      <c r="GRI1096" s="286"/>
      <c r="GRJ1096" s="286"/>
      <c r="GRK1096" s="286"/>
      <c r="GRL1096" s="286"/>
      <c r="GRM1096" s="286"/>
      <c r="GRN1096" s="286"/>
      <c r="GRO1096" s="286"/>
      <c r="GRP1096" s="286"/>
      <c r="GRQ1096" s="286"/>
      <c r="GRR1096" s="286"/>
      <c r="GRS1096" s="286"/>
      <c r="GRT1096" s="286"/>
      <c r="GRU1096" s="286"/>
      <c r="GRV1096" s="286"/>
      <c r="GRW1096" s="286"/>
      <c r="GRX1096" s="286"/>
      <c r="GRY1096" s="286"/>
      <c r="GRZ1096" s="286"/>
      <c r="GSA1096" s="286"/>
      <c r="GSB1096" s="286"/>
      <c r="GSC1096" s="286"/>
      <c r="GSD1096" s="286"/>
      <c r="GSE1096" s="286"/>
      <c r="GSF1096" s="286"/>
      <c r="GSG1096" s="286"/>
      <c r="GSH1096" s="286"/>
      <c r="GSI1096" s="286"/>
      <c r="GSJ1096" s="286"/>
      <c r="GSK1096" s="286"/>
      <c r="GSL1096" s="286"/>
      <c r="GSM1096" s="286"/>
      <c r="GSN1096" s="286"/>
      <c r="GSO1096" s="286"/>
      <c r="GSP1096" s="286"/>
      <c r="GSQ1096" s="286"/>
      <c r="GSR1096" s="286"/>
      <c r="GSS1096" s="286"/>
      <c r="GST1096" s="286"/>
      <c r="GSU1096" s="286"/>
      <c r="GSV1096" s="286"/>
      <c r="GSW1096" s="286"/>
      <c r="GSX1096" s="286"/>
      <c r="GSY1096" s="286"/>
      <c r="GSZ1096" s="286"/>
      <c r="GTA1096" s="286"/>
      <c r="GTB1096" s="286"/>
      <c r="GTC1096" s="286"/>
      <c r="GTD1096" s="286"/>
      <c r="GTE1096" s="286"/>
      <c r="GTF1096" s="286"/>
      <c r="GTG1096" s="286"/>
      <c r="GTH1096" s="286"/>
      <c r="GTI1096" s="286"/>
      <c r="GTJ1096" s="286"/>
      <c r="GTK1096" s="286"/>
      <c r="GTL1096" s="286"/>
      <c r="GTM1096" s="286"/>
      <c r="GTN1096" s="286"/>
      <c r="GTO1096" s="286"/>
      <c r="GTP1096" s="286"/>
      <c r="GTQ1096" s="286"/>
      <c r="GTR1096" s="286"/>
      <c r="GTS1096" s="286"/>
      <c r="GTT1096" s="286"/>
      <c r="GTU1096" s="286"/>
      <c r="GTV1096" s="286"/>
      <c r="GTW1096" s="286"/>
      <c r="GTX1096" s="286"/>
      <c r="GTY1096" s="286"/>
      <c r="GTZ1096" s="286"/>
      <c r="GUA1096" s="286"/>
      <c r="GUB1096" s="286"/>
      <c r="GUC1096" s="286"/>
      <c r="GUD1096" s="286"/>
      <c r="GUE1096" s="286"/>
      <c r="GUF1096" s="286"/>
      <c r="GUG1096" s="286"/>
      <c r="GUH1096" s="286"/>
      <c r="GUI1096" s="286"/>
      <c r="GUJ1096" s="286"/>
      <c r="GUK1096" s="286"/>
      <c r="GUL1096" s="286"/>
      <c r="GUM1096" s="286"/>
      <c r="GUN1096" s="286"/>
      <c r="GUO1096" s="286"/>
      <c r="GUP1096" s="286"/>
      <c r="GUQ1096" s="286"/>
      <c r="GUR1096" s="286"/>
      <c r="GUS1096" s="286"/>
      <c r="GUT1096" s="286"/>
      <c r="GUU1096" s="286"/>
      <c r="GUV1096" s="286"/>
      <c r="GUW1096" s="286"/>
      <c r="GUX1096" s="286"/>
      <c r="GUY1096" s="286"/>
      <c r="GUZ1096" s="286"/>
      <c r="GVA1096" s="286"/>
      <c r="GVB1096" s="286"/>
      <c r="GVC1096" s="286"/>
      <c r="GVD1096" s="286"/>
      <c r="GVE1096" s="286"/>
      <c r="GVF1096" s="286"/>
      <c r="GVG1096" s="286"/>
      <c r="GVH1096" s="286"/>
      <c r="GVI1096" s="286"/>
      <c r="GVJ1096" s="286"/>
      <c r="GVK1096" s="286"/>
      <c r="GVL1096" s="286"/>
      <c r="GVM1096" s="286"/>
      <c r="GVN1096" s="286"/>
      <c r="GVO1096" s="286"/>
      <c r="GVP1096" s="286"/>
      <c r="GVQ1096" s="286"/>
      <c r="GVR1096" s="286"/>
      <c r="GVS1096" s="286"/>
      <c r="GVT1096" s="286"/>
      <c r="GVU1096" s="286"/>
      <c r="GVV1096" s="286"/>
      <c r="GVW1096" s="286"/>
      <c r="GVX1096" s="286"/>
      <c r="GVY1096" s="286"/>
      <c r="GVZ1096" s="286"/>
      <c r="GWA1096" s="286"/>
      <c r="GWB1096" s="286"/>
      <c r="GWC1096" s="286"/>
      <c r="GWD1096" s="286"/>
      <c r="GWE1096" s="286"/>
      <c r="GWF1096" s="286"/>
      <c r="GWG1096" s="286"/>
      <c r="GWH1096" s="286"/>
      <c r="GWI1096" s="286"/>
      <c r="GWJ1096" s="286"/>
      <c r="GWK1096" s="286"/>
      <c r="GWL1096" s="286"/>
      <c r="GWM1096" s="286"/>
      <c r="GWN1096" s="286"/>
      <c r="GWO1096" s="286"/>
      <c r="GWP1096" s="286"/>
      <c r="GWQ1096" s="286"/>
      <c r="GWR1096" s="286"/>
      <c r="GWS1096" s="286"/>
      <c r="GWT1096" s="286"/>
      <c r="GWU1096" s="286"/>
      <c r="GWV1096" s="286"/>
      <c r="GWW1096" s="286"/>
      <c r="GWX1096" s="286"/>
      <c r="GWY1096" s="286"/>
      <c r="GWZ1096" s="286"/>
      <c r="GXA1096" s="286"/>
      <c r="GXB1096" s="286"/>
      <c r="GXC1096" s="286"/>
      <c r="GXD1096" s="286"/>
      <c r="GXE1096" s="286"/>
      <c r="GXF1096" s="286"/>
      <c r="GXG1096" s="286"/>
      <c r="GXH1096" s="286"/>
      <c r="GXI1096" s="286"/>
      <c r="GXJ1096" s="286"/>
      <c r="GXK1096" s="286"/>
      <c r="GXL1096" s="286"/>
      <c r="GXM1096" s="286"/>
      <c r="GXN1096" s="286"/>
      <c r="GXO1096" s="286"/>
      <c r="GXP1096" s="286"/>
      <c r="GXQ1096" s="286"/>
      <c r="GXR1096" s="286"/>
      <c r="GXS1096" s="286"/>
      <c r="GXT1096" s="286"/>
      <c r="GXU1096" s="286"/>
      <c r="GXV1096" s="286"/>
      <c r="GXW1096" s="286"/>
      <c r="GXX1096" s="286"/>
      <c r="GXY1096" s="286"/>
      <c r="GXZ1096" s="286"/>
      <c r="GYA1096" s="286"/>
      <c r="GYB1096" s="286"/>
      <c r="GYC1096" s="286"/>
      <c r="GYD1096" s="286"/>
      <c r="GYE1096" s="286"/>
      <c r="GYF1096" s="286"/>
      <c r="GYG1096" s="286"/>
      <c r="GYH1096" s="286"/>
      <c r="GYI1096" s="286"/>
      <c r="GYJ1096" s="286"/>
      <c r="GYK1096" s="286"/>
      <c r="GYL1096" s="286"/>
      <c r="GYM1096" s="286"/>
      <c r="GYN1096" s="286"/>
      <c r="GYO1096" s="286"/>
      <c r="GYP1096" s="286"/>
      <c r="GYQ1096" s="286"/>
      <c r="GYR1096" s="286"/>
      <c r="GYS1096" s="286"/>
      <c r="GYT1096" s="286"/>
      <c r="GYU1096" s="286"/>
      <c r="GYV1096" s="286"/>
      <c r="GYW1096" s="286"/>
      <c r="GYX1096" s="286"/>
      <c r="GYY1096" s="286"/>
      <c r="GYZ1096" s="286"/>
      <c r="GZA1096" s="286"/>
      <c r="GZB1096" s="286"/>
      <c r="GZC1096" s="286"/>
      <c r="GZD1096" s="286"/>
      <c r="GZE1096" s="286"/>
      <c r="GZF1096" s="286"/>
      <c r="GZG1096" s="286"/>
      <c r="GZH1096" s="286"/>
      <c r="GZI1096" s="286"/>
      <c r="GZJ1096" s="286"/>
      <c r="GZK1096" s="286"/>
      <c r="GZL1096" s="286"/>
      <c r="GZM1096" s="286"/>
      <c r="GZN1096" s="286"/>
      <c r="GZO1096" s="286"/>
      <c r="GZP1096" s="286"/>
      <c r="GZQ1096" s="286"/>
      <c r="GZR1096" s="286"/>
      <c r="GZS1096" s="286"/>
      <c r="GZT1096" s="286"/>
      <c r="GZU1096" s="286"/>
      <c r="GZV1096" s="286"/>
      <c r="GZW1096" s="286"/>
      <c r="GZX1096" s="286"/>
      <c r="GZY1096" s="286"/>
      <c r="GZZ1096" s="286"/>
      <c r="HAA1096" s="286"/>
      <c r="HAB1096" s="286"/>
      <c r="HAC1096" s="286"/>
      <c r="HAD1096" s="286"/>
      <c r="HAE1096" s="286"/>
      <c r="HAF1096" s="286"/>
      <c r="HAG1096" s="286"/>
      <c r="HAH1096" s="286"/>
      <c r="HAI1096" s="286"/>
      <c r="HAJ1096" s="286"/>
      <c r="HAK1096" s="286"/>
      <c r="HAL1096" s="286"/>
      <c r="HAM1096" s="286"/>
      <c r="HAN1096" s="286"/>
      <c r="HAO1096" s="286"/>
      <c r="HAP1096" s="286"/>
      <c r="HAQ1096" s="286"/>
      <c r="HAR1096" s="286"/>
      <c r="HAS1096" s="286"/>
      <c r="HAT1096" s="286"/>
      <c r="HAU1096" s="286"/>
      <c r="HAV1096" s="286"/>
      <c r="HAW1096" s="286"/>
      <c r="HAX1096" s="286"/>
      <c r="HAY1096" s="286"/>
      <c r="HAZ1096" s="286"/>
      <c r="HBA1096" s="286"/>
      <c r="HBB1096" s="286"/>
      <c r="HBC1096" s="286"/>
      <c r="HBD1096" s="286"/>
      <c r="HBE1096" s="286"/>
      <c r="HBF1096" s="286"/>
      <c r="HBG1096" s="286"/>
      <c r="HBH1096" s="286"/>
      <c r="HBI1096" s="286"/>
      <c r="HBJ1096" s="286"/>
      <c r="HBK1096" s="286"/>
      <c r="HBL1096" s="286"/>
      <c r="HBM1096" s="286"/>
      <c r="HBN1096" s="286"/>
      <c r="HBO1096" s="286"/>
      <c r="HBP1096" s="286"/>
      <c r="HBQ1096" s="286"/>
      <c r="HBR1096" s="286"/>
      <c r="HBS1096" s="286"/>
      <c r="HBT1096" s="286"/>
      <c r="HBU1096" s="286"/>
      <c r="HBV1096" s="286"/>
      <c r="HBW1096" s="286"/>
      <c r="HBX1096" s="286"/>
      <c r="HBY1096" s="286"/>
      <c r="HBZ1096" s="286"/>
      <c r="HCA1096" s="286"/>
      <c r="HCB1096" s="286"/>
      <c r="HCC1096" s="286"/>
      <c r="HCD1096" s="286"/>
      <c r="HCE1096" s="286"/>
      <c r="HCF1096" s="286"/>
      <c r="HCG1096" s="286"/>
      <c r="HCH1096" s="286"/>
      <c r="HCI1096" s="286"/>
      <c r="HCJ1096" s="286"/>
      <c r="HCK1096" s="286"/>
      <c r="HCL1096" s="286"/>
      <c r="HCM1096" s="286"/>
      <c r="HCN1096" s="286"/>
      <c r="HCO1096" s="286"/>
      <c r="HCP1096" s="286"/>
      <c r="HCQ1096" s="286"/>
      <c r="HCR1096" s="286"/>
      <c r="HCS1096" s="286"/>
      <c r="HCT1096" s="286"/>
      <c r="HCU1096" s="286"/>
      <c r="HCV1096" s="286"/>
      <c r="HCW1096" s="286"/>
      <c r="HCX1096" s="286"/>
      <c r="HCY1096" s="286"/>
      <c r="HCZ1096" s="286"/>
      <c r="HDA1096" s="286"/>
      <c r="HDB1096" s="286"/>
      <c r="HDC1096" s="286"/>
      <c r="HDD1096" s="286"/>
      <c r="HDE1096" s="286"/>
      <c r="HDF1096" s="286"/>
      <c r="HDG1096" s="286"/>
      <c r="HDH1096" s="286"/>
      <c r="HDI1096" s="286"/>
      <c r="HDJ1096" s="286"/>
      <c r="HDK1096" s="286"/>
      <c r="HDL1096" s="286"/>
      <c r="HDM1096" s="286"/>
      <c r="HDN1096" s="286"/>
      <c r="HDO1096" s="286"/>
      <c r="HDP1096" s="286"/>
      <c r="HDQ1096" s="286"/>
      <c r="HDR1096" s="286"/>
      <c r="HDS1096" s="286"/>
      <c r="HDT1096" s="286"/>
      <c r="HDU1096" s="286"/>
      <c r="HDV1096" s="286"/>
      <c r="HDW1096" s="286"/>
      <c r="HDX1096" s="286"/>
      <c r="HDY1096" s="286"/>
      <c r="HDZ1096" s="286"/>
      <c r="HEA1096" s="286"/>
      <c r="HEB1096" s="286"/>
      <c r="HEC1096" s="286"/>
      <c r="HED1096" s="286"/>
      <c r="HEE1096" s="286"/>
      <c r="HEF1096" s="286"/>
      <c r="HEG1096" s="286"/>
      <c r="HEH1096" s="286"/>
      <c r="HEI1096" s="286"/>
      <c r="HEJ1096" s="286"/>
      <c r="HEK1096" s="286"/>
      <c r="HEL1096" s="286"/>
      <c r="HEM1096" s="286"/>
      <c r="HEN1096" s="286"/>
      <c r="HEO1096" s="286"/>
      <c r="HEP1096" s="286"/>
      <c r="HEQ1096" s="286"/>
      <c r="HER1096" s="286"/>
      <c r="HES1096" s="286"/>
      <c r="HET1096" s="286"/>
      <c r="HEU1096" s="286"/>
      <c r="HEV1096" s="286"/>
      <c r="HEW1096" s="286"/>
      <c r="HEX1096" s="286"/>
      <c r="HEY1096" s="286"/>
      <c r="HEZ1096" s="286"/>
      <c r="HFA1096" s="286"/>
      <c r="HFB1096" s="286"/>
      <c r="HFC1096" s="286"/>
      <c r="HFD1096" s="286"/>
      <c r="HFE1096" s="286"/>
      <c r="HFF1096" s="286"/>
      <c r="HFG1096" s="286"/>
      <c r="HFH1096" s="286"/>
      <c r="HFI1096" s="286"/>
      <c r="HFJ1096" s="286"/>
      <c r="HFK1096" s="286"/>
      <c r="HFL1096" s="286"/>
      <c r="HFM1096" s="286"/>
      <c r="HFN1096" s="286"/>
      <c r="HFO1096" s="286"/>
      <c r="HFP1096" s="286"/>
      <c r="HFQ1096" s="286"/>
      <c r="HFR1096" s="286"/>
      <c r="HFS1096" s="286"/>
      <c r="HFT1096" s="286"/>
      <c r="HFU1096" s="286"/>
      <c r="HFV1096" s="286"/>
      <c r="HFW1096" s="286"/>
      <c r="HFX1096" s="286"/>
      <c r="HFY1096" s="286"/>
      <c r="HFZ1096" s="286"/>
      <c r="HGA1096" s="286"/>
      <c r="HGB1096" s="286"/>
      <c r="HGC1096" s="286"/>
      <c r="HGD1096" s="286"/>
      <c r="HGE1096" s="286"/>
      <c r="HGF1096" s="286"/>
      <c r="HGG1096" s="286"/>
      <c r="HGH1096" s="286"/>
      <c r="HGI1096" s="286"/>
      <c r="HGJ1096" s="286"/>
      <c r="HGK1096" s="286"/>
      <c r="HGL1096" s="286"/>
      <c r="HGM1096" s="286"/>
      <c r="HGN1096" s="286"/>
      <c r="HGO1096" s="286"/>
      <c r="HGP1096" s="286"/>
      <c r="HGQ1096" s="286"/>
      <c r="HGR1096" s="286"/>
      <c r="HGS1096" s="286"/>
      <c r="HGT1096" s="286"/>
      <c r="HGU1096" s="286"/>
      <c r="HGV1096" s="286"/>
      <c r="HGW1096" s="286"/>
      <c r="HGX1096" s="286"/>
      <c r="HGY1096" s="286"/>
      <c r="HGZ1096" s="286"/>
      <c r="HHA1096" s="286"/>
      <c r="HHB1096" s="286"/>
      <c r="HHC1096" s="286"/>
      <c r="HHD1096" s="286"/>
      <c r="HHE1096" s="286"/>
      <c r="HHF1096" s="286"/>
      <c r="HHG1096" s="286"/>
      <c r="HHH1096" s="286"/>
      <c r="HHI1096" s="286"/>
      <c r="HHJ1096" s="286"/>
      <c r="HHK1096" s="286"/>
      <c r="HHL1096" s="286"/>
      <c r="HHM1096" s="286"/>
      <c r="HHN1096" s="286"/>
      <c r="HHO1096" s="286"/>
      <c r="HHP1096" s="286"/>
      <c r="HHQ1096" s="286"/>
      <c r="HHR1096" s="286"/>
      <c r="HHS1096" s="286"/>
      <c r="HHT1096" s="286"/>
      <c r="HHU1096" s="286"/>
      <c r="HHV1096" s="286"/>
      <c r="HHW1096" s="286"/>
      <c r="HHX1096" s="286"/>
      <c r="HHY1096" s="286"/>
      <c r="HHZ1096" s="286"/>
      <c r="HIA1096" s="286"/>
      <c r="HIB1096" s="286"/>
      <c r="HIC1096" s="286"/>
      <c r="HID1096" s="286"/>
      <c r="HIE1096" s="286"/>
      <c r="HIF1096" s="286"/>
      <c r="HIG1096" s="286"/>
      <c r="HIH1096" s="286"/>
      <c r="HII1096" s="286"/>
      <c r="HIJ1096" s="286"/>
      <c r="HIK1096" s="286"/>
      <c r="HIL1096" s="286"/>
      <c r="HIM1096" s="286"/>
      <c r="HIN1096" s="286"/>
      <c r="HIO1096" s="286"/>
      <c r="HIP1096" s="286"/>
      <c r="HIQ1096" s="286"/>
      <c r="HIR1096" s="286"/>
      <c r="HIS1096" s="286"/>
      <c r="HIT1096" s="286"/>
      <c r="HIU1096" s="286"/>
      <c r="HIV1096" s="286"/>
      <c r="HIW1096" s="286"/>
      <c r="HIX1096" s="286"/>
      <c r="HIY1096" s="286"/>
      <c r="HIZ1096" s="286"/>
      <c r="HJA1096" s="286"/>
      <c r="HJB1096" s="286"/>
      <c r="HJC1096" s="286"/>
      <c r="HJD1096" s="286"/>
      <c r="HJE1096" s="286"/>
      <c r="HJF1096" s="286"/>
      <c r="HJG1096" s="286"/>
      <c r="HJH1096" s="286"/>
      <c r="HJI1096" s="286"/>
      <c r="HJJ1096" s="286"/>
      <c r="HJK1096" s="286"/>
      <c r="HJL1096" s="286"/>
      <c r="HJM1096" s="286"/>
      <c r="HJN1096" s="286"/>
      <c r="HJO1096" s="286"/>
      <c r="HJP1096" s="286"/>
      <c r="HJQ1096" s="286"/>
      <c r="HJR1096" s="286"/>
      <c r="HJS1096" s="286"/>
      <c r="HJT1096" s="286"/>
      <c r="HJU1096" s="286"/>
      <c r="HJV1096" s="286"/>
      <c r="HJW1096" s="286"/>
      <c r="HJX1096" s="286"/>
      <c r="HJY1096" s="286"/>
      <c r="HJZ1096" s="286"/>
      <c r="HKA1096" s="286"/>
      <c r="HKB1096" s="286"/>
      <c r="HKC1096" s="286"/>
      <c r="HKD1096" s="286"/>
      <c r="HKE1096" s="286"/>
      <c r="HKF1096" s="286"/>
      <c r="HKG1096" s="286"/>
      <c r="HKH1096" s="286"/>
      <c r="HKI1096" s="286"/>
      <c r="HKJ1096" s="286"/>
      <c r="HKK1096" s="286"/>
      <c r="HKL1096" s="286"/>
      <c r="HKM1096" s="286"/>
      <c r="HKN1096" s="286"/>
      <c r="HKO1096" s="286"/>
      <c r="HKP1096" s="286"/>
      <c r="HKQ1096" s="286"/>
      <c r="HKR1096" s="286"/>
      <c r="HKS1096" s="286"/>
      <c r="HKT1096" s="286"/>
      <c r="HKU1096" s="286"/>
      <c r="HKV1096" s="286"/>
      <c r="HKW1096" s="286"/>
      <c r="HKX1096" s="286"/>
      <c r="HKY1096" s="286"/>
      <c r="HKZ1096" s="286"/>
      <c r="HLA1096" s="286"/>
      <c r="HLB1096" s="286"/>
      <c r="HLC1096" s="286"/>
      <c r="HLD1096" s="286"/>
      <c r="HLE1096" s="286"/>
      <c r="HLF1096" s="286"/>
      <c r="HLG1096" s="286"/>
      <c r="HLH1096" s="286"/>
      <c r="HLI1096" s="286"/>
      <c r="HLJ1096" s="286"/>
      <c r="HLK1096" s="286"/>
      <c r="HLL1096" s="286"/>
      <c r="HLM1096" s="286"/>
      <c r="HLN1096" s="286"/>
      <c r="HLO1096" s="286"/>
      <c r="HLP1096" s="286"/>
      <c r="HLQ1096" s="286"/>
      <c r="HLR1096" s="286"/>
      <c r="HLS1096" s="286"/>
      <c r="HLT1096" s="286"/>
      <c r="HLU1096" s="286"/>
      <c r="HLV1096" s="286"/>
      <c r="HLW1096" s="286"/>
      <c r="HLX1096" s="286"/>
      <c r="HLY1096" s="286"/>
      <c r="HLZ1096" s="286"/>
      <c r="HMA1096" s="286"/>
      <c r="HMB1096" s="286"/>
      <c r="HMC1096" s="286"/>
      <c r="HMD1096" s="286"/>
      <c r="HME1096" s="286"/>
      <c r="HMF1096" s="286"/>
      <c r="HMG1096" s="286"/>
      <c r="HMH1096" s="286"/>
      <c r="HMI1096" s="286"/>
      <c r="HMJ1096" s="286"/>
      <c r="HMK1096" s="286"/>
      <c r="HML1096" s="286"/>
      <c r="HMM1096" s="286"/>
      <c r="HMN1096" s="286"/>
      <c r="HMO1096" s="286"/>
      <c r="HMP1096" s="286"/>
      <c r="HMQ1096" s="286"/>
      <c r="HMR1096" s="286"/>
      <c r="HMS1096" s="286"/>
      <c r="HMT1096" s="286"/>
      <c r="HMU1096" s="286"/>
      <c r="HMV1096" s="286"/>
      <c r="HMW1096" s="286"/>
      <c r="HMX1096" s="286"/>
      <c r="HMY1096" s="286"/>
      <c r="HMZ1096" s="286"/>
      <c r="HNA1096" s="286"/>
      <c r="HNB1096" s="286"/>
      <c r="HNC1096" s="286"/>
      <c r="HND1096" s="286"/>
      <c r="HNE1096" s="286"/>
      <c r="HNF1096" s="286"/>
      <c r="HNG1096" s="286"/>
      <c r="HNH1096" s="286"/>
      <c r="HNI1096" s="286"/>
      <c r="HNJ1096" s="286"/>
      <c r="HNK1096" s="286"/>
      <c r="HNL1096" s="286"/>
      <c r="HNM1096" s="286"/>
      <c r="HNN1096" s="286"/>
      <c r="HNO1096" s="286"/>
      <c r="HNP1096" s="286"/>
      <c r="HNQ1096" s="286"/>
      <c r="HNR1096" s="286"/>
      <c r="HNS1096" s="286"/>
      <c r="HNT1096" s="286"/>
      <c r="HNU1096" s="286"/>
      <c r="HNV1096" s="286"/>
      <c r="HNW1096" s="286"/>
      <c r="HNX1096" s="286"/>
      <c r="HNY1096" s="286"/>
      <c r="HNZ1096" s="286"/>
      <c r="HOA1096" s="286"/>
      <c r="HOB1096" s="286"/>
      <c r="HOC1096" s="286"/>
      <c r="HOD1096" s="286"/>
      <c r="HOE1096" s="286"/>
      <c r="HOF1096" s="286"/>
      <c r="HOG1096" s="286"/>
      <c r="HOH1096" s="286"/>
      <c r="HOI1096" s="286"/>
      <c r="HOJ1096" s="286"/>
      <c r="HOK1096" s="286"/>
      <c r="HOL1096" s="286"/>
      <c r="HOM1096" s="286"/>
      <c r="HON1096" s="286"/>
      <c r="HOO1096" s="286"/>
      <c r="HOP1096" s="286"/>
      <c r="HOQ1096" s="286"/>
      <c r="HOR1096" s="286"/>
      <c r="HOS1096" s="286"/>
      <c r="HOT1096" s="286"/>
      <c r="HOU1096" s="286"/>
      <c r="HOV1096" s="286"/>
      <c r="HOW1096" s="286"/>
      <c r="HOX1096" s="286"/>
      <c r="HOY1096" s="286"/>
      <c r="HOZ1096" s="286"/>
      <c r="HPA1096" s="286"/>
      <c r="HPB1096" s="286"/>
      <c r="HPC1096" s="286"/>
      <c r="HPD1096" s="286"/>
      <c r="HPE1096" s="286"/>
      <c r="HPF1096" s="286"/>
      <c r="HPG1096" s="286"/>
      <c r="HPH1096" s="286"/>
      <c r="HPI1096" s="286"/>
      <c r="HPJ1096" s="286"/>
      <c r="HPK1096" s="286"/>
      <c r="HPL1096" s="286"/>
      <c r="HPM1096" s="286"/>
      <c r="HPN1096" s="286"/>
      <c r="HPO1096" s="286"/>
      <c r="HPP1096" s="286"/>
      <c r="HPQ1096" s="286"/>
      <c r="HPR1096" s="286"/>
      <c r="HPS1096" s="286"/>
      <c r="HPT1096" s="286"/>
      <c r="HPU1096" s="286"/>
      <c r="HPV1096" s="286"/>
      <c r="HPW1096" s="286"/>
      <c r="HPX1096" s="286"/>
      <c r="HPY1096" s="286"/>
      <c r="HPZ1096" s="286"/>
      <c r="HQA1096" s="286"/>
      <c r="HQB1096" s="286"/>
      <c r="HQC1096" s="286"/>
      <c r="HQD1096" s="286"/>
      <c r="HQE1096" s="286"/>
      <c r="HQF1096" s="286"/>
      <c r="HQG1096" s="286"/>
      <c r="HQH1096" s="286"/>
      <c r="HQI1096" s="286"/>
      <c r="HQJ1096" s="286"/>
      <c r="HQK1096" s="286"/>
      <c r="HQL1096" s="286"/>
      <c r="HQM1096" s="286"/>
      <c r="HQN1096" s="286"/>
      <c r="HQO1096" s="286"/>
      <c r="HQP1096" s="286"/>
      <c r="HQQ1096" s="286"/>
      <c r="HQR1096" s="286"/>
      <c r="HQS1096" s="286"/>
      <c r="HQT1096" s="286"/>
      <c r="HQU1096" s="286"/>
      <c r="HQV1096" s="286"/>
      <c r="HQW1096" s="286"/>
      <c r="HQX1096" s="286"/>
      <c r="HQY1096" s="286"/>
      <c r="HQZ1096" s="286"/>
      <c r="HRA1096" s="286"/>
      <c r="HRB1096" s="286"/>
      <c r="HRC1096" s="286"/>
      <c r="HRD1096" s="286"/>
      <c r="HRE1096" s="286"/>
      <c r="HRF1096" s="286"/>
      <c r="HRG1096" s="286"/>
      <c r="HRH1096" s="286"/>
      <c r="HRI1096" s="286"/>
      <c r="HRJ1096" s="286"/>
      <c r="HRK1096" s="286"/>
      <c r="HRL1096" s="286"/>
      <c r="HRM1096" s="286"/>
      <c r="HRN1096" s="286"/>
      <c r="HRO1096" s="286"/>
      <c r="HRP1096" s="286"/>
      <c r="HRQ1096" s="286"/>
      <c r="HRR1096" s="286"/>
      <c r="HRS1096" s="286"/>
      <c r="HRT1096" s="286"/>
      <c r="HRU1096" s="286"/>
      <c r="HRV1096" s="286"/>
      <c r="HRW1096" s="286"/>
      <c r="HRX1096" s="286"/>
      <c r="HRY1096" s="286"/>
      <c r="HRZ1096" s="286"/>
      <c r="HSA1096" s="286"/>
      <c r="HSB1096" s="286"/>
      <c r="HSC1096" s="286"/>
      <c r="HSD1096" s="286"/>
      <c r="HSE1096" s="286"/>
      <c r="HSF1096" s="286"/>
      <c r="HSG1096" s="286"/>
      <c r="HSH1096" s="286"/>
      <c r="HSI1096" s="286"/>
      <c r="HSJ1096" s="286"/>
      <c r="HSK1096" s="286"/>
      <c r="HSL1096" s="286"/>
      <c r="HSM1096" s="286"/>
      <c r="HSN1096" s="286"/>
      <c r="HSO1096" s="286"/>
      <c r="HSP1096" s="286"/>
      <c r="HSQ1096" s="286"/>
      <c r="HSR1096" s="286"/>
      <c r="HSS1096" s="286"/>
      <c r="HST1096" s="286"/>
      <c r="HSU1096" s="286"/>
      <c r="HSV1096" s="286"/>
      <c r="HSW1096" s="286"/>
      <c r="HSX1096" s="286"/>
      <c r="HSY1096" s="286"/>
      <c r="HSZ1096" s="286"/>
      <c r="HTA1096" s="286"/>
      <c r="HTB1096" s="286"/>
      <c r="HTC1096" s="286"/>
      <c r="HTD1096" s="286"/>
      <c r="HTE1096" s="286"/>
      <c r="HTF1096" s="286"/>
      <c r="HTG1096" s="286"/>
      <c r="HTH1096" s="286"/>
      <c r="HTI1096" s="286"/>
      <c r="HTJ1096" s="286"/>
      <c r="HTK1096" s="286"/>
      <c r="HTL1096" s="286"/>
      <c r="HTM1096" s="286"/>
      <c r="HTN1096" s="286"/>
      <c r="HTO1096" s="286"/>
      <c r="HTP1096" s="286"/>
      <c r="HTQ1096" s="286"/>
      <c r="HTR1096" s="286"/>
      <c r="HTS1096" s="286"/>
      <c r="HTT1096" s="286"/>
      <c r="HTU1096" s="286"/>
      <c r="HTV1096" s="286"/>
      <c r="HTW1096" s="286"/>
      <c r="HTX1096" s="286"/>
      <c r="HTY1096" s="286"/>
      <c r="HTZ1096" s="286"/>
      <c r="HUA1096" s="286"/>
      <c r="HUB1096" s="286"/>
      <c r="HUC1096" s="286"/>
      <c r="HUD1096" s="286"/>
      <c r="HUE1096" s="286"/>
      <c r="HUF1096" s="286"/>
      <c r="HUG1096" s="286"/>
      <c r="HUH1096" s="286"/>
      <c r="HUI1096" s="286"/>
      <c r="HUJ1096" s="286"/>
      <c r="HUK1096" s="286"/>
      <c r="HUL1096" s="286"/>
      <c r="HUM1096" s="286"/>
      <c r="HUN1096" s="286"/>
      <c r="HUO1096" s="286"/>
      <c r="HUP1096" s="286"/>
      <c r="HUQ1096" s="286"/>
      <c r="HUR1096" s="286"/>
      <c r="HUS1096" s="286"/>
      <c r="HUT1096" s="286"/>
      <c r="HUU1096" s="286"/>
      <c r="HUV1096" s="286"/>
      <c r="HUW1096" s="286"/>
      <c r="HUX1096" s="286"/>
      <c r="HUY1096" s="286"/>
      <c r="HUZ1096" s="286"/>
      <c r="HVA1096" s="286"/>
      <c r="HVB1096" s="286"/>
      <c r="HVC1096" s="286"/>
      <c r="HVD1096" s="286"/>
      <c r="HVE1096" s="286"/>
      <c r="HVF1096" s="286"/>
      <c r="HVG1096" s="286"/>
      <c r="HVH1096" s="286"/>
      <c r="HVI1096" s="286"/>
      <c r="HVJ1096" s="286"/>
      <c r="HVK1096" s="286"/>
      <c r="HVL1096" s="286"/>
      <c r="HVM1096" s="286"/>
      <c r="HVN1096" s="286"/>
      <c r="HVO1096" s="286"/>
      <c r="HVP1096" s="286"/>
      <c r="HVQ1096" s="286"/>
      <c r="HVR1096" s="286"/>
      <c r="HVS1096" s="286"/>
      <c r="HVT1096" s="286"/>
      <c r="HVU1096" s="286"/>
      <c r="HVV1096" s="286"/>
      <c r="HVW1096" s="286"/>
      <c r="HVX1096" s="286"/>
      <c r="HVY1096" s="286"/>
      <c r="HVZ1096" s="286"/>
      <c r="HWA1096" s="286"/>
      <c r="HWB1096" s="286"/>
      <c r="HWC1096" s="286"/>
      <c r="HWD1096" s="286"/>
      <c r="HWE1096" s="286"/>
      <c r="HWF1096" s="286"/>
      <c r="HWG1096" s="286"/>
      <c r="HWH1096" s="286"/>
      <c r="HWI1096" s="286"/>
      <c r="HWJ1096" s="286"/>
      <c r="HWK1096" s="286"/>
      <c r="HWL1096" s="286"/>
      <c r="HWM1096" s="286"/>
      <c r="HWN1096" s="286"/>
      <c r="HWO1096" s="286"/>
      <c r="HWP1096" s="286"/>
      <c r="HWQ1096" s="286"/>
      <c r="HWR1096" s="286"/>
      <c r="HWS1096" s="286"/>
      <c r="HWT1096" s="286"/>
      <c r="HWU1096" s="286"/>
      <c r="HWV1096" s="286"/>
      <c r="HWW1096" s="286"/>
      <c r="HWX1096" s="286"/>
      <c r="HWY1096" s="286"/>
      <c r="HWZ1096" s="286"/>
      <c r="HXA1096" s="286"/>
      <c r="HXB1096" s="286"/>
      <c r="HXC1096" s="286"/>
      <c r="HXD1096" s="286"/>
      <c r="HXE1096" s="286"/>
      <c r="HXF1096" s="286"/>
      <c r="HXG1096" s="286"/>
      <c r="HXH1096" s="286"/>
      <c r="HXI1096" s="286"/>
      <c r="HXJ1096" s="286"/>
      <c r="HXK1096" s="286"/>
      <c r="HXL1096" s="286"/>
      <c r="HXM1096" s="286"/>
      <c r="HXN1096" s="286"/>
      <c r="HXO1096" s="286"/>
      <c r="HXP1096" s="286"/>
      <c r="HXQ1096" s="286"/>
      <c r="HXR1096" s="286"/>
      <c r="HXS1096" s="286"/>
      <c r="HXT1096" s="286"/>
      <c r="HXU1096" s="286"/>
      <c r="HXV1096" s="286"/>
      <c r="HXW1096" s="286"/>
      <c r="HXX1096" s="286"/>
      <c r="HXY1096" s="286"/>
      <c r="HXZ1096" s="286"/>
      <c r="HYA1096" s="286"/>
      <c r="HYB1096" s="286"/>
      <c r="HYC1096" s="286"/>
      <c r="HYD1096" s="286"/>
      <c r="HYE1096" s="286"/>
      <c r="HYF1096" s="286"/>
      <c r="HYG1096" s="286"/>
      <c r="HYH1096" s="286"/>
      <c r="HYI1096" s="286"/>
      <c r="HYJ1096" s="286"/>
      <c r="HYK1096" s="286"/>
      <c r="HYL1096" s="286"/>
      <c r="HYM1096" s="286"/>
      <c r="HYN1096" s="286"/>
      <c r="HYO1096" s="286"/>
      <c r="HYP1096" s="286"/>
      <c r="HYQ1096" s="286"/>
      <c r="HYR1096" s="286"/>
      <c r="HYS1096" s="286"/>
      <c r="HYT1096" s="286"/>
      <c r="HYU1096" s="286"/>
      <c r="HYV1096" s="286"/>
      <c r="HYW1096" s="286"/>
      <c r="HYX1096" s="286"/>
      <c r="HYY1096" s="286"/>
      <c r="HYZ1096" s="286"/>
      <c r="HZA1096" s="286"/>
      <c r="HZB1096" s="286"/>
      <c r="HZC1096" s="286"/>
      <c r="HZD1096" s="286"/>
      <c r="HZE1096" s="286"/>
      <c r="HZF1096" s="286"/>
      <c r="HZG1096" s="286"/>
      <c r="HZH1096" s="286"/>
      <c r="HZI1096" s="286"/>
      <c r="HZJ1096" s="286"/>
      <c r="HZK1096" s="286"/>
      <c r="HZL1096" s="286"/>
      <c r="HZM1096" s="286"/>
      <c r="HZN1096" s="286"/>
      <c r="HZO1096" s="286"/>
      <c r="HZP1096" s="286"/>
      <c r="HZQ1096" s="286"/>
      <c r="HZR1096" s="286"/>
      <c r="HZS1096" s="286"/>
      <c r="HZT1096" s="286"/>
      <c r="HZU1096" s="286"/>
      <c r="HZV1096" s="286"/>
      <c r="HZW1096" s="286"/>
      <c r="HZX1096" s="286"/>
      <c r="HZY1096" s="286"/>
      <c r="HZZ1096" s="286"/>
      <c r="IAA1096" s="286"/>
      <c r="IAB1096" s="286"/>
      <c r="IAC1096" s="286"/>
      <c r="IAD1096" s="286"/>
      <c r="IAE1096" s="286"/>
      <c r="IAF1096" s="286"/>
      <c r="IAG1096" s="286"/>
      <c r="IAH1096" s="286"/>
      <c r="IAI1096" s="286"/>
      <c r="IAJ1096" s="286"/>
      <c r="IAK1096" s="286"/>
      <c r="IAL1096" s="286"/>
      <c r="IAM1096" s="286"/>
      <c r="IAN1096" s="286"/>
      <c r="IAO1096" s="286"/>
      <c r="IAP1096" s="286"/>
      <c r="IAQ1096" s="286"/>
      <c r="IAR1096" s="286"/>
      <c r="IAS1096" s="286"/>
      <c r="IAT1096" s="286"/>
      <c r="IAU1096" s="286"/>
      <c r="IAV1096" s="286"/>
      <c r="IAW1096" s="286"/>
      <c r="IAX1096" s="286"/>
      <c r="IAY1096" s="286"/>
      <c r="IAZ1096" s="286"/>
      <c r="IBA1096" s="286"/>
      <c r="IBB1096" s="286"/>
      <c r="IBC1096" s="286"/>
      <c r="IBD1096" s="286"/>
      <c r="IBE1096" s="286"/>
      <c r="IBF1096" s="286"/>
      <c r="IBG1096" s="286"/>
      <c r="IBH1096" s="286"/>
      <c r="IBI1096" s="286"/>
      <c r="IBJ1096" s="286"/>
      <c r="IBK1096" s="286"/>
      <c r="IBL1096" s="286"/>
      <c r="IBM1096" s="286"/>
      <c r="IBN1096" s="286"/>
      <c r="IBO1096" s="286"/>
      <c r="IBP1096" s="286"/>
      <c r="IBQ1096" s="286"/>
      <c r="IBR1096" s="286"/>
      <c r="IBS1096" s="286"/>
      <c r="IBT1096" s="286"/>
      <c r="IBU1096" s="286"/>
      <c r="IBV1096" s="286"/>
      <c r="IBW1096" s="286"/>
      <c r="IBX1096" s="286"/>
      <c r="IBY1096" s="286"/>
      <c r="IBZ1096" s="286"/>
      <c r="ICA1096" s="286"/>
      <c r="ICB1096" s="286"/>
      <c r="ICC1096" s="286"/>
      <c r="ICD1096" s="286"/>
      <c r="ICE1096" s="286"/>
      <c r="ICF1096" s="286"/>
      <c r="ICG1096" s="286"/>
      <c r="ICH1096" s="286"/>
      <c r="ICI1096" s="286"/>
      <c r="ICJ1096" s="286"/>
      <c r="ICK1096" s="286"/>
      <c r="ICL1096" s="286"/>
      <c r="ICM1096" s="286"/>
      <c r="ICN1096" s="286"/>
      <c r="ICO1096" s="286"/>
      <c r="ICP1096" s="286"/>
      <c r="ICQ1096" s="286"/>
      <c r="ICR1096" s="286"/>
      <c r="ICS1096" s="286"/>
      <c r="ICT1096" s="286"/>
      <c r="ICU1096" s="286"/>
      <c r="ICV1096" s="286"/>
      <c r="ICW1096" s="286"/>
      <c r="ICX1096" s="286"/>
      <c r="ICY1096" s="286"/>
      <c r="ICZ1096" s="286"/>
      <c r="IDA1096" s="286"/>
      <c r="IDB1096" s="286"/>
      <c r="IDC1096" s="286"/>
      <c r="IDD1096" s="286"/>
      <c r="IDE1096" s="286"/>
      <c r="IDF1096" s="286"/>
      <c r="IDG1096" s="286"/>
      <c r="IDH1096" s="286"/>
      <c r="IDI1096" s="286"/>
      <c r="IDJ1096" s="286"/>
      <c r="IDK1096" s="286"/>
      <c r="IDL1096" s="286"/>
      <c r="IDM1096" s="286"/>
      <c r="IDN1096" s="286"/>
      <c r="IDO1096" s="286"/>
      <c r="IDP1096" s="286"/>
      <c r="IDQ1096" s="286"/>
      <c r="IDR1096" s="286"/>
      <c r="IDS1096" s="286"/>
      <c r="IDT1096" s="286"/>
      <c r="IDU1096" s="286"/>
      <c r="IDV1096" s="286"/>
      <c r="IDW1096" s="286"/>
      <c r="IDX1096" s="286"/>
      <c r="IDY1096" s="286"/>
      <c r="IDZ1096" s="286"/>
      <c r="IEA1096" s="286"/>
      <c r="IEB1096" s="286"/>
      <c r="IEC1096" s="286"/>
      <c r="IED1096" s="286"/>
      <c r="IEE1096" s="286"/>
      <c r="IEF1096" s="286"/>
      <c r="IEG1096" s="286"/>
      <c r="IEH1096" s="286"/>
      <c r="IEI1096" s="286"/>
      <c r="IEJ1096" s="286"/>
      <c r="IEK1096" s="286"/>
      <c r="IEL1096" s="286"/>
      <c r="IEM1096" s="286"/>
      <c r="IEN1096" s="286"/>
      <c r="IEO1096" s="286"/>
      <c r="IEP1096" s="286"/>
      <c r="IEQ1096" s="286"/>
      <c r="IER1096" s="286"/>
      <c r="IES1096" s="286"/>
      <c r="IET1096" s="286"/>
      <c r="IEU1096" s="286"/>
      <c r="IEV1096" s="286"/>
      <c r="IEW1096" s="286"/>
      <c r="IEX1096" s="286"/>
      <c r="IEY1096" s="286"/>
      <c r="IEZ1096" s="286"/>
      <c r="IFA1096" s="286"/>
      <c r="IFB1096" s="286"/>
      <c r="IFC1096" s="286"/>
      <c r="IFD1096" s="286"/>
      <c r="IFE1096" s="286"/>
      <c r="IFF1096" s="286"/>
      <c r="IFG1096" s="286"/>
      <c r="IFH1096" s="286"/>
      <c r="IFI1096" s="286"/>
      <c r="IFJ1096" s="286"/>
      <c r="IFK1096" s="286"/>
      <c r="IFL1096" s="286"/>
      <c r="IFM1096" s="286"/>
      <c r="IFN1096" s="286"/>
      <c r="IFO1096" s="286"/>
      <c r="IFP1096" s="286"/>
      <c r="IFQ1096" s="286"/>
      <c r="IFR1096" s="286"/>
      <c r="IFS1096" s="286"/>
      <c r="IFT1096" s="286"/>
      <c r="IFU1096" s="286"/>
      <c r="IFV1096" s="286"/>
      <c r="IFW1096" s="286"/>
      <c r="IFX1096" s="286"/>
      <c r="IFY1096" s="286"/>
      <c r="IFZ1096" s="286"/>
      <c r="IGA1096" s="286"/>
      <c r="IGB1096" s="286"/>
      <c r="IGC1096" s="286"/>
      <c r="IGD1096" s="286"/>
      <c r="IGE1096" s="286"/>
      <c r="IGF1096" s="286"/>
      <c r="IGG1096" s="286"/>
      <c r="IGH1096" s="286"/>
      <c r="IGI1096" s="286"/>
      <c r="IGJ1096" s="286"/>
      <c r="IGK1096" s="286"/>
      <c r="IGL1096" s="286"/>
      <c r="IGM1096" s="286"/>
      <c r="IGN1096" s="286"/>
      <c r="IGO1096" s="286"/>
      <c r="IGP1096" s="286"/>
      <c r="IGQ1096" s="286"/>
      <c r="IGR1096" s="286"/>
      <c r="IGS1096" s="286"/>
      <c r="IGT1096" s="286"/>
      <c r="IGU1096" s="286"/>
      <c r="IGV1096" s="286"/>
      <c r="IGW1096" s="286"/>
      <c r="IGX1096" s="286"/>
      <c r="IGY1096" s="286"/>
      <c r="IGZ1096" s="286"/>
      <c r="IHA1096" s="286"/>
      <c r="IHB1096" s="286"/>
      <c r="IHC1096" s="286"/>
      <c r="IHD1096" s="286"/>
      <c r="IHE1096" s="286"/>
      <c r="IHF1096" s="286"/>
      <c r="IHG1096" s="286"/>
      <c r="IHH1096" s="286"/>
      <c r="IHI1096" s="286"/>
      <c r="IHJ1096" s="286"/>
      <c r="IHK1096" s="286"/>
      <c r="IHL1096" s="286"/>
      <c r="IHM1096" s="286"/>
      <c r="IHN1096" s="286"/>
      <c r="IHO1096" s="286"/>
      <c r="IHP1096" s="286"/>
      <c r="IHQ1096" s="286"/>
      <c r="IHR1096" s="286"/>
      <c r="IHS1096" s="286"/>
      <c r="IHT1096" s="286"/>
      <c r="IHU1096" s="286"/>
      <c r="IHV1096" s="286"/>
      <c r="IHW1096" s="286"/>
      <c r="IHX1096" s="286"/>
      <c r="IHY1096" s="286"/>
      <c r="IHZ1096" s="286"/>
      <c r="IIA1096" s="286"/>
      <c r="IIB1096" s="286"/>
      <c r="IIC1096" s="286"/>
      <c r="IID1096" s="286"/>
      <c r="IIE1096" s="286"/>
      <c r="IIF1096" s="286"/>
      <c r="IIG1096" s="286"/>
      <c r="IIH1096" s="286"/>
      <c r="III1096" s="286"/>
      <c r="IIJ1096" s="286"/>
      <c r="IIK1096" s="286"/>
      <c r="IIL1096" s="286"/>
      <c r="IIM1096" s="286"/>
      <c r="IIN1096" s="286"/>
      <c r="IIO1096" s="286"/>
      <c r="IIP1096" s="286"/>
      <c r="IIQ1096" s="286"/>
      <c r="IIR1096" s="286"/>
      <c r="IIS1096" s="286"/>
      <c r="IIT1096" s="286"/>
      <c r="IIU1096" s="286"/>
      <c r="IIV1096" s="286"/>
      <c r="IIW1096" s="286"/>
      <c r="IIX1096" s="286"/>
      <c r="IIY1096" s="286"/>
      <c r="IIZ1096" s="286"/>
      <c r="IJA1096" s="286"/>
      <c r="IJB1096" s="286"/>
      <c r="IJC1096" s="286"/>
      <c r="IJD1096" s="286"/>
      <c r="IJE1096" s="286"/>
      <c r="IJF1096" s="286"/>
      <c r="IJG1096" s="286"/>
      <c r="IJH1096" s="286"/>
      <c r="IJI1096" s="286"/>
      <c r="IJJ1096" s="286"/>
      <c r="IJK1096" s="286"/>
      <c r="IJL1096" s="286"/>
      <c r="IJM1096" s="286"/>
      <c r="IJN1096" s="286"/>
      <c r="IJO1096" s="286"/>
      <c r="IJP1096" s="286"/>
      <c r="IJQ1096" s="286"/>
      <c r="IJR1096" s="286"/>
      <c r="IJS1096" s="286"/>
      <c r="IJT1096" s="286"/>
      <c r="IJU1096" s="286"/>
      <c r="IJV1096" s="286"/>
      <c r="IJW1096" s="286"/>
      <c r="IJX1096" s="286"/>
      <c r="IJY1096" s="286"/>
      <c r="IJZ1096" s="286"/>
      <c r="IKA1096" s="286"/>
      <c r="IKB1096" s="286"/>
      <c r="IKC1096" s="286"/>
      <c r="IKD1096" s="286"/>
      <c r="IKE1096" s="286"/>
      <c r="IKF1096" s="286"/>
      <c r="IKG1096" s="286"/>
      <c r="IKH1096" s="286"/>
      <c r="IKI1096" s="286"/>
      <c r="IKJ1096" s="286"/>
      <c r="IKK1096" s="286"/>
      <c r="IKL1096" s="286"/>
      <c r="IKM1096" s="286"/>
      <c r="IKN1096" s="286"/>
      <c r="IKO1096" s="286"/>
      <c r="IKP1096" s="286"/>
      <c r="IKQ1096" s="286"/>
      <c r="IKR1096" s="286"/>
      <c r="IKS1096" s="286"/>
      <c r="IKT1096" s="286"/>
      <c r="IKU1096" s="286"/>
      <c r="IKV1096" s="286"/>
      <c r="IKW1096" s="286"/>
      <c r="IKX1096" s="286"/>
      <c r="IKY1096" s="286"/>
      <c r="IKZ1096" s="286"/>
      <c r="ILA1096" s="286"/>
      <c r="ILB1096" s="286"/>
      <c r="ILC1096" s="286"/>
      <c r="ILD1096" s="286"/>
      <c r="ILE1096" s="286"/>
      <c r="ILF1096" s="286"/>
      <c r="ILG1096" s="286"/>
      <c r="ILH1096" s="286"/>
      <c r="ILI1096" s="286"/>
      <c r="ILJ1096" s="286"/>
      <c r="ILK1096" s="286"/>
      <c r="ILL1096" s="286"/>
      <c r="ILM1096" s="286"/>
      <c r="ILN1096" s="286"/>
      <c r="ILO1096" s="286"/>
      <c r="ILP1096" s="286"/>
      <c r="ILQ1096" s="286"/>
      <c r="ILR1096" s="286"/>
      <c r="ILS1096" s="286"/>
      <c r="ILT1096" s="286"/>
      <c r="ILU1096" s="286"/>
      <c r="ILV1096" s="286"/>
      <c r="ILW1096" s="286"/>
      <c r="ILX1096" s="286"/>
      <c r="ILY1096" s="286"/>
      <c r="ILZ1096" s="286"/>
      <c r="IMA1096" s="286"/>
      <c r="IMB1096" s="286"/>
      <c r="IMC1096" s="286"/>
      <c r="IMD1096" s="286"/>
      <c r="IME1096" s="286"/>
      <c r="IMF1096" s="286"/>
      <c r="IMG1096" s="286"/>
      <c r="IMH1096" s="286"/>
      <c r="IMI1096" s="286"/>
      <c r="IMJ1096" s="286"/>
      <c r="IMK1096" s="286"/>
      <c r="IML1096" s="286"/>
      <c r="IMM1096" s="286"/>
      <c r="IMN1096" s="286"/>
      <c r="IMO1096" s="286"/>
      <c r="IMP1096" s="286"/>
      <c r="IMQ1096" s="286"/>
      <c r="IMR1096" s="286"/>
      <c r="IMS1096" s="286"/>
      <c r="IMT1096" s="286"/>
      <c r="IMU1096" s="286"/>
      <c r="IMV1096" s="286"/>
      <c r="IMW1096" s="286"/>
      <c r="IMX1096" s="286"/>
      <c r="IMY1096" s="286"/>
      <c r="IMZ1096" s="286"/>
      <c r="INA1096" s="286"/>
      <c r="INB1096" s="286"/>
      <c r="INC1096" s="286"/>
      <c r="IND1096" s="286"/>
      <c r="INE1096" s="286"/>
      <c r="INF1096" s="286"/>
      <c r="ING1096" s="286"/>
      <c r="INH1096" s="286"/>
      <c r="INI1096" s="286"/>
      <c r="INJ1096" s="286"/>
      <c r="INK1096" s="286"/>
      <c r="INL1096" s="286"/>
      <c r="INM1096" s="286"/>
      <c r="INN1096" s="286"/>
      <c r="INO1096" s="286"/>
      <c r="INP1096" s="286"/>
      <c r="INQ1096" s="286"/>
      <c r="INR1096" s="286"/>
      <c r="INS1096" s="286"/>
      <c r="INT1096" s="286"/>
      <c r="INU1096" s="286"/>
      <c r="INV1096" s="286"/>
      <c r="INW1096" s="286"/>
      <c r="INX1096" s="286"/>
      <c r="INY1096" s="286"/>
      <c r="INZ1096" s="286"/>
      <c r="IOA1096" s="286"/>
      <c r="IOB1096" s="286"/>
      <c r="IOC1096" s="286"/>
      <c r="IOD1096" s="286"/>
      <c r="IOE1096" s="286"/>
      <c r="IOF1096" s="286"/>
      <c r="IOG1096" s="286"/>
      <c r="IOH1096" s="286"/>
      <c r="IOI1096" s="286"/>
      <c r="IOJ1096" s="286"/>
      <c r="IOK1096" s="286"/>
      <c r="IOL1096" s="286"/>
      <c r="IOM1096" s="286"/>
      <c r="ION1096" s="286"/>
      <c r="IOO1096" s="286"/>
      <c r="IOP1096" s="286"/>
      <c r="IOQ1096" s="286"/>
      <c r="IOR1096" s="286"/>
      <c r="IOS1096" s="286"/>
      <c r="IOT1096" s="286"/>
      <c r="IOU1096" s="286"/>
      <c r="IOV1096" s="286"/>
      <c r="IOW1096" s="286"/>
      <c r="IOX1096" s="286"/>
      <c r="IOY1096" s="286"/>
      <c r="IOZ1096" s="286"/>
      <c r="IPA1096" s="286"/>
      <c r="IPB1096" s="286"/>
      <c r="IPC1096" s="286"/>
      <c r="IPD1096" s="286"/>
      <c r="IPE1096" s="286"/>
      <c r="IPF1096" s="286"/>
      <c r="IPG1096" s="286"/>
      <c r="IPH1096" s="286"/>
      <c r="IPI1096" s="286"/>
      <c r="IPJ1096" s="286"/>
      <c r="IPK1096" s="286"/>
      <c r="IPL1096" s="286"/>
      <c r="IPM1096" s="286"/>
      <c r="IPN1096" s="286"/>
      <c r="IPO1096" s="286"/>
      <c r="IPP1096" s="286"/>
      <c r="IPQ1096" s="286"/>
      <c r="IPR1096" s="286"/>
      <c r="IPS1096" s="286"/>
      <c r="IPT1096" s="286"/>
      <c r="IPU1096" s="286"/>
      <c r="IPV1096" s="286"/>
      <c r="IPW1096" s="286"/>
      <c r="IPX1096" s="286"/>
      <c r="IPY1096" s="286"/>
      <c r="IPZ1096" s="286"/>
      <c r="IQA1096" s="286"/>
      <c r="IQB1096" s="286"/>
      <c r="IQC1096" s="286"/>
      <c r="IQD1096" s="286"/>
      <c r="IQE1096" s="286"/>
      <c r="IQF1096" s="286"/>
      <c r="IQG1096" s="286"/>
      <c r="IQH1096" s="286"/>
      <c r="IQI1096" s="286"/>
      <c r="IQJ1096" s="286"/>
      <c r="IQK1096" s="286"/>
      <c r="IQL1096" s="286"/>
      <c r="IQM1096" s="286"/>
      <c r="IQN1096" s="286"/>
      <c r="IQO1096" s="286"/>
      <c r="IQP1096" s="286"/>
      <c r="IQQ1096" s="286"/>
      <c r="IQR1096" s="286"/>
      <c r="IQS1096" s="286"/>
      <c r="IQT1096" s="286"/>
      <c r="IQU1096" s="286"/>
      <c r="IQV1096" s="286"/>
      <c r="IQW1096" s="286"/>
      <c r="IQX1096" s="286"/>
      <c r="IQY1096" s="286"/>
      <c r="IQZ1096" s="286"/>
      <c r="IRA1096" s="286"/>
      <c r="IRB1096" s="286"/>
      <c r="IRC1096" s="286"/>
      <c r="IRD1096" s="286"/>
      <c r="IRE1096" s="286"/>
      <c r="IRF1096" s="286"/>
      <c r="IRG1096" s="286"/>
      <c r="IRH1096" s="286"/>
      <c r="IRI1096" s="286"/>
      <c r="IRJ1096" s="286"/>
      <c r="IRK1096" s="286"/>
      <c r="IRL1096" s="286"/>
      <c r="IRM1096" s="286"/>
      <c r="IRN1096" s="286"/>
      <c r="IRO1096" s="286"/>
      <c r="IRP1096" s="286"/>
      <c r="IRQ1096" s="286"/>
      <c r="IRR1096" s="286"/>
      <c r="IRS1096" s="286"/>
      <c r="IRT1096" s="286"/>
      <c r="IRU1096" s="286"/>
      <c r="IRV1096" s="286"/>
      <c r="IRW1096" s="286"/>
      <c r="IRX1096" s="286"/>
      <c r="IRY1096" s="286"/>
      <c r="IRZ1096" s="286"/>
      <c r="ISA1096" s="286"/>
      <c r="ISB1096" s="286"/>
      <c r="ISC1096" s="286"/>
      <c r="ISD1096" s="286"/>
      <c r="ISE1096" s="286"/>
      <c r="ISF1096" s="286"/>
      <c r="ISG1096" s="286"/>
      <c r="ISH1096" s="286"/>
      <c r="ISI1096" s="286"/>
      <c r="ISJ1096" s="286"/>
      <c r="ISK1096" s="286"/>
      <c r="ISL1096" s="286"/>
      <c r="ISM1096" s="286"/>
      <c r="ISN1096" s="286"/>
      <c r="ISO1096" s="286"/>
      <c r="ISP1096" s="286"/>
      <c r="ISQ1096" s="286"/>
      <c r="ISR1096" s="286"/>
      <c r="ISS1096" s="286"/>
      <c r="IST1096" s="286"/>
      <c r="ISU1096" s="286"/>
      <c r="ISV1096" s="286"/>
      <c r="ISW1096" s="286"/>
      <c r="ISX1096" s="286"/>
      <c r="ISY1096" s="286"/>
      <c r="ISZ1096" s="286"/>
      <c r="ITA1096" s="286"/>
      <c r="ITB1096" s="286"/>
      <c r="ITC1096" s="286"/>
      <c r="ITD1096" s="286"/>
      <c r="ITE1096" s="286"/>
      <c r="ITF1096" s="286"/>
      <c r="ITG1096" s="286"/>
      <c r="ITH1096" s="286"/>
      <c r="ITI1096" s="286"/>
      <c r="ITJ1096" s="286"/>
      <c r="ITK1096" s="286"/>
      <c r="ITL1096" s="286"/>
      <c r="ITM1096" s="286"/>
      <c r="ITN1096" s="286"/>
      <c r="ITO1096" s="286"/>
      <c r="ITP1096" s="286"/>
      <c r="ITQ1096" s="286"/>
      <c r="ITR1096" s="286"/>
      <c r="ITS1096" s="286"/>
      <c r="ITT1096" s="286"/>
      <c r="ITU1096" s="286"/>
      <c r="ITV1096" s="286"/>
      <c r="ITW1096" s="286"/>
      <c r="ITX1096" s="286"/>
      <c r="ITY1096" s="286"/>
      <c r="ITZ1096" s="286"/>
      <c r="IUA1096" s="286"/>
      <c r="IUB1096" s="286"/>
      <c r="IUC1096" s="286"/>
      <c r="IUD1096" s="286"/>
      <c r="IUE1096" s="286"/>
      <c r="IUF1096" s="286"/>
      <c r="IUG1096" s="286"/>
      <c r="IUH1096" s="286"/>
      <c r="IUI1096" s="286"/>
      <c r="IUJ1096" s="286"/>
      <c r="IUK1096" s="286"/>
      <c r="IUL1096" s="286"/>
      <c r="IUM1096" s="286"/>
      <c r="IUN1096" s="286"/>
      <c r="IUO1096" s="286"/>
      <c r="IUP1096" s="286"/>
      <c r="IUQ1096" s="286"/>
      <c r="IUR1096" s="286"/>
      <c r="IUS1096" s="286"/>
      <c r="IUT1096" s="286"/>
      <c r="IUU1096" s="286"/>
      <c r="IUV1096" s="286"/>
      <c r="IUW1096" s="286"/>
      <c r="IUX1096" s="286"/>
      <c r="IUY1096" s="286"/>
      <c r="IUZ1096" s="286"/>
      <c r="IVA1096" s="286"/>
      <c r="IVB1096" s="286"/>
      <c r="IVC1096" s="286"/>
      <c r="IVD1096" s="286"/>
      <c r="IVE1096" s="286"/>
      <c r="IVF1096" s="286"/>
      <c r="IVG1096" s="286"/>
      <c r="IVH1096" s="286"/>
      <c r="IVI1096" s="286"/>
      <c r="IVJ1096" s="286"/>
      <c r="IVK1096" s="286"/>
      <c r="IVL1096" s="286"/>
      <c r="IVM1096" s="286"/>
      <c r="IVN1096" s="286"/>
      <c r="IVO1096" s="286"/>
      <c r="IVP1096" s="286"/>
      <c r="IVQ1096" s="286"/>
      <c r="IVR1096" s="286"/>
      <c r="IVS1096" s="286"/>
      <c r="IVT1096" s="286"/>
      <c r="IVU1096" s="286"/>
      <c r="IVV1096" s="286"/>
      <c r="IVW1096" s="286"/>
      <c r="IVX1096" s="286"/>
      <c r="IVY1096" s="286"/>
      <c r="IVZ1096" s="286"/>
      <c r="IWA1096" s="286"/>
      <c r="IWB1096" s="286"/>
      <c r="IWC1096" s="286"/>
      <c r="IWD1096" s="286"/>
      <c r="IWE1096" s="286"/>
      <c r="IWF1096" s="286"/>
      <c r="IWG1096" s="286"/>
      <c r="IWH1096" s="286"/>
      <c r="IWI1096" s="286"/>
      <c r="IWJ1096" s="286"/>
      <c r="IWK1096" s="286"/>
      <c r="IWL1096" s="286"/>
      <c r="IWM1096" s="286"/>
      <c r="IWN1096" s="286"/>
      <c r="IWO1096" s="286"/>
      <c r="IWP1096" s="286"/>
      <c r="IWQ1096" s="286"/>
      <c r="IWR1096" s="286"/>
      <c r="IWS1096" s="286"/>
      <c r="IWT1096" s="286"/>
      <c r="IWU1096" s="286"/>
      <c r="IWV1096" s="286"/>
      <c r="IWW1096" s="286"/>
      <c r="IWX1096" s="286"/>
      <c r="IWY1096" s="286"/>
      <c r="IWZ1096" s="286"/>
      <c r="IXA1096" s="286"/>
      <c r="IXB1096" s="286"/>
      <c r="IXC1096" s="286"/>
      <c r="IXD1096" s="286"/>
      <c r="IXE1096" s="286"/>
      <c r="IXF1096" s="286"/>
      <c r="IXG1096" s="286"/>
      <c r="IXH1096" s="286"/>
      <c r="IXI1096" s="286"/>
      <c r="IXJ1096" s="286"/>
      <c r="IXK1096" s="286"/>
      <c r="IXL1096" s="286"/>
      <c r="IXM1096" s="286"/>
      <c r="IXN1096" s="286"/>
      <c r="IXO1096" s="286"/>
      <c r="IXP1096" s="286"/>
      <c r="IXQ1096" s="286"/>
      <c r="IXR1096" s="286"/>
      <c r="IXS1096" s="286"/>
      <c r="IXT1096" s="286"/>
      <c r="IXU1096" s="286"/>
      <c r="IXV1096" s="286"/>
      <c r="IXW1096" s="286"/>
      <c r="IXX1096" s="286"/>
      <c r="IXY1096" s="286"/>
      <c r="IXZ1096" s="286"/>
      <c r="IYA1096" s="286"/>
      <c r="IYB1096" s="286"/>
      <c r="IYC1096" s="286"/>
      <c r="IYD1096" s="286"/>
      <c r="IYE1096" s="286"/>
      <c r="IYF1096" s="286"/>
      <c r="IYG1096" s="286"/>
      <c r="IYH1096" s="286"/>
      <c r="IYI1096" s="286"/>
      <c r="IYJ1096" s="286"/>
      <c r="IYK1096" s="286"/>
      <c r="IYL1096" s="286"/>
      <c r="IYM1096" s="286"/>
      <c r="IYN1096" s="286"/>
      <c r="IYO1096" s="286"/>
      <c r="IYP1096" s="286"/>
      <c r="IYQ1096" s="286"/>
      <c r="IYR1096" s="286"/>
      <c r="IYS1096" s="286"/>
      <c r="IYT1096" s="286"/>
      <c r="IYU1096" s="286"/>
      <c r="IYV1096" s="286"/>
      <c r="IYW1096" s="286"/>
      <c r="IYX1096" s="286"/>
      <c r="IYY1096" s="286"/>
      <c r="IYZ1096" s="286"/>
      <c r="IZA1096" s="286"/>
      <c r="IZB1096" s="286"/>
      <c r="IZC1096" s="286"/>
      <c r="IZD1096" s="286"/>
      <c r="IZE1096" s="286"/>
      <c r="IZF1096" s="286"/>
      <c r="IZG1096" s="286"/>
      <c r="IZH1096" s="286"/>
      <c r="IZI1096" s="286"/>
      <c r="IZJ1096" s="286"/>
      <c r="IZK1096" s="286"/>
      <c r="IZL1096" s="286"/>
      <c r="IZM1096" s="286"/>
      <c r="IZN1096" s="286"/>
      <c r="IZO1096" s="286"/>
      <c r="IZP1096" s="286"/>
      <c r="IZQ1096" s="286"/>
      <c r="IZR1096" s="286"/>
      <c r="IZS1096" s="286"/>
      <c r="IZT1096" s="286"/>
      <c r="IZU1096" s="286"/>
      <c r="IZV1096" s="286"/>
      <c r="IZW1096" s="286"/>
      <c r="IZX1096" s="286"/>
      <c r="IZY1096" s="286"/>
      <c r="IZZ1096" s="286"/>
      <c r="JAA1096" s="286"/>
      <c r="JAB1096" s="286"/>
      <c r="JAC1096" s="286"/>
      <c r="JAD1096" s="286"/>
      <c r="JAE1096" s="286"/>
      <c r="JAF1096" s="286"/>
      <c r="JAG1096" s="286"/>
      <c r="JAH1096" s="286"/>
      <c r="JAI1096" s="286"/>
      <c r="JAJ1096" s="286"/>
      <c r="JAK1096" s="286"/>
      <c r="JAL1096" s="286"/>
      <c r="JAM1096" s="286"/>
      <c r="JAN1096" s="286"/>
      <c r="JAO1096" s="286"/>
      <c r="JAP1096" s="286"/>
      <c r="JAQ1096" s="286"/>
      <c r="JAR1096" s="286"/>
      <c r="JAS1096" s="286"/>
      <c r="JAT1096" s="286"/>
      <c r="JAU1096" s="286"/>
      <c r="JAV1096" s="286"/>
      <c r="JAW1096" s="286"/>
      <c r="JAX1096" s="286"/>
      <c r="JAY1096" s="286"/>
      <c r="JAZ1096" s="286"/>
      <c r="JBA1096" s="286"/>
      <c r="JBB1096" s="286"/>
      <c r="JBC1096" s="286"/>
      <c r="JBD1096" s="286"/>
      <c r="JBE1096" s="286"/>
      <c r="JBF1096" s="286"/>
      <c r="JBG1096" s="286"/>
      <c r="JBH1096" s="286"/>
      <c r="JBI1096" s="286"/>
      <c r="JBJ1096" s="286"/>
      <c r="JBK1096" s="286"/>
      <c r="JBL1096" s="286"/>
      <c r="JBM1096" s="286"/>
      <c r="JBN1096" s="286"/>
      <c r="JBO1096" s="286"/>
      <c r="JBP1096" s="286"/>
      <c r="JBQ1096" s="286"/>
      <c r="JBR1096" s="286"/>
      <c r="JBS1096" s="286"/>
      <c r="JBT1096" s="286"/>
      <c r="JBU1096" s="286"/>
      <c r="JBV1096" s="286"/>
      <c r="JBW1096" s="286"/>
      <c r="JBX1096" s="286"/>
      <c r="JBY1096" s="286"/>
      <c r="JBZ1096" s="286"/>
      <c r="JCA1096" s="286"/>
      <c r="JCB1096" s="286"/>
      <c r="JCC1096" s="286"/>
      <c r="JCD1096" s="286"/>
      <c r="JCE1096" s="286"/>
      <c r="JCF1096" s="286"/>
      <c r="JCG1096" s="286"/>
      <c r="JCH1096" s="286"/>
      <c r="JCI1096" s="286"/>
      <c r="JCJ1096" s="286"/>
      <c r="JCK1096" s="286"/>
      <c r="JCL1096" s="286"/>
      <c r="JCM1096" s="286"/>
      <c r="JCN1096" s="286"/>
      <c r="JCO1096" s="286"/>
      <c r="JCP1096" s="286"/>
      <c r="JCQ1096" s="286"/>
      <c r="JCR1096" s="286"/>
      <c r="JCS1096" s="286"/>
      <c r="JCT1096" s="286"/>
      <c r="JCU1096" s="286"/>
      <c r="JCV1096" s="286"/>
      <c r="JCW1096" s="286"/>
      <c r="JCX1096" s="286"/>
      <c r="JCY1096" s="286"/>
      <c r="JCZ1096" s="286"/>
      <c r="JDA1096" s="286"/>
      <c r="JDB1096" s="286"/>
      <c r="JDC1096" s="286"/>
      <c r="JDD1096" s="286"/>
      <c r="JDE1096" s="286"/>
      <c r="JDF1096" s="286"/>
      <c r="JDG1096" s="286"/>
      <c r="JDH1096" s="286"/>
      <c r="JDI1096" s="286"/>
      <c r="JDJ1096" s="286"/>
      <c r="JDK1096" s="286"/>
      <c r="JDL1096" s="286"/>
      <c r="JDM1096" s="286"/>
      <c r="JDN1096" s="286"/>
      <c r="JDO1096" s="286"/>
      <c r="JDP1096" s="286"/>
      <c r="JDQ1096" s="286"/>
      <c r="JDR1096" s="286"/>
      <c r="JDS1096" s="286"/>
      <c r="JDT1096" s="286"/>
      <c r="JDU1096" s="286"/>
      <c r="JDV1096" s="286"/>
      <c r="JDW1096" s="286"/>
      <c r="JDX1096" s="286"/>
      <c r="JDY1096" s="286"/>
      <c r="JDZ1096" s="286"/>
      <c r="JEA1096" s="286"/>
      <c r="JEB1096" s="286"/>
      <c r="JEC1096" s="286"/>
      <c r="JED1096" s="286"/>
      <c r="JEE1096" s="286"/>
      <c r="JEF1096" s="286"/>
      <c r="JEG1096" s="286"/>
      <c r="JEH1096" s="286"/>
      <c r="JEI1096" s="286"/>
      <c r="JEJ1096" s="286"/>
      <c r="JEK1096" s="286"/>
      <c r="JEL1096" s="286"/>
      <c r="JEM1096" s="286"/>
      <c r="JEN1096" s="286"/>
      <c r="JEO1096" s="286"/>
      <c r="JEP1096" s="286"/>
      <c r="JEQ1096" s="286"/>
      <c r="JER1096" s="286"/>
      <c r="JES1096" s="286"/>
      <c r="JET1096" s="286"/>
      <c r="JEU1096" s="286"/>
      <c r="JEV1096" s="286"/>
      <c r="JEW1096" s="286"/>
      <c r="JEX1096" s="286"/>
      <c r="JEY1096" s="286"/>
      <c r="JEZ1096" s="286"/>
      <c r="JFA1096" s="286"/>
      <c r="JFB1096" s="286"/>
      <c r="JFC1096" s="286"/>
      <c r="JFD1096" s="286"/>
      <c r="JFE1096" s="286"/>
      <c r="JFF1096" s="286"/>
      <c r="JFG1096" s="286"/>
      <c r="JFH1096" s="286"/>
      <c r="JFI1096" s="286"/>
      <c r="JFJ1096" s="286"/>
      <c r="JFK1096" s="286"/>
      <c r="JFL1096" s="286"/>
      <c r="JFM1096" s="286"/>
      <c r="JFN1096" s="286"/>
      <c r="JFO1096" s="286"/>
      <c r="JFP1096" s="286"/>
      <c r="JFQ1096" s="286"/>
      <c r="JFR1096" s="286"/>
      <c r="JFS1096" s="286"/>
      <c r="JFT1096" s="286"/>
      <c r="JFU1096" s="286"/>
      <c r="JFV1096" s="286"/>
      <c r="JFW1096" s="286"/>
      <c r="JFX1096" s="286"/>
      <c r="JFY1096" s="286"/>
      <c r="JFZ1096" s="286"/>
      <c r="JGA1096" s="286"/>
      <c r="JGB1096" s="286"/>
      <c r="JGC1096" s="286"/>
      <c r="JGD1096" s="286"/>
      <c r="JGE1096" s="286"/>
      <c r="JGF1096" s="286"/>
      <c r="JGG1096" s="286"/>
      <c r="JGH1096" s="286"/>
      <c r="JGI1096" s="286"/>
      <c r="JGJ1096" s="286"/>
      <c r="JGK1096" s="286"/>
      <c r="JGL1096" s="286"/>
      <c r="JGM1096" s="286"/>
      <c r="JGN1096" s="286"/>
      <c r="JGO1096" s="286"/>
      <c r="JGP1096" s="286"/>
      <c r="JGQ1096" s="286"/>
      <c r="JGR1096" s="286"/>
      <c r="JGS1096" s="286"/>
      <c r="JGT1096" s="286"/>
      <c r="JGU1096" s="286"/>
      <c r="JGV1096" s="286"/>
      <c r="JGW1096" s="286"/>
      <c r="JGX1096" s="286"/>
      <c r="JGY1096" s="286"/>
      <c r="JGZ1096" s="286"/>
      <c r="JHA1096" s="286"/>
      <c r="JHB1096" s="286"/>
      <c r="JHC1096" s="286"/>
      <c r="JHD1096" s="286"/>
      <c r="JHE1096" s="286"/>
      <c r="JHF1096" s="286"/>
      <c r="JHG1096" s="286"/>
      <c r="JHH1096" s="286"/>
      <c r="JHI1096" s="286"/>
      <c r="JHJ1096" s="286"/>
      <c r="JHK1096" s="286"/>
      <c r="JHL1096" s="286"/>
      <c r="JHM1096" s="286"/>
      <c r="JHN1096" s="286"/>
      <c r="JHO1096" s="286"/>
      <c r="JHP1096" s="286"/>
      <c r="JHQ1096" s="286"/>
      <c r="JHR1096" s="286"/>
      <c r="JHS1096" s="286"/>
      <c r="JHT1096" s="286"/>
      <c r="JHU1096" s="286"/>
      <c r="JHV1096" s="286"/>
      <c r="JHW1096" s="286"/>
      <c r="JHX1096" s="286"/>
      <c r="JHY1096" s="286"/>
      <c r="JHZ1096" s="286"/>
      <c r="JIA1096" s="286"/>
      <c r="JIB1096" s="286"/>
      <c r="JIC1096" s="286"/>
      <c r="JID1096" s="286"/>
      <c r="JIE1096" s="286"/>
      <c r="JIF1096" s="286"/>
      <c r="JIG1096" s="286"/>
      <c r="JIH1096" s="286"/>
      <c r="JII1096" s="286"/>
      <c r="JIJ1096" s="286"/>
      <c r="JIK1096" s="286"/>
      <c r="JIL1096" s="286"/>
      <c r="JIM1096" s="286"/>
      <c r="JIN1096" s="286"/>
      <c r="JIO1096" s="286"/>
      <c r="JIP1096" s="286"/>
      <c r="JIQ1096" s="286"/>
      <c r="JIR1096" s="286"/>
      <c r="JIS1096" s="286"/>
      <c r="JIT1096" s="286"/>
      <c r="JIU1096" s="286"/>
      <c r="JIV1096" s="286"/>
      <c r="JIW1096" s="286"/>
      <c r="JIX1096" s="286"/>
      <c r="JIY1096" s="286"/>
      <c r="JIZ1096" s="286"/>
      <c r="JJA1096" s="286"/>
      <c r="JJB1096" s="286"/>
      <c r="JJC1096" s="286"/>
      <c r="JJD1096" s="286"/>
      <c r="JJE1096" s="286"/>
      <c r="JJF1096" s="286"/>
      <c r="JJG1096" s="286"/>
      <c r="JJH1096" s="286"/>
      <c r="JJI1096" s="286"/>
      <c r="JJJ1096" s="286"/>
      <c r="JJK1096" s="286"/>
      <c r="JJL1096" s="286"/>
      <c r="JJM1096" s="286"/>
      <c r="JJN1096" s="286"/>
      <c r="JJO1096" s="286"/>
      <c r="JJP1096" s="286"/>
      <c r="JJQ1096" s="286"/>
      <c r="JJR1096" s="286"/>
      <c r="JJS1096" s="286"/>
      <c r="JJT1096" s="286"/>
      <c r="JJU1096" s="286"/>
      <c r="JJV1096" s="286"/>
      <c r="JJW1096" s="286"/>
      <c r="JJX1096" s="286"/>
      <c r="JJY1096" s="286"/>
      <c r="JJZ1096" s="286"/>
      <c r="JKA1096" s="286"/>
      <c r="JKB1096" s="286"/>
      <c r="JKC1096" s="286"/>
      <c r="JKD1096" s="286"/>
      <c r="JKE1096" s="286"/>
      <c r="JKF1096" s="286"/>
      <c r="JKG1096" s="286"/>
      <c r="JKH1096" s="286"/>
      <c r="JKI1096" s="286"/>
      <c r="JKJ1096" s="286"/>
      <c r="JKK1096" s="286"/>
      <c r="JKL1096" s="286"/>
      <c r="JKM1096" s="286"/>
      <c r="JKN1096" s="286"/>
      <c r="JKO1096" s="286"/>
      <c r="JKP1096" s="286"/>
      <c r="JKQ1096" s="286"/>
      <c r="JKR1096" s="286"/>
      <c r="JKS1096" s="286"/>
      <c r="JKT1096" s="286"/>
      <c r="JKU1096" s="286"/>
      <c r="JKV1096" s="286"/>
      <c r="JKW1096" s="286"/>
      <c r="JKX1096" s="286"/>
      <c r="JKY1096" s="286"/>
      <c r="JKZ1096" s="286"/>
      <c r="JLA1096" s="286"/>
      <c r="JLB1096" s="286"/>
      <c r="JLC1096" s="286"/>
      <c r="JLD1096" s="286"/>
      <c r="JLE1096" s="286"/>
      <c r="JLF1096" s="286"/>
      <c r="JLG1096" s="286"/>
      <c r="JLH1096" s="286"/>
      <c r="JLI1096" s="286"/>
      <c r="JLJ1096" s="286"/>
      <c r="JLK1096" s="286"/>
      <c r="JLL1096" s="286"/>
      <c r="JLM1096" s="286"/>
      <c r="JLN1096" s="286"/>
      <c r="JLO1096" s="286"/>
      <c r="JLP1096" s="286"/>
      <c r="JLQ1096" s="286"/>
      <c r="JLR1096" s="286"/>
      <c r="JLS1096" s="286"/>
      <c r="JLT1096" s="286"/>
      <c r="JLU1096" s="286"/>
      <c r="JLV1096" s="286"/>
      <c r="JLW1096" s="286"/>
      <c r="JLX1096" s="286"/>
      <c r="JLY1096" s="286"/>
      <c r="JLZ1096" s="286"/>
      <c r="JMA1096" s="286"/>
      <c r="JMB1096" s="286"/>
      <c r="JMC1096" s="286"/>
      <c r="JMD1096" s="286"/>
      <c r="JME1096" s="286"/>
      <c r="JMF1096" s="286"/>
      <c r="JMG1096" s="286"/>
      <c r="JMH1096" s="286"/>
      <c r="JMI1096" s="286"/>
      <c r="JMJ1096" s="286"/>
      <c r="JMK1096" s="286"/>
      <c r="JML1096" s="286"/>
      <c r="JMM1096" s="286"/>
      <c r="JMN1096" s="286"/>
      <c r="JMO1096" s="286"/>
      <c r="JMP1096" s="286"/>
      <c r="JMQ1096" s="286"/>
      <c r="JMR1096" s="286"/>
      <c r="JMS1096" s="286"/>
      <c r="JMT1096" s="286"/>
      <c r="JMU1096" s="286"/>
      <c r="JMV1096" s="286"/>
      <c r="JMW1096" s="286"/>
      <c r="JMX1096" s="286"/>
      <c r="JMY1096" s="286"/>
      <c r="JMZ1096" s="286"/>
      <c r="JNA1096" s="286"/>
      <c r="JNB1096" s="286"/>
      <c r="JNC1096" s="286"/>
      <c r="JND1096" s="286"/>
      <c r="JNE1096" s="286"/>
      <c r="JNF1096" s="286"/>
      <c r="JNG1096" s="286"/>
      <c r="JNH1096" s="286"/>
      <c r="JNI1096" s="286"/>
      <c r="JNJ1096" s="286"/>
      <c r="JNK1096" s="286"/>
      <c r="JNL1096" s="286"/>
      <c r="JNM1096" s="286"/>
      <c r="JNN1096" s="286"/>
      <c r="JNO1096" s="286"/>
      <c r="JNP1096" s="286"/>
      <c r="JNQ1096" s="286"/>
      <c r="JNR1096" s="286"/>
      <c r="JNS1096" s="286"/>
      <c r="JNT1096" s="286"/>
      <c r="JNU1096" s="286"/>
      <c r="JNV1096" s="286"/>
      <c r="JNW1096" s="286"/>
      <c r="JNX1096" s="286"/>
      <c r="JNY1096" s="286"/>
      <c r="JNZ1096" s="286"/>
      <c r="JOA1096" s="286"/>
      <c r="JOB1096" s="286"/>
      <c r="JOC1096" s="286"/>
      <c r="JOD1096" s="286"/>
      <c r="JOE1096" s="286"/>
      <c r="JOF1096" s="286"/>
      <c r="JOG1096" s="286"/>
      <c r="JOH1096" s="286"/>
      <c r="JOI1096" s="286"/>
      <c r="JOJ1096" s="286"/>
      <c r="JOK1096" s="286"/>
      <c r="JOL1096" s="286"/>
      <c r="JOM1096" s="286"/>
      <c r="JON1096" s="286"/>
      <c r="JOO1096" s="286"/>
      <c r="JOP1096" s="286"/>
      <c r="JOQ1096" s="286"/>
      <c r="JOR1096" s="286"/>
      <c r="JOS1096" s="286"/>
      <c r="JOT1096" s="286"/>
      <c r="JOU1096" s="286"/>
      <c r="JOV1096" s="286"/>
      <c r="JOW1096" s="286"/>
      <c r="JOX1096" s="286"/>
      <c r="JOY1096" s="286"/>
      <c r="JOZ1096" s="286"/>
      <c r="JPA1096" s="286"/>
      <c r="JPB1096" s="286"/>
      <c r="JPC1096" s="286"/>
      <c r="JPD1096" s="286"/>
      <c r="JPE1096" s="286"/>
      <c r="JPF1096" s="286"/>
      <c r="JPG1096" s="286"/>
      <c r="JPH1096" s="286"/>
      <c r="JPI1096" s="286"/>
      <c r="JPJ1096" s="286"/>
      <c r="JPK1096" s="286"/>
      <c r="JPL1096" s="286"/>
      <c r="JPM1096" s="286"/>
      <c r="JPN1096" s="286"/>
      <c r="JPO1096" s="286"/>
      <c r="JPP1096" s="286"/>
      <c r="JPQ1096" s="286"/>
      <c r="JPR1096" s="286"/>
      <c r="JPS1096" s="286"/>
      <c r="JPT1096" s="286"/>
      <c r="JPU1096" s="286"/>
      <c r="JPV1096" s="286"/>
      <c r="JPW1096" s="286"/>
      <c r="JPX1096" s="286"/>
      <c r="JPY1096" s="286"/>
      <c r="JPZ1096" s="286"/>
      <c r="JQA1096" s="286"/>
      <c r="JQB1096" s="286"/>
      <c r="JQC1096" s="286"/>
      <c r="JQD1096" s="286"/>
      <c r="JQE1096" s="286"/>
      <c r="JQF1096" s="286"/>
      <c r="JQG1096" s="286"/>
      <c r="JQH1096" s="286"/>
      <c r="JQI1096" s="286"/>
      <c r="JQJ1096" s="286"/>
      <c r="JQK1096" s="286"/>
      <c r="JQL1096" s="286"/>
      <c r="JQM1096" s="286"/>
      <c r="JQN1096" s="286"/>
      <c r="JQO1096" s="286"/>
      <c r="JQP1096" s="286"/>
      <c r="JQQ1096" s="286"/>
      <c r="JQR1096" s="286"/>
      <c r="JQS1096" s="286"/>
      <c r="JQT1096" s="286"/>
      <c r="JQU1096" s="286"/>
      <c r="JQV1096" s="286"/>
      <c r="JQW1096" s="286"/>
      <c r="JQX1096" s="286"/>
      <c r="JQY1096" s="286"/>
      <c r="JQZ1096" s="286"/>
      <c r="JRA1096" s="286"/>
      <c r="JRB1096" s="286"/>
      <c r="JRC1096" s="286"/>
      <c r="JRD1096" s="286"/>
      <c r="JRE1096" s="286"/>
      <c r="JRF1096" s="286"/>
      <c r="JRG1096" s="286"/>
      <c r="JRH1096" s="286"/>
      <c r="JRI1096" s="286"/>
      <c r="JRJ1096" s="286"/>
      <c r="JRK1096" s="286"/>
      <c r="JRL1096" s="286"/>
      <c r="JRM1096" s="286"/>
      <c r="JRN1096" s="286"/>
      <c r="JRO1096" s="286"/>
      <c r="JRP1096" s="286"/>
      <c r="JRQ1096" s="286"/>
      <c r="JRR1096" s="286"/>
      <c r="JRS1096" s="286"/>
      <c r="JRT1096" s="286"/>
      <c r="JRU1096" s="286"/>
      <c r="JRV1096" s="286"/>
      <c r="JRW1096" s="286"/>
      <c r="JRX1096" s="286"/>
      <c r="JRY1096" s="286"/>
      <c r="JRZ1096" s="286"/>
      <c r="JSA1096" s="286"/>
      <c r="JSB1096" s="286"/>
      <c r="JSC1096" s="286"/>
      <c r="JSD1096" s="286"/>
      <c r="JSE1096" s="286"/>
      <c r="JSF1096" s="286"/>
      <c r="JSG1096" s="286"/>
      <c r="JSH1096" s="286"/>
      <c r="JSI1096" s="286"/>
      <c r="JSJ1096" s="286"/>
      <c r="JSK1096" s="286"/>
      <c r="JSL1096" s="286"/>
      <c r="JSM1096" s="286"/>
      <c r="JSN1096" s="286"/>
      <c r="JSO1096" s="286"/>
      <c r="JSP1096" s="286"/>
      <c r="JSQ1096" s="286"/>
      <c r="JSR1096" s="286"/>
      <c r="JSS1096" s="286"/>
      <c r="JST1096" s="286"/>
      <c r="JSU1096" s="286"/>
      <c r="JSV1096" s="286"/>
      <c r="JSW1096" s="286"/>
      <c r="JSX1096" s="286"/>
      <c r="JSY1096" s="286"/>
      <c r="JSZ1096" s="286"/>
      <c r="JTA1096" s="286"/>
      <c r="JTB1096" s="286"/>
      <c r="JTC1096" s="286"/>
      <c r="JTD1096" s="286"/>
      <c r="JTE1096" s="286"/>
      <c r="JTF1096" s="286"/>
      <c r="JTG1096" s="286"/>
      <c r="JTH1096" s="286"/>
      <c r="JTI1096" s="286"/>
      <c r="JTJ1096" s="286"/>
      <c r="JTK1096" s="286"/>
      <c r="JTL1096" s="286"/>
      <c r="JTM1096" s="286"/>
      <c r="JTN1096" s="286"/>
      <c r="JTO1096" s="286"/>
      <c r="JTP1096" s="286"/>
      <c r="JTQ1096" s="286"/>
      <c r="JTR1096" s="286"/>
      <c r="JTS1096" s="286"/>
      <c r="JTT1096" s="286"/>
      <c r="JTU1096" s="286"/>
      <c r="JTV1096" s="286"/>
      <c r="JTW1096" s="286"/>
      <c r="JTX1096" s="286"/>
      <c r="JTY1096" s="286"/>
      <c r="JTZ1096" s="286"/>
      <c r="JUA1096" s="286"/>
      <c r="JUB1096" s="286"/>
      <c r="JUC1096" s="286"/>
      <c r="JUD1096" s="286"/>
      <c r="JUE1096" s="286"/>
      <c r="JUF1096" s="286"/>
      <c r="JUG1096" s="286"/>
      <c r="JUH1096" s="286"/>
      <c r="JUI1096" s="286"/>
      <c r="JUJ1096" s="286"/>
      <c r="JUK1096" s="286"/>
      <c r="JUL1096" s="286"/>
      <c r="JUM1096" s="286"/>
      <c r="JUN1096" s="286"/>
      <c r="JUO1096" s="286"/>
      <c r="JUP1096" s="286"/>
      <c r="JUQ1096" s="286"/>
      <c r="JUR1096" s="286"/>
      <c r="JUS1096" s="286"/>
      <c r="JUT1096" s="286"/>
      <c r="JUU1096" s="286"/>
      <c r="JUV1096" s="286"/>
      <c r="JUW1096" s="286"/>
      <c r="JUX1096" s="286"/>
      <c r="JUY1096" s="286"/>
      <c r="JUZ1096" s="286"/>
      <c r="JVA1096" s="286"/>
      <c r="JVB1096" s="286"/>
      <c r="JVC1096" s="286"/>
      <c r="JVD1096" s="286"/>
      <c r="JVE1096" s="286"/>
      <c r="JVF1096" s="286"/>
      <c r="JVG1096" s="286"/>
      <c r="JVH1096" s="286"/>
      <c r="JVI1096" s="286"/>
      <c r="JVJ1096" s="286"/>
      <c r="JVK1096" s="286"/>
      <c r="JVL1096" s="286"/>
      <c r="JVM1096" s="286"/>
      <c r="JVN1096" s="286"/>
      <c r="JVO1096" s="286"/>
      <c r="JVP1096" s="286"/>
      <c r="JVQ1096" s="286"/>
      <c r="JVR1096" s="286"/>
      <c r="JVS1096" s="286"/>
      <c r="JVT1096" s="286"/>
      <c r="JVU1096" s="286"/>
      <c r="JVV1096" s="286"/>
      <c r="JVW1096" s="286"/>
      <c r="JVX1096" s="286"/>
      <c r="JVY1096" s="286"/>
      <c r="JVZ1096" s="286"/>
      <c r="JWA1096" s="286"/>
      <c r="JWB1096" s="286"/>
      <c r="JWC1096" s="286"/>
      <c r="JWD1096" s="286"/>
      <c r="JWE1096" s="286"/>
      <c r="JWF1096" s="286"/>
      <c r="JWG1096" s="286"/>
      <c r="JWH1096" s="286"/>
      <c r="JWI1096" s="286"/>
      <c r="JWJ1096" s="286"/>
      <c r="JWK1096" s="286"/>
      <c r="JWL1096" s="286"/>
      <c r="JWM1096" s="286"/>
      <c r="JWN1096" s="286"/>
      <c r="JWO1096" s="286"/>
      <c r="JWP1096" s="286"/>
      <c r="JWQ1096" s="286"/>
      <c r="JWR1096" s="286"/>
      <c r="JWS1096" s="286"/>
      <c r="JWT1096" s="286"/>
      <c r="JWU1096" s="286"/>
      <c r="JWV1096" s="286"/>
      <c r="JWW1096" s="286"/>
      <c r="JWX1096" s="286"/>
      <c r="JWY1096" s="286"/>
      <c r="JWZ1096" s="286"/>
      <c r="JXA1096" s="286"/>
      <c r="JXB1096" s="286"/>
      <c r="JXC1096" s="286"/>
      <c r="JXD1096" s="286"/>
      <c r="JXE1096" s="286"/>
      <c r="JXF1096" s="286"/>
      <c r="JXG1096" s="286"/>
      <c r="JXH1096" s="286"/>
      <c r="JXI1096" s="286"/>
      <c r="JXJ1096" s="286"/>
      <c r="JXK1096" s="286"/>
      <c r="JXL1096" s="286"/>
      <c r="JXM1096" s="286"/>
      <c r="JXN1096" s="286"/>
      <c r="JXO1096" s="286"/>
      <c r="JXP1096" s="286"/>
      <c r="JXQ1096" s="286"/>
      <c r="JXR1096" s="286"/>
      <c r="JXS1096" s="286"/>
      <c r="JXT1096" s="286"/>
      <c r="JXU1096" s="286"/>
      <c r="JXV1096" s="286"/>
      <c r="JXW1096" s="286"/>
      <c r="JXX1096" s="286"/>
      <c r="JXY1096" s="286"/>
      <c r="JXZ1096" s="286"/>
      <c r="JYA1096" s="286"/>
      <c r="JYB1096" s="286"/>
      <c r="JYC1096" s="286"/>
      <c r="JYD1096" s="286"/>
      <c r="JYE1096" s="286"/>
      <c r="JYF1096" s="286"/>
      <c r="JYG1096" s="286"/>
      <c r="JYH1096" s="286"/>
      <c r="JYI1096" s="286"/>
      <c r="JYJ1096" s="286"/>
      <c r="JYK1096" s="286"/>
      <c r="JYL1096" s="286"/>
      <c r="JYM1096" s="286"/>
      <c r="JYN1096" s="286"/>
      <c r="JYO1096" s="286"/>
      <c r="JYP1096" s="286"/>
      <c r="JYQ1096" s="286"/>
      <c r="JYR1096" s="286"/>
      <c r="JYS1096" s="286"/>
      <c r="JYT1096" s="286"/>
      <c r="JYU1096" s="286"/>
      <c r="JYV1096" s="286"/>
      <c r="JYW1096" s="286"/>
      <c r="JYX1096" s="286"/>
      <c r="JYY1096" s="286"/>
      <c r="JYZ1096" s="286"/>
      <c r="JZA1096" s="286"/>
      <c r="JZB1096" s="286"/>
      <c r="JZC1096" s="286"/>
      <c r="JZD1096" s="286"/>
      <c r="JZE1096" s="286"/>
      <c r="JZF1096" s="286"/>
      <c r="JZG1096" s="286"/>
      <c r="JZH1096" s="286"/>
      <c r="JZI1096" s="286"/>
      <c r="JZJ1096" s="286"/>
      <c r="JZK1096" s="286"/>
      <c r="JZL1096" s="286"/>
      <c r="JZM1096" s="286"/>
      <c r="JZN1096" s="286"/>
      <c r="JZO1096" s="286"/>
      <c r="JZP1096" s="286"/>
      <c r="JZQ1096" s="286"/>
      <c r="JZR1096" s="286"/>
      <c r="JZS1096" s="286"/>
      <c r="JZT1096" s="286"/>
      <c r="JZU1096" s="286"/>
      <c r="JZV1096" s="286"/>
      <c r="JZW1096" s="286"/>
      <c r="JZX1096" s="286"/>
      <c r="JZY1096" s="286"/>
      <c r="JZZ1096" s="286"/>
      <c r="KAA1096" s="286"/>
      <c r="KAB1096" s="286"/>
      <c r="KAC1096" s="286"/>
      <c r="KAD1096" s="286"/>
      <c r="KAE1096" s="286"/>
      <c r="KAF1096" s="286"/>
      <c r="KAG1096" s="286"/>
      <c r="KAH1096" s="286"/>
      <c r="KAI1096" s="286"/>
      <c r="KAJ1096" s="286"/>
      <c r="KAK1096" s="286"/>
      <c r="KAL1096" s="286"/>
      <c r="KAM1096" s="286"/>
      <c r="KAN1096" s="286"/>
      <c r="KAO1096" s="286"/>
      <c r="KAP1096" s="286"/>
      <c r="KAQ1096" s="286"/>
      <c r="KAR1096" s="286"/>
      <c r="KAS1096" s="286"/>
      <c r="KAT1096" s="286"/>
      <c r="KAU1096" s="286"/>
      <c r="KAV1096" s="286"/>
      <c r="KAW1096" s="286"/>
      <c r="KAX1096" s="286"/>
      <c r="KAY1096" s="286"/>
      <c r="KAZ1096" s="286"/>
      <c r="KBA1096" s="286"/>
      <c r="KBB1096" s="286"/>
      <c r="KBC1096" s="286"/>
      <c r="KBD1096" s="286"/>
      <c r="KBE1096" s="286"/>
      <c r="KBF1096" s="286"/>
      <c r="KBG1096" s="286"/>
      <c r="KBH1096" s="286"/>
      <c r="KBI1096" s="286"/>
      <c r="KBJ1096" s="286"/>
      <c r="KBK1096" s="286"/>
      <c r="KBL1096" s="286"/>
      <c r="KBM1096" s="286"/>
      <c r="KBN1096" s="286"/>
      <c r="KBO1096" s="286"/>
      <c r="KBP1096" s="286"/>
      <c r="KBQ1096" s="286"/>
      <c r="KBR1096" s="286"/>
      <c r="KBS1096" s="286"/>
      <c r="KBT1096" s="286"/>
      <c r="KBU1096" s="286"/>
      <c r="KBV1096" s="286"/>
      <c r="KBW1096" s="286"/>
      <c r="KBX1096" s="286"/>
      <c r="KBY1096" s="286"/>
      <c r="KBZ1096" s="286"/>
      <c r="KCA1096" s="286"/>
      <c r="KCB1096" s="286"/>
      <c r="KCC1096" s="286"/>
      <c r="KCD1096" s="286"/>
      <c r="KCE1096" s="286"/>
      <c r="KCF1096" s="286"/>
      <c r="KCG1096" s="286"/>
      <c r="KCH1096" s="286"/>
      <c r="KCI1096" s="286"/>
      <c r="KCJ1096" s="286"/>
      <c r="KCK1096" s="286"/>
      <c r="KCL1096" s="286"/>
      <c r="KCM1096" s="286"/>
      <c r="KCN1096" s="286"/>
      <c r="KCO1096" s="286"/>
      <c r="KCP1096" s="286"/>
      <c r="KCQ1096" s="286"/>
      <c r="KCR1096" s="286"/>
      <c r="KCS1096" s="286"/>
      <c r="KCT1096" s="286"/>
      <c r="KCU1096" s="286"/>
      <c r="KCV1096" s="286"/>
      <c r="KCW1096" s="286"/>
      <c r="KCX1096" s="286"/>
      <c r="KCY1096" s="286"/>
      <c r="KCZ1096" s="286"/>
      <c r="KDA1096" s="286"/>
      <c r="KDB1096" s="286"/>
      <c r="KDC1096" s="286"/>
      <c r="KDD1096" s="286"/>
      <c r="KDE1096" s="286"/>
      <c r="KDF1096" s="286"/>
      <c r="KDG1096" s="286"/>
      <c r="KDH1096" s="286"/>
      <c r="KDI1096" s="286"/>
      <c r="KDJ1096" s="286"/>
      <c r="KDK1096" s="286"/>
      <c r="KDL1096" s="286"/>
      <c r="KDM1096" s="286"/>
      <c r="KDN1096" s="286"/>
      <c r="KDO1096" s="286"/>
      <c r="KDP1096" s="286"/>
      <c r="KDQ1096" s="286"/>
      <c r="KDR1096" s="286"/>
      <c r="KDS1096" s="286"/>
      <c r="KDT1096" s="286"/>
      <c r="KDU1096" s="286"/>
      <c r="KDV1096" s="286"/>
      <c r="KDW1096" s="286"/>
      <c r="KDX1096" s="286"/>
      <c r="KDY1096" s="286"/>
      <c r="KDZ1096" s="286"/>
      <c r="KEA1096" s="286"/>
      <c r="KEB1096" s="286"/>
      <c r="KEC1096" s="286"/>
      <c r="KED1096" s="286"/>
      <c r="KEE1096" s="286"/>
      <c r="KEF1096" s="286"/>
      <c r="KEG1096" s="286"/>
      <c r="KEH1096" s="286"/>
      <c r="KEI1096" s="286"/>
      <c r="KEJ1096" s="286"/>
      <c r="KEK1096" s="286"/>
      <c r="KEL1096" s="286"/>
      <c r="KEM1096" s="286"/>
      <c r="KEN1096" s="286"/>
      <c r="KEO1096" s="286"/>
      <c r="KEP1096" s="286"/>
      <c r="KEQ1096" s="286"/>
      <c r="KER1096" s="286"/>
      <c r="KES1096" s="286"/>
      <c r="KET1096" s="286"/>
      <c r="KEU1096" s="286"/>
      <c r="KEV1096" s="286"/>
      <c r="KEW1096" s="286"/>
      <c r="KEX1096" s="286"/>
      <c r="KEY1096" s="286"/>
      <c r="KEZ1096" s="286"/>
      <c r="KFA1096" s="286"/>
      <c r="KFB1096" s="286"/>
      <c r="KFC1096" s="286"/>
      <c r="KFD1096" s="286"/>
      <c r="KFE1096" s="286"/>
      <c r="KFF1096" s="286"/>
      <c r="KFG1096" s="286"/>
      <c r="KFH1096" s="286"/>
      <c r="KFI1096" s="286"/>
      <c r="KFJ1096" s="286"/>
      <c r="KFK1096" s="286"/>
      <c r="KFL1096" s="286"/>
      <c r="KFM1096" s="286"/>
      <c r="KFN1096" s="286"/>
      <c r="KFO1096" s="286"/>
      <c r="KFP1096" s="286"/>
      <c r="KFQ1096" s="286"/>
      <c r="KFR1096" s="286"/>
      <c r="KFS1096" s="286"/>
      <c r="KFT1096" s="286"/>
      <c r="KFU1096" s="286"/>
      <c r="KFV1096" s="286"/>
      <c r="KFW1096" s="286"/>
      <c r="KFX1096" s="286"/>
      <c r="KFY1096" s="286"/>
      <c r="KFZ1096" s="286"/>
      <c r="KGA1096" s="286"/>
      <c r="KGB1096" s="286"/>
      <c r="KGC1096" s="286"/>
      <c r="KGD1096" s="286"/>
      <c r="KGE1096" s="286"/>
      <c r="KGF1096" s="286"/>
      <c r="KGG1096" s="286"/>
      <c r="KGH1096" s="286"/>
      <c r="KGI1096" s="286"/>
      <c r="KGJ1096" s="286"/>
      <c r="KGK1096" s="286"/>
      <c r="KGL1096" s="286"/>
      <c r="KGM1096" s="286"/>
      <c r="KGN1096" s="286"/>
      <c r="KGO1096" s="286"/>
      <c r="KGP1096" s="286"/>
      <c r="KGQ1096" s="286"/>
      <c r="KGR1096" s="286"/>
      <c r="KGS1096" s="286"/>
      <c r="KGT1096" s="286"/>
      <c r="KGU1096" s="286"/>
      <c r="KGV1096" s="286"/>
      <c r="KGW1096" s="286"/>
      <c r="KGX1096" s="286"/>
      <c r="KGY1096" s="286"/>
      <c r="KGZ1096" s="286"/>
      <c r="KHA1096" s="286"/>
      <c r="KHB1096" s="286"/>
      <c r="KHC1096" s="286"/>
      <c r="KHD1096" s="286"/>
      <c r="KHE1096" s="286"/>
      <c r="KHF1096" s="286"/>
      <c r="KHG1096" s="286"/>
      <c r="KHH1096" s="286"/>
      <c r="KHI1096" s="286"/>
      <c r="KHJ1096" s="286"/>
      <c r="KHK1096" s="286"/>
      <c r="KHL1096" s="286"/>
      <c r="KHM1096" s="286"/>
      <c r="KHN1096" s="286"/>
      <c r="KHO1096" s="286"/>
      <c r="KHP1096" s="286"/>
      <c r="KHQ1096" s="286"/>
      <c r="KHR1096" s="286"/>
      <c r="KHS1096" s="286"/>
      <c r="KHT1096" s="286"/>
      <c r="KHU1096" s="286"/>
      <c r="KHV1096" s="286"/>
      <c r="KHW1096" s="286"/>
      <c r="KHX1096" s="286"/>
      <c r="KHY1096" s="286"/>
      <c r="KHZ1096" s="286"/>
      <c r="KIA1096" s="286"/>
      <c r="KIB1096" s="286"/>
      <c r="KIC1096" s="286"/>
      <c r="KID1096" s="286"/>
      <c r="KIE1096" s="286"/>
      <c r="KIF1096" s="286"/>
      <c r="KIG1096" s="286"/>
      <c r="KIH1096" s="286"/>
      <c r="KII1096" s="286"/>
      <c r="KIJ1096" s="286"/>
      <c r="KIK1096" s="286"/>
      <c r="KIL1096" s="286"/>
      <c r="KIM1096" s="286"/>
      <c r="KIN1096" s="286"/>
      <c r="KIO1096" s="286"/>
      <c r="KIP1096" s="286"/>
      <c r="KIQ1096" s="286"/>
      <c r="KIR1096" s="286"/>
      <c r="KIS1096" s="286"/>
      <c r="KIT1096" s="286"/>
      <c r="KIU1096" s="286"/>
      <c r="KIV1096" s="286"/>
      <c r="KIW1096" s="286"/>
      <c r="KIX1096" s="286"/>
      <c r="KIY1096" s="286"/>
      <c r="KIZ1096" s="286"/>
      <c r="KJA1096" s="286"/>
      <c r="KJB1096" s="286"/>
      <c r="KJC1096" s="286"/>
      <c r="KJD1096" s="286"/>
      <c r="KJE1096" s="286"/>
      <c r="KJF1096" s="286"/>
      <c r="KJG1096" s="286"/>
      <c r="KJH1096" s="286"/>
      <c r="KJI1096" s="286"/>
      <c r="KJJ1096" s="286"/>
      <c r="KJK1096" s="286"/>
      <c r="KJL1096" s="286"/>
      <c r="KJM1096" s="286"/>
      <c r="KJN1096" s="286"/>
      <c r="KJO1096" s="286"/>
      <c r="KJP1096" s="286"/>
      <c r="KJQ1096" s="286"/>
      <c r="KJR1096" s="286"/>
      <c r="KJS1096" s="286"/>
      <c r="KJT1096" s="286"/>
      <c r="KJU1096" s="286"/>
      <c r="KJV1096" s="286"/>
      <c r="KJW1096" s="286"/>
      <c r="KJX1096" s="286"/>
      <c r="KJY1096" s="286"/>
      <c r="KJZ1096" s="286"/>
      <c r="KKA1096" s="286"/>
      <c r="KKB1096" s="286"/>
      <c r="KKC1096" s="286"/>
      <c r="KKD1096" s="286"/>
      <c r="KKE1096" s="286"/>
      <c r="KKF1096" s="286"/>
      <c r="KKG1096" s="286"/>
      <c r="KKH1096" s="286"/>
      <c r="KKI1096" s="286"/>
      <c r="KKJ1096" s="286"/>
      <c r="KKK1096" s="286"/>
      <c r="KKL1096" s="286"/>
      <c r="KKM1096" s="286"/>
      <c r="KKN1096" s="286"/>
      <c r="KKO1096" s="286"/>
      <c r="KKP1096" s="286"/>
      <c r="KKQ1096" s="286"/>
      <c r="KKR1096" s="286"/>
      <c r="KKS1096" s="286"/>
      <c r="KKT1096" s="286"/>
      <c r="KKU1096" s="286"/>
      <c r="KKV1096" s="286"/>
      <c r="KKW1096" s="286"/>
      <c r="KKX1096" s="286"/>
      <c r="KKY1096" s="286"/>
      <c r="KKZ1096" s="286"/>
      <c r="KLA1096" s="286"/>
      <c r="KLB1096" s="286"/>
      <c r="KLC1096" s="286"/>
      <c r="KLD1096" s="286"/>
      <c r="KLE1096" s="286"/>
      <c r="KLF1096" s="286"/>
      <c r="KLG1096" s="286"/>
      <c r="KLH1096" s="286"/>
      <c r="KLI1096" s="286"/>
      <c r="KLJ1096" s="286"/>
      <c r="KLK1096" s="286"/>
      <c r="KLL1096" s="286"/>
      <c r="KLM1096" s="286"/>
      <c r="KLN1096" s="286"/>
      <c r="KLO1096" s="286"/>
      <c r="KLP1096" s="286"/>
      <c r="KLQ1096" s="286"/>
      <c r="KLR1096" s="286"/>
      <c r="KLS1096" s="286"/>
      <c r="KLT1096" s="286"/>
      <c r="KLU1096" s="286"/>
      <c r="KLV1096" s="286"/>
      <c r="KLW1096" s="286"/>
      <c r="KLX1096" s="286"/>
      <c r="KLY1096" s="286"/>
      <c r="KLZ1096" s="286"/>
      <c r="KMA1096" s="286"/>
      <c r="KMB1096" s="286"/>
      <c r="KMC1096" s="286"/>
      <c r="KMD1096" s="286"/>
      <c r="KME1096" s="286"/>
      <c r="KMF1096" s="286"/>
      <c r="KMG1096" s="286"/>
      <c r="KMH1096" s="286"/>
      <c r="KMI1096" s="286"/>
      <c r="KMJ1096" s="286"/>
      <c r="KMK1096" s="286"/>
      <c r="KML1096" s="286"/>
      <c r="KMM1096" s="286"/>
      <c r="KMN1096" s="286"/>
      <c r="KMO1096" s="286"/>
      <c r="KMP1096" s="286"/>
      <c r="KMQ1096" s="286"/>
      <c r="KMR1096" s="286"/>
      <c r="KMS1096" s="286"/>
      <c r="KMT1096" s="286"/>
      <c r="KMU1096" s="286"/>
      <c r="KMV1096" s="286"/>
      <c r="KMW1096" s="286"/>
      <c r="KMX1096" s="286"/>
      <c r="KMY1096" s="286"/>
      <c r="KMZ1096" s="286"/>
      <c r="KNA1096" s="286"/>
      <c r="KNB1096" s="286"/>
      <c r="KNC1096" s="286"/>
      <c r="KND1096" s="286"/>
      <c r="KNE1096" s="286"/>
      <c r="KNF1096" s="286"/>
      <c r="KNG1096" s="286"/>
      <c r="KNH1096" s="286"/>
      <c r="KNI1096" s="286"/>
      <c r="KNJ1096" s="286"/>
      <c r="KNK1096" s="286"/>
      <c r="KNL1096" s="286"/>
      <c r="KNM1096" s="286"/>
      <c r="KNN1096" s="286"/>
      <c r="KNO1096" s="286"/>
      <c r="KNP1096" s="286"/>
      <c r="KNQ1096" s="286"/>
      <c r="KNR1096" s="286"/>
      <c r="KNS1096" s="286"/>
      <c r="KNT1096" s="286"/>
      <c r="KNU1096" s="286"/>
      <c r="KNV1096" s="286"/>
      <c r="KNW1096" s="286"/>
      <c r="KNX1096" s="286"/>
      <c r="KNY1096" s="286"/>
      <c r="KNZ1096" s="286"/>
      <c r="KOA1096" s="286"/>
      <c r="KOB1096" s="286"/>
      <c r="KOC1096" s="286"/>
      <c r="KOD1096" s="286"/>
      <c r="KOE1096" s="286"/>
      <c r="KOF1096" s="286"/>
      <c r="KOG1096" s="286"/>
      <c r="KOH1096" s="286"/>
      <c r="KOI1096" s="286"/>
      <c r="KOJ1096" s="286"/>
      <c r="KOK1096" s="286"/>
      <c r="KOL1096" s="286"/>
      <c r="KOM1096" s="286"/>
      <c r="KON1096" s="286"/>
      <c r="KOO1096" s="286"/>
      <c r="KOP1096" s="286"/>
      <c r="KOQ1096" s="286"/>
      <c r="KOR1096" s="286"/>
      <c r="KOS1096" s="286"/>
      <c r="KOT1096" s="286"/>
      <c r="KOU1096" s="286"/>
      <c r="KOV1096" s="286"/>
      <c r="KOW1096" s="286"/>
      <c r="KOX1096" s="286"/>
      <c r="KOY1096" s="286"/>
      <c r="KOZ1096" s="286"/>
      <c r="KPA1096" s="286"/>
      <c r="KPB1096" s="286"/>
      <c r="KPC1096" s="286"/>
      <c r="KPD1096" s="286"/>
      <c r="KPE1096" s="286"/>
      <c r="KPF1096" s="286"/>
      <c r="KPG1096" s="286"/>
      <c r="KPH1096" s="286"/>
      <c r="KPI1096" s="286"/>
      <c r="KPJ1096" s="286"/>
      <c r="KPK1096" s="286"/>
      <c r="KPL1096" s="286"/>
      <c r="KPM1096" s="286"/>
      <c r="KPN1096" s="286"/>
      <c r="KPO1096" s="286"/>
      <c r="KPP1096" s="286"/>
      <c r="KPQ1096" s="286"/>
      <c r="KPR1096" s="286"/>
      <c r="KPS1096" s="286"/>
      <c r="KPT1096" s="286"/>
      <c r="KPU1096" s="286"/>
      <c r="KPV1096" s="286"/>
      <c r="KPW1096" s="286"/>
      <c r="KPX1096" s="286"/>
      <c r="KPY1096" s="286"/>
      <c r="KPZ1096" s="286"/>
      <c r="KQA1096" s="286"/>
      <c r="KQB1096" s="286"/>
      <c r="KQC1096" s="286"/>
      <c r="KQD1096" s="286"/>
      <c r="KQE1096" s="286"/>
      <c r="KQF1096" s="286"/>
      <c r="KQG1096" s="286"/>
      <c r="KQH1096" s="286"/>
      <c r="KQI1096" s="286"/>
      <c r="KQJ1096" s="286"/>
      <c r="KQK1096" s="286"/>
      <c r="KQL1096" s="286"/>
      <c r="KQM1096" s="286"/>
      <c r="KQN1096" s="286"/>
      <c r="KQO1096" s="286"/>
      <c r="KQP1096" s="286"/>
      <c r="KQQ1096" s="286"/>
      <c r="KQR1096" s="286"/>
      <c r="KQS1096" s="286"/>
      <c r="KQT1096" s="286"/>
      <c r="KQU1096" s="286"/>
      <c r="KQV1096" s="286"/>
      <c r="KQW1096" s="286"/>
      <c r="KQX1096" s="286"/>
      <c r="KQY1096" s="286"/>
      <c r="KQZ1096" s="286"/>
      <c r="KRA1096" s="286"/>
      <c r="KRB1096" s="286"/>
      <c r="KRC1096" s="286"/>
      <c r="KRD1096" s="286"/>
      <c r="KRE1096" s="286"/>
      <c r="KRF1096" s="286"/>
      <c r="KRG1096" s="286"/>
      <c r="KRH1096" s="286"/>
      <c r="KRI1096" s="286"/>
      <c r="KRJ1096" s="286"/>
      <c r="KRK1096" s="286"/>
      <c r="KRL1096" s="286"/>
      <c r="KRM1096" s="286"/>
      <c r="KRN1096" s="286"/>
      <c r="KRO1096" s="286"/>
      <c r="KRP1096" s="286"/>
      <c r="KRQ1096" s="286"/>
      <c r="KRR1096" s="286"/>
      <c r="KRS1096" s="286"/>
      <c r="KRT1096" s="286"/>
      <c r="KRU1096" s="286"/>
      <c r="KRV1096" s="286"/>
      <c r="KRW1096" s="286"/>
      <c r="KRX1096" s="286"/>
      <c r="KRY1096" s="286"/>
      <c r="KRZ1096" s="286"/>
      <c r="KSA1096" s="286"/>
      <c r="KSB1096" s="286"/>
      <c r="KSC1096" s="286"/>
      <c r="KSD1096" s="286"/>
      <c r="KSE1096" s="286"/>
      <c r="KSF1096" s="286"/>
      <c r="KSG1096" s="286"/>
      <c r="KSH1096" s="286"/>
      <c r="KSI1096" s="286"/>
      <c r="KSJ1096" s="286"/>
      <c r="KSK1096" s="286"/>
      <c r="KSL1096" s="286"/>
      <c r="KSM1096" s="286"/>
      <c r="KSN1096" s="286"/>
      <c r="KSO1096" s="286"/>
      <c r="KSP1096" s="286"/>
      <c r="KSQ1096" s="286"/>
      <c r="KSR1096" s="286"/>
      <c r="KSS1096" s="286"/>
      <c r="KST1096" s="286"/>
      <c r="KSU1096" s="286"/>
      <c r="KSV1096" s="286"/>
      <c r="KSW1096" s="286"/>
      <c r="KSX1096" s="286"/>
      <c r="KSY1096" s="286"/>
      <c r="KSZ1096" s="286"/>
      <c r="KTA1096" s="286"/>
      <c r="KTB1096" s="286"/>
      <c r="KTC1096" s="286"/>
      <c r="KTD1096" s="286"/>
      <c r="KTE1096" s="286"/>
      <c r="KTF1096" s="286"/>
      <c r="KTG1096" s="286"/>
      <c r="KTH1096" s="286"/>
      <c r="KTI1096" s="286"/>
      <c r="KTJ1096" s="286"/>
      <c r="KTK1096" s="286"/>
      <c r="KTL1096" s="286"/>
      <c r="KTM1096" s="286"/>
      <c r="KTN1096" s="286"/>
      <c r="KTO1096" s="286"/>
      <c r="KTP1096" s="286"/>
      <c r="KTQ1096" s="286"/>
      <c r="KTR1096" s="286"/>
      <c r="KTS1096" s="286"/>
      <c r="KTT1096" s="286"/>
      <c r="KTU1096" s="286"/>
      <c r="KTV1096" s="286"/>
      <c r="KTW1096" s="286"/>
      <c r="KTX1096" s="286"/>
      <c r="KTY1096" s="286"/>
      <c r="KTZ1096" s="286"/>
      <c r="KUA1096" s="286"/>
      <c r="KUB1096" s="286"/>
      <c r="KUC1096" s="286"/>
      <c r="KUD1096" s="286"/>
      <c r="KUE1096" s="286"/>
      <c r="KUF1096" s="286"/>
      <c r="KUG1096" s="286"/>
      <c r="KUH1096" s="286"/>
      <c r="KUI1096" s="286"/>
      <c r="KUJ1096" s="286"/>
      <c r="KUK1096" s="286"/>
      <c r="KUL1096" s="286"/>
      <c r="KUM1096" s="286"/>
      <c r="KUN1096" s="286"/>
      <c r="KUO1096" s="286"/>
      <c r="KUP1096" s="286"/>
      <c r="KUQ1096" s="286"/>
      <c r="KUR1096" s="286"/>
      <c r="KUS1096" s="286"/>
      <c r="KUT1096" s="286"/>
      <c r="KUU1096" s="286"/>
      <c r="KUV1096" s="286"/>
      <c r="KUW1096" s="286"/>
      <c r="KUX1096" s="286"/>
      <c r="KUY1096" s="286"/>
      <c r="KUZ1096" s="286"/>
      <c r="KVA1096" s="286"/>
      <c r="KVB1096" s="286"/>
      <c r="KVC1096" s="286"/>
      <c r="KVD1096" s="286"/>
      <c r="KVE1096" s="286"/>
      <c r="KVF1096" s="286"/>
      <c r="KVG1096" s="286"/>
      <c r="KVH1096" s="286"/>
      <c r="KVI1096" s="286"/>
      <c r="KVJ1096" s="286"/>
      <c r="KVK1096" s="286"/>
      <c r="KVL1096" s="286"/>
      <c r="KVM1096" s="286"/>
      <c r="KVN1096" s="286"/>
      <c r="KVO1096" s="286"/>
      <c r="KVP1096" s="286"/>
      <c r="KVQ1096" s="286"/>
      <c r="KVR1096" s="286"/>
      <c r="KVS1096" s="286"/>
      <c r="KVT1096" s="286"/>
      <c r="KVU1096" s="286"/>
      <c r="KVV1096" s="286"/>
      <c r="KVW1096" s="286"/>
      <c r="KVX1096" s="286"/>
      <c r="KVY1096" s="286"/>
      <c r="KVZ1096" s="286"/>
      <c r="KWA1096" s="286"/>
      <c r="KWB1096" s="286"/>
      <c r="KWC1096" s="286"/>
      <c r="KWD1096" s="286"/>
      <c r="KWE1096" s="286"/>
      <c r="KWF1096" s="286"/>
      <c r="KWG1096" s="286"/>
      <c r="KWH1096" s="286"/>
      <c r="KWI1096" s="286"/>
      <c r="KWJ1096" s="286"/>
      <c r="KWK1096" s="286"/>
      <c r="KWL1096" s="286"/>
      <c r="KWM1096" s="286"/>
      <c r="KWN1096" s="286"/>
      <c r="KWO1096" s="286"/>
      <c r="KWP1096" s="286"/>
      <c r="KWQ1096" s="286"/>
      <c r="KWR1096" s="286"/>
      <c r="KWS1096" s="286"/>
      <c r="KWT1096" s="286"/>
      <c r="KWU1096" s="286"/>
      <c r="KWV1096" s="286"/>
      <c r="KWW1096" s="286"/>
      <c r="KWX1096" s="286"/>
      <c r="KWY1096" s="286"/>
      <c r="KWZ1096" s="286"/>
      <c r="KXA1096" s="286"/>
      <c r="KXB1096" s="286"/>
      <c r="KXC1096" s="286"/>
      <c r="KXD1096" s="286"/>
      <c r="KXE1096" s="286"/>
      <c r="KXF1096" s="286"/>
      <c r="KXG1096" s="286"/>
      <c r="KXH1096" s="286"/>
      <c r="KXI1096" s="286"/>
      <c r="KXJ1096" s="286"/>
      <c r="KXK1096" s="286"/>
      <c r="KXL1096" s="286"/>
      <c r="KXM1096" s="286"/>
      <c r="KXN1096" s="286"/>
      <c r="KXO1096" s="286"/>
      <c r="KXP1096" s="286"/>
      <c r="KXQ1096" s="286"/>
      <c r="KXR1096" s="286"/>
      <c r="KXS1096" s="286"/>
      <c r="KXT1096" s="286"/>
      <c r="KXU1096" s="286"/>
      <c r="KXV1096" s="286"/>
      <c r="KXW1096" s="286"/>
      <c r="KXX1096" s="286"/>
      <c r="KXY1096" s="286"/>
      <c r="KXZ1096" s="286"/>
      <c r="KYA1096" s="286"/>
      <c r="KYB1096" s="286"/>
      <c r="KYC1096" s="286"/>
      <c r="KYD1096" s="286"/>
      <c r="KYE1096" s="286"/>
      <c r="KYF1096" s="286"/>
      <c r="KYG1096" s="286"/>
      <c r="KYH1096" s="286"/>
      <c r="KYI1096" s="286"/>
      <c r="KYJ1096" s="286"/>
      <c r="KYK1096" s="286"/>
      <c r="KYL1096" s="286"/>
      <c r="KYM1096" s="286"/>
      <c r="KYN1096" s="286"/>
      <c r="KYO1096" s="286"/>
      <c r="KYP1096" s="286"/>
      <c r="KYQ1096" s="286"/>
      <c r="KYR1096" s="286"/>
      <c r="KYS1096" s="286"/>
      <c r="KYT1096" s="286"/>
      <c r="KYU1096" s="286"/>
      <c r="KYV1096" s="286"/>
      <c r="KYW1096" s="286"/>
      <c r="KYX1096" s="286"/>
      <c r="KYY1096" s="286"/>
      <c r="KYZ1096" s="286"/>
      <c r="KZA1096" s="286"/>
      <c r="KZB1096" s="286"/>
      <c r="KZC1096" s="286"/>
      <c r="KZD1096" s="286"/>
      <c r="KZE1096" s="286"/>
      <c r="KZF1096" s="286"/>
      <c r="KZG1096" s="286"/>
      <c r="KZH1096" s="286"/>
      <c r="KZI1096" s="286"/>
      <c r="KZJ1096" s="286"/>
      <c r="KZK1096" s="286"/>
      <c r="KZL1096" s="286"/>
      <c r="KZM1096" s="286"/>
      <c r="KZN1096" s="286"/>
      <c r="KZO1096" s="286"/>
      <c r="KZP1096" s="286"/>
      <c r="KZQ1096" s="286"/>
      <c r="KZR1096" s="286"/>
      <c r="KZS1096" s="286"/>
      <c r="KZT1096" s="286"/>
      <c r="KZU1096" s="286"/>
      <c r="KZV1096" s="286"/>
      <c r="KZW1096" s="286"/>
      <c r="KZX1096" s="286"/>
      <c r="KZY1096" s="286"/>
      <c r="KZZ1096" s="286"/>
      <c r="LAA1096" s="286"/>
      <c r="LAB1096" s="286"/>
      <c r="LAC1096" s="286"/>
      <c r="LAD1096" s="286"/>
      <c r="LAE1096" s="286"/>
      <c r="LAF1096" s="286"/>
      <c r="LAG1096" s="286"/>
      <c r="LAH1096" s="286"/>
      <c r="LAI1096" s="286"/>
      <c r="LAJ1096" s="286"/>
      <c r="LAK1096" s="286"/>
      <c r="LAL1096" s="286"/>
      <c r="LAM1096" s="286"/>
      <c r="LAN1096" s="286"/>
      <c r="LAO1096" s="286"/>
      <c r="LAP1096" s="286"/>
      <c r="LAQ1096" s="286"/>
      <c r="LAR1096" s="286"/>
      <c r="LAS1096" s="286"/>
      <c r="LAT1096" s="286"/>
      <c r="LAU1096" s="286"/>
      <c r="LAV1096" s="286"/>
      <c r="LAW1096" s="286"/>
      <c r="LAX1096" s="286"/>
      <c r="LAY1096" s="286"/>
      <c r="LAZ1096" s="286"/>
      <c r="LBA1096" s="286"/>
      <c r="LBB1096" s="286"/>
      <c r="LBC1096" s="286"/>
      <c r="LBD1096" s="286"/>
      <c r="LBE1096" s="286"/>
      <c r="LBF1096" s="286"/>
      <c r="LBG1096" s="286"/>
      <c r="LBH1096" s="286"/>
      <c r="LBI1096" s="286"/>
      <c r="LBJ1096" s="286"/>
      <c r="LBK1096" s="286"/>
      <c r="LBL1096" s="286"/>
      <c r="LBM1096" s="286"/>
      <c r="LBN1096" s="286"/>
      <c r="LBO1096" s="286"/>
      <c r="LBP1096" s="286"/>
      <c r="LBQ1096" s="286"/>
      <c r="LBR1096" s="286"/>
      <c r="LBS1096" s="286"/>
      <c r="LBT1096" s="286"/>
      <c r="LBU1096" s="286"/>
      <c r="LBV1096" s="286"/>
      <c r="LBW1096" s="286"/>
      <c r="LBX1096" s="286"/>
      <c r="LBY1096" s="286"/>
      <c r="LBZ1096" s="286"/>
      <c r="LCA1096" s="286"/>
      <c r="LCB1096" s="286"/>
      <c r="LCC1096" s="286"/>
      <c r="LCD1096" s="286"/>
      <c r="LCE1096" s="286"/>
      <c r="LCF1096" s="286"/>
      <c r="LCG1096" s="286"/>
      <c r="LCH1096" s="286"/>
      <c r="LCI1096" s="286"/>
      <c r="LCJ1096" s="286"/>
      <c r="LCK1096" s="286"/>
      <c r="LCL1096" s="286"/>
      <c r="LCM1096" s="286"/>
      <c r="LCN1096" s="286"/>
      <c r="LCO1096" s="286"/>
      <c r="LCP1096" s="286"/>
      <c r="LCQ1096" s="286"/>
      <c r="LCR1096" s="286"/>
      <c r="LCS1096" s="286"/>
      <c r="LCT1096" s="286"/>
      <c r="LCU1096" s="286"/>
      <c r="LCV1096" s="286"/>
      <c r="LCW1096" s="286"/>
      <c r="LCX1096" s="286"/>
      <c r="LCY1096" s="286"/>
      <c r="LCZ1096" s="286"/>
      <c r="LDA1096" s="286"/>
      <c r="LDB1096" s="286"/>
      <c r="LDC1096" s="286"/>
      <c r="LDD1096" s="286"/>
      <c r="LDE1096" s="286"/>
      <c r="LDF1096" s="286"/>
      <c r="LDG1096" s="286"/>
      <c r="LDH1096" s="286"/>
      <c r="LDI1096" s="286"/>
      <c r="LDJ1096" s="286"/>
      <c r="LDK1096" s="286"/>
      <c r="LDL1096" s="286"/>
      <c r="LDM1096" s="286"/>
      <c r="LDN1096" s="286"/>
      <c r="LDO1096" s="286"/>
      <c r="LDP1096" s="286"/>
      <c r="LDQ1096" s="286"/>
      <c r="LDR1096" s="286"/>
      <c r="LDS1096" s="286"/>
      <c r="LDT1096" s="286"/>
      <c r="LDU1096" s="286"/>
      <c r="LDV1096" s="286"/>
      <c r="LDW1096" s="286"/>
      <c r="LDX1096" s="286"/>
      <c r="LDY1096" s="286"/>
      <c r="LDZ1096" s="286"/>
      <c r="LEA1096" s="286"/>
      <c r="LEB1096" s="286"/>
      <c r="LEC1096" s="286"/>
      <c r="LED1096" s="286"/>
      <c r="LEE1096" s="286"/>
      <c r="LEF1096" s="286"/>
      <c r="LEG1096" s="286"/>
      <c r="LEH1096" s="286"/>
      <c r="LEI1096" s="286"/>
      <c r="LEJ1096" s="286"/>
      <c r="LEK1096" s="286"/>
      <c r="LEL1096" s="286"/>
      <c r="LEM1096" s="286"/>
      <c r="LEN1096" s="286"/>
      <c r="LEO1096" s="286"/>
      <c r="LEP1096" s="286"/>
      <c r="LEQ1096" s="286"/>
      <c r="LER1096" s="286"/>
      <c r="LES1096" s="286"/>
      <c r="LET1096" s="286"/>
      <c r="LEU1096" s="286"/>
      <c r="LEV1096" s="286"/>
      <c r="LEW1096" s="286"/>
      <c r="LEX1096" s="286"/>
      <c r="LEY1096" s="286"/>
      <c r="LEZ1096" s="286"/>
      <c r="LFA1096" s="286"/>
      <c r="LFB1096" s="286"/>
      <c r="LFC1096" s="286"/>
      <c r="LFD1096" s="286"/>
      <c r="LFE1096" s="286"/>
      <c r="LFF1096" s="286"/>
      <c r="LFG1096" s="286"/>
      <c r="LFH1096" s="286"/>
      <c r="LFI1096" s="286"/>
      <c r="LFJ1096" s="286"/>
      <c r="LFK1096" s="286"/>
      <c r="LFL1096" s="286"/>
      <c r="LFM1096" s="286"/>
      <c r="LFN1096" s="286"/>
      <c r="LFO1096" s="286"/>
      <c r="LFP1096" s="286"/>
      <c r="LFQ1096" s="286"/>
      <c r="LFR1096" s="286"/>
      <c r="LFS1096" s="286"/>
      <c r="LFT1096" s="286"/>
      <c r="LFU1096" s="286"/>
      <c r="LFV1096" s="286"/>
      <c r="LFW1096" s="286"/>
      <c r="LFX1096" s="286"/>
      <c r="LFY1096" s="286"/>
      <c r="LFZ1096" s="286"/>
      <c r="LGA1096" s="286"/>
      <c r="LGB1096" s="286"/>
      <c r="LGC1096" s="286"/>
      <c r="LGD1096" s="286"/>
      <c r="LGE1096" s="286"/>
      <c r="LGF1096" s="286"/>
      <c r="LGG1096" s="286"/>
      <c r="LGH1096" s="286"/>
      <c r="LGI1096" s="286"/>
      <c r="LGJ1096" s="286"/>
      <c r="LGK1096" s="286"/>
      <c r="LGL1096" s="286"/>
      <c r="LGM1096" s="286"/>
      <c r="LGN1096" s="286"/>
      <c r="LGO1096" s="286"/>
      <c r="LGP1096" s="286"/>
      <c r="LGQ1096" s="286"/>
      <c r="LGR1096" s="286"/>
      <c r="LGS1096" s="286"/>
      <c r="LGT1096" s="286"/>
      <c r="LGU1096" s="286"/>
      <c r="LGV1096" s="286"/>
      <c r="LGW1096" s="286"/>
      <c r="LGX1096" s="286"/>
      <c r="LGY1096" s="286"/>
      <c r="LGZ1096" s="286"/>
      <c r="LHA1096" s="286"/>
      <c r="LHB1096" s="286"/>
      <c r="LHC1096" s="286"/>
      <c r="LHD1096" s="286"/>
      <c r="LHE1096" s="286"/>
      <c r="LHF1096" s="286"/>
      <c r="LHG1096" s="286"/>
      <c r="LHH1096" s="286"/>
      <c r="LHI1096" s="286"/>
      <c r="LHJ1096" s="286"/>
      <c r="LHK1096" s="286"/>
      <c r="LHL1096" s="286"/>
      <c r="LHM1096" s="286"/>
      <c r="LHN1096" s="286"/>
      <c r="LHO1096" s="286"/>
      <c r="LHP1096" s="286"/>
      <c r="LHQ1096" s="286"/>
      <c r="LHR1096" s="286"/>
      <c r="LHS1096" s="286"/>
      <c r="LHT1096" s="286"/>
      <c r="LHU1096" s="286"/>
      <c r="LHV1096" s="286"/>
      <c r="LHW1096" s="286"/>
      <c r="LHX1096" s="286"/>
      <c r="LHY1096" s="286"/>
      <c r="LHZ1096" s="286"/>
      <c r="LIA1096" s="286"/>
      <c r="LIB1096" s="286"/>
      <c r="LIC1096" s="286"/>
      <c r="LID1096" s="286"/>
      <c r="LIE1096" s="286"/>
      <c r="LIF1096" s="286"/>
      <c r="LIG1096" s="286"/>
      <c r="LIH1096" s="286"/>
      <c r="LII1096" s="286"/>
      <c r="LIJ1096" s="286"/>
      <c r="LIK1096" s="286"/>
      <c r="LIL1096" s="286"/>
      <c r="LIM1096" s="286"/>
      <c r="LIN1096" s="286"/>
      <c r="LIO1096" s="286"/>
      <c r="LIP1096" s="286"/>
      <c r="LIQ1096" s="286"/>
      <c r="LIR1096" s="286"/>
      <c r="LIS1096" s="286"/>
      <c r="LIT1096" s="286"/>
      <c r="LIU1096" s="286"/>
      <c r="LIV1096" s="286"/>
      <c r="LIW1096" s="286"/>
      <c r="LIX1096" s="286"/>
      <c r="LIY1096" s="286"/>
      <c r="LIZ1096" s="286"/>
      <c r="LJA1096" s="286"/>
      <c r="LJB1096" s="286"/>
      <c r="LJC1096" s="286"/>
      <c r="LJD1096" s="286"/>
      <c r="LJE1096" s="286"/>
      <c r="LJF1096" s="286"/>
      <c r="LJG1096" s="286"/>
      <c r="LJH1096" s="286"/>
      <c r="LJI1096" s="286"/>
      <c r="LJJ1096" s="286"/>
      <c r="LJK1096" s="286"/>
      <c r="LJL1096" s="286"/>
      <c r="LJM1096" s="286"/>
      <c r="LJN1096" s="286"/>
      <c r="LJO1096" s="286"/>
      <c r="LJP1096" s="286"/>
      <c r="LJQ1096" s="286"/>
      <c r="LJR1096" s="286"/>
      <c r="LJS1096" s="286"/>
      <c r="LJT1096" s="286"/>
      <c r="LJU1096" s="286"/>
      <c r="LJV1096" s="286"/>
      <c r="LJW1096" s="286"/>
      <c r="LJX1096" s="286"/>
      <c r="LJY1096" s="286"/>
      <c r="LJZ1096" s="286"/>
      <c r="LKA1096" s="286"/>
      <c r="LKB1096" s="286"/>
      <c r="LKC1096" s="286"/>
      <c r="LKD1096" s="286"/>
      <c r="LKE1096" s="286"/>
      <c r="LKF1096" s="286"/>
      <c r="LKG1096" s="286"/>
      <c r="LKH1096" s="286"/>
      <c r="LKI1096" s="286"/>
      <c r="LKJ1096" s="286"/>
      <c r="LKK1096" s="286"/>
      <c r="LKL1096" s="286"/>
      <c r="LKM1096" s="286"/>
      <c r="LKN1096" s="286"/>
      <c r="LKO1096" s="286"/>
      <c r="LKP1096" s="286"/>
      <c r="LKQ1096" s="286"/>
      <c r="LKR1096" s="286"/>
      <c r="LKS1096" s="286"/>
      <c r="LKT1096" s="286"/>
      <c r="LKU1096" s="286"/>
      <c r="LKV1096" s="286"/>
      <c r="LKW1096" s="286"/>
      <c r="LKX1096" s="286"/>
      <c r="LKY1096" s="286"/>
      <c r="LKZ1096" s="286"/>
      <c r="LLA1096" s="286"/>
      <c r="LLB1096" s="286"/>
      <c r="LLC1096" s="286"/>
      <c r="LLD1096" s="286"/>
      <c r="LLE1096" s="286"/>
      <c r="LLF1096" s="286"/>
      <c r="LLG1096" s="286"/>
      <c r="LLH1096" s="286"/>
      <c r="LLI1096" s="286"/>
      <c r="LLJ1096" s="286"/>
      <c r="LLK1096" s="286"/>
      <c r="LLL1096" s="286"/>
      <c r="LLM1096" s="286"/>
      <c r="LLN1096" s="286"/>
      <c r="LLO1096" s="286"/>
      <c r="LLP1096" s="286"/>
      <c r="LLQ1096" s="286"/>
      <c r="LLR1096" s="286"/>
      <c r="LLS1096" s="286"/>
      <c r="LLT1096" s="286"/>
      <c r="LLU1096" s="286"/>
      <c r="LLV1096" s="286"/>
      <c r="LLW1096" s="286"/>
      <c r="LLX1096" s="286"/>
      <c r="LLY1096" s="286"/>
      <c r="LLZ1096" s="286"/>
      <c r="LMA1096" s="286"/>
      <c r="LMB1096" s="286"/>
      <c r="LMC1096" s="286"/>
      <c r="LMD1096" s="286"/>
      <c r="LME1096" s="286"/>
      <c r="LMF1096" s="286"/>
      <c r="LMG1096" s="286"/>
      <c r="LMH1096" s="286"/>
      <c r="LMI1096" s="286"/>
      <c r="LMJ1096" s="286"/>
      <c r="LMK1096" s="286"/>
      <c r="LML1096" s="286"/>
      <c r="LMM1096" s="286"/>
      <c r="LMN1096" s="286"/>
      <c r="LMO1096" s="286"/>
      <c r="LMP1096" s="286"/>
      <c r="LMQ1096" s="286"/>
      <c r="LMR1096" s="286"/>
      <c r="LMS1096" s="286"/>
      <c r="LMT1096" s="286"/>
      <c r="LMU1096" s="286"/>
      <c r="LMV1096" s="286"/>
      <c r="LMW1096" s="286"/>
      <c r="LMX1096" s="286"/>
      <c r="LMY1096" s="286"/>
      <c r="LMZ1096" s="286"/>
      <c r="LNA1096" s="286"/>
      <c r="LNB1096" s="286"/>
      <c r="LNC1096" s="286"/>
      <c r="LND1096" s="286"/>
      <c r="LNE1096" s="286"/>
      <c r="LNF1096" s="286"/>
      <c r="LNG1096" s="286"/>
      <c r="LNH1096" s="286"/>
      <c r="LNI1096" s="286"/>
      <c r="LNJ1096" s="286"/>
      <c r="LNK1096" s="286"/>
      <c r="LNL1096" s="286"/>
      <c r="LNM1096" s="286"/>
      <c r="LNN1096" s="286"/>
      <c r="LNO1096" s="286"/>
      <c r="LNP1096" s="286"/>
      <c r="LNQ1096" s="286"/>
      <c r="LNR1096" s="286"/>
      <c r="LNS1096" s="286"/>
      <c r="LNT1096" s="286"/>
      <c r="LNU1096" s="286"/>
      <c r="LNV1096" s="286"/>
      <c r="LNW1096" s="286"/>
      <c r="LNX1096" s="286"/>
      <c r="LNY1096" s="286"/>
      <c r="LNZ1096" s="286"/>
      <c r="LOA1096" s="286"/>
      <c r="LOB1096" s="286"/>
      <c r="LOC1096" s="286"/>
      <c r="LOD1096" s="286"/>
      <c r="LOE1096" s="286"/>
      <c r="LOF1096" s="286"/>
      <c r="LOG1096" s="286"/>
      <c r="LOH1096" s="286"/>
      <c r="LOI1096" s="286"/>
      <c r="LOJ1096" s="286"/>
      <c r="LOK1096" s="286"/>
      <c r="LOL1096" s="286"/>
      <c r="LOM1096" s="286"/>
      <c r="LON1096" s="286"/>
      <c r="LOO1096" s="286"/>
      <c r="LOP1096" s="286"/>
      <c r="LOQ1096" s="286"/>
      <c r="LOR1096" s="286"/>
      <c r="LOS1096" s="286"/>
      <c r="LOT1096" s="286"/>
      <c r="LOU1096" s="286"/>
      <c r="LOV1096" s="286"/>
      <c r="LOW1096" s="286"/>
      <c r="LOX1096" s="286"/>
      <c r="LOY1096" s="286"/>
      <c r="LOZ1096" s="286"/>
      <c r="LPA1096" s="286"/>
      <c r="LPB1096" s="286"/>
      <c r="LPC1096" s="286"/>
      <c r="LPD1096" s="286"/>
      <c r="LPE1096" s="286"/>
      <c r="LPF1096" s="286"/>
      <c r="LPG1096" s="286"/>
      <c r="LPH1096" s="286"/>
      <c r="LPI1096" s="286"/>
      <c r="LPJ1096" s="286"/>
      <c r="LPK1096" s="286"/>
      <c r="LPL1096" s="286"/>
      <c r="LPM1096" s="286"/>
      <c r="LPN1096" s="286"/>
      <c r="LPO1096" s="286"/>
      <c r="LPP1096" s="286"/>
      <c r="LPQ1096" s="286"/>
      <c r="LPR1096" s="286"/>
      <c r="LPS1096" s="286"/>
      <c r="LPT1096" s="286"/>
      <c r="LPU1096" s="286"/>
      <c r="LPV1096" s="286"/>
      <c r="LPW1096" s="286"/>
      <c r="LPX1096" s="286"/>
      <c r="LPY1096" s="286"/>
      <c r="LPZ1096" s="286"/>
      <c r="LQA1096" s="286"/>
      <c r="LQB1096" s="286"/>
      <c r="LQC1096" s="286"/>
      <c r="LQD1096" s="286"/>
      <c r="LQE1096" s="286"/>
      <c r="LQF1096" s="286"/>
      <c r="LQG1096" s="286"/>
      <c r="LQH1096" s="286"/>
      <c r="LQI1096" s="286"/>
      <c r="LQJ1096" s="286"/>
      <c r="LQK1096" s="286"/>
      <c r="LQL1096" s="286"/>
      <c r="LQM1096" s="286"/>
      <c r="LQN1096" s="286"/>
      <c r="LQO1096" s="286"/>
      <c r="LQP1096" s="286"/>
      <c r="LQQ1096" s="286"/>
      <c r="LQR1096" s="286"/>
      <c r="LQS1096" s="286"/>
      <c r="LQT1096" s="286"/>
      <c r="LQU1096" s="286"/>
      <c r="LQV1096" s="286"/>
      <c r="LQW1096" s="286"/>
      <c r="LQX1096" s="286"/>
      <c r="LQY1096" s="286"/>
      <c r="LQZ1096" s="286"/>
      <c r="LRA1096" s="286"/>
      <c r="LRB1096" s="286"/>
      <c r="LRC1096" s="286"/>
      <c r="LRD1096" s="286"/>
      <c r="LRE1096" s="286"/>
      <c r="LRF1096" s="286"/>
      <c r="LRG1096" s="286"/>
      <c r="LRH1096" s="286"/>
      <c r="LRI1096" s="286"/>
      <c r="LRJ1096" s="286"/>
      <c r="LRK1096" s="286"/>
      <c r="LRL1096" s="286"/>
      <c r="LRM1096" s="286"/>
      <c r="LRN1096" s="286"/>
      <c r="LRO1096" s="286"/>
      <c r="LRP1096" s="286"/>
      <c r="LRQ1096" s="286"/>
      <c r="LRR1096" s="286"/>
      <c r="LRS1096" s="286"/>
      <c r="LRT1096" s="286"/>
      <c r="LRU1096" s="286"/>
      <c r="LRV1096" s="286"/>
      <c r="LRW1096" s="286"/>
      <c r="LRX1096" s="286"/>
      <c r="LRY1096" s="286"/>
      <c r="LRZ1096" s="286"/>
      <c r="LSA1096" s="286"/>
      <c r="LSB1096" s="286"/>
      <c r="LSC1096" s="286"/>
      <c r="LSD1096" s="286"/>
      <c r="LSE1096" s="286"/>
      <c r="LSF1096" s="286"/>
      <c r="LSG1096" s="286"/>
      <c r="LSH1096" s="286"/>
      <c r="LSI1096" s="286"/>
      <c r="LSJ1096" s="286"/>
      <c r="LSK1096" s="286"/>
      <c r="LSL1096" s="286"/>
      <c r="LSM1096" s="286"/>
      <c r="LSN1096" s="286"/>
      <c r="LSO1096" s="286"/>
      <c r="LSP1096" s="286"/>
      <c r="LSQ1096" s="286"/>
      <c r="LSR1096" s="286"/>
      <c r="LSS1096" s="286"/>
      <c r="LST1096" s="286"/>
      <c r="LSU1096" s="286"/>
      <c r="LSV1096" s="286"/>
      <c r="LSW1096" s="286"/>
      <c r="LSX1096" s="286"/>
      <c r="LSY1096" s="286"/>
      <c r="LSZ1096" s="286"/>
      <c r="LTA1096" s="286"/>
      <c r="LTB1096" s="286"/>
      <c r="LTC1096" s="286"/>
      <c r="LTD1096" s="286"/>
      <c r="LTE1096" s="286"/>
      <c r="LTF1096" s="286"/>
      <c r="LTG1096" s="286"/>
      <c r="LTH1096" s="286"/>
      <c r="LTI1096" s="286"/>
      <c r="LTJ1096" s="286"/>
      <c r="LTK1096" s="286"/>
      <c r="LTL1096" s="286"/>
      <c r="LTM1096" s="286"/>
      <c r="LTN1096" s="286"/>
      <c r="LTO1096" s="286"/>
      <c r="LTP1096" s="286"/>
      <c r="LTQ1096" s="286"/>
      <c r="LTR1096" s="286"/>
      <c r="LTS1096" s="286"/>
      <c r="LTT1096" s="286"/>
      <c r="LTU1096" s="286"/>
      <c r="LTV1096" s="286"/>
      <c r="LTW1096" s="286"/>
      <c r="LTX1096" s="286"/>
      <c r="LTY1096" s="286"/>
      <c r="LTZ1096" s="286"/>
      <c r="LUA1096" s="286"/>
      <c r="LUB1096" s="286"/>
      <c r="LUC1096" s="286"/>
      <c r="LUD1096" s="286"/>
      <c r="LUE1096" s="286"/>
      <c r="LUF1096" s="286"/>
      <c r="LUG1096" s="286"/>
      <c r="LUH1096" s="286"/>
      <c r="LUI1096" s="286"/>
      <c r="LUJ1096" s="286"/>
      <c r="LUK1096" s="286"/>
      <c r="LUL1096" s="286"/>
      <c r="LUM1096" s="286"/>
      <c r="LUN1096" s="286"/>
      <c r="LUO1096" s="286"/>
      <c r="LUP1096" s="286"/>
      <c r="LUQ1096" s="286"/>
      <c r="LUR1096" s="286"/>
      <c r="LUS1096" s="286"/>
      <c r="LUT1096" s="286"/>
      <c r="LUU1096" s="286"/>
      <c r="LUV1096" s="286"/>
      <c r="LUW1096" s="286"/>
      <c r="LUX1096" s="286"/>
      <c r="LUY1096" s="286"/>
      <c r="LUZ1096" s="286"/>
      <c r="LVA1096" s="286"/>
      <c r="LVB1096" s="286"/>
      <c r="LVC1096" s="286"/>
      <c r="LVD1096" s="286"/>
      <c r="LVE1096" s="286"/>
      <c r="LVF1096" s="286"/>
      <c r="LVG1096" s="286"/>
      <c r="LVH1096" s="286"/>
      <c r="LVI1096" s="286"/>
      <c r="LVJ1096" s="286"/>
      <c r="LVK1096" s="286"/>
      <c r="LVL1096" s="286"/>
      <c r="LVM1096" s="286"/>
      <c r="LVN1096" s="286"/>
      <c r="LVO1096" s="286"/>
      <c r="LVP1096" s="286"/>
      <c r="LVQ1096" s="286"/>
      <c r="LVR1096" s="286"/>
      <c r="LVS1096" s="286"/>
      <c r="LVT1096" s="286"/>
      <c r="LVU1096" s="286"/>
      <c r="LVV1096" s="286"/>
      <c r="LVW1096" s="286"/>
      <c r="LVX1096" s="286"/>
      <c r="LVY1096" s="286"/>
      <c r="LVZ1096" s="286"/>
      <c r="LWA1096" s="286"/>
      <c r="LWB1096" s="286"/>
      <c r="LWC1096" s="286"/>
      <c r="LWD1096" s="286"/>
      <c r="LWE1096" s="286"/>
      <c r="LWF1096" s="286"/>
      <c r="LWG1096" s="286"/>
      <c r="LWH1096" s="286"/>
      <c r="LWI1096" s="286"/>
      <c r="LWJ1096" s="286"/>
      <c r="LWK1096" s="286"/>
      <c r="LWL1096" s="286"/>
      <c r="LWM1096" s="286"/>
      <c r="LWN1096" s="286"/>
      <c r="LWO1096" s="286"/>
      <c r="LWP1096" s="286"/>
      <c r="LWQ1096" s="286"/>
      <c r="LWR1096" s="286"/>
      <c r="LWS1096" s="286"/>
      <c r="LWT1096" s="286"/>
      <c r="LWU1096" s="286"/>
      <c r="LWV1096" s="286"/>
      <c r="LWW1096" s="286"/>
      <c r="LWX1096" s="286"/>
      <c r="LWY1096" s="286"/>
      <c r="LWZ1096" s="286"/>
      <c r="LXA1096" s="286"/>
      <c r="LXB1096" s="286"/>
      <c r="LXC1096" s="286"/>
      <c r="LXD1096" s="286"/>
      <c r="LXE1096" s="286"/>
      <c r="LXF1096" s="286"/>
      <c r="LXG1096" s="286"/>
      <c r="LXH1096" s="286"/>
      <c r="LXI1096" s="286"/>
      <c r="LXJ1096" s="286"/>
      <c r="LXK1096" s="286"/>
      <c r="LXL1096" s="286"/>
      <c r="LXM1096" s="286"/>
      <c r="LXN1096" s="286"/>
      <c r="LXO1096" s="286"/>
      <c r="LXP1096" s="286"/>
      <c r="LXQ1096" s="286"/>
      <c r="LXR1096" s="286"/>
      <c r="LXS1096" s="286"/>
      <c r="LXT1096" s="286"/>
      <c r="LXU1096" s="286"/>
      <c r="LXV1096" s="286"/>
      <c r="LXW1096" s="286"/>
      <c r="LXX1096" s="286"/>
      <c r="LXY1096" s="286"/>
      <c r="LXZ1096" s="286"/>
      <c r="LYA1096" s="286"/>
      <c r="LYB1096" s="286"/>
      <c r="LYC1096" s="286"/>
      <c r="LYD1096" s="286"/>
      <c r="LYE1096" s="286"/>
      <c r="LYF1096" s="286"/>
      <c r="LYG1096" s="286"/>
      <c r="LYH1096" s="286"/>
      <c r="LYI1096" s="286"/>
      <c r="LYJ1096" s="286"/>
      <c r="LYK1096" s="286"/>
      <c r="LYL1096" s="286"/>
      <c r="LYM1096" s="286"/>
      <c r="LYN1096" s="286"/>
      <c r="LYO1096" s="286"/>
      <c r="LYP1096" s="286"/>
      <c r="LYQ1096" s="286"/>
      <c r="LYR1096" s="286"/>
      <c r="LYS1096" s="286"/>
      <c r="LYT1096" s="286"/>
      <c r="LYU1096" s="286"/>
      <c r="LYV1096" s="286"/>
      <c r="LYW1096" s="286"/>
      <c r="LYX1096" s="286"/>
      <c r="LYY1096" s="286"/>
      <c r="LYZ1096" s="286"/>
      <c r="LZA1096" s="286"/>
      <c r="LZB1096" s="286"/>
      <c r="LZC1096" s="286"/>
      <c r="LZD1096" s="286"/>
      <c r="LZE1096" s="286"/>
      <c r="LZF1096" s="286"/>
      <c r="LZG1096" s="286"/>
      <c r="LZH1096" s="286"/>
      <c r="LZI1096" s="286"/>
      <c r="LZJ1096" s="286"/>
      <c r="LZK1096" s="286"/>
      <c r="LZL1096" s="286"/>
      <c r="LZM1096" s="286"/>
      <c r="LZN1096" s="286"/>
      <c r="LZO1096" s="286"/>
      <c r="LZP1096" s="286"/>
      <c r="LZQ1096" s="286"/>
      <c r="LZR1096" s="286"/>
      <c r="LZS1096" s="286"/>
      <c r="LZT1096" s="286"/>
      <c r="LZU1096" s="286"/>
      <c r="LZV1096" s="286"/>
      <c r="LZW1096" s="286"/>
      <c r="LZX1096" s="286"/>
      <c r="LZY1096" s="286"/>
      <c r="LZZ1096" s="286"/>
      <c r="MAA1096" s="286"/>
      <c r="MAB1096" s="286"/>
      <c r="MAC1096" s="286"/>
      <c r="MAD1096" s="286"/>
      <c r="MAE1096" s="286"/>
      <c r="MAF1096" s="286"/>
      <c r="MAG1096" s="286"/>
      <c r="MAH1096" s="286"/>
      <c r="MAI1096" s="286"/>
      <c r="MAJ1096" s="286"/>
      <c r="MAK1096" s="286"/>
      <c r="MAL1096" s="286"/>
      <c r="MAM1096" s="286"/>
      <c r="MAN1096" s="286"/>
      <c r="MAO1096" s="286"/>
      <c r="MAP1096" s="286"/>
      <c r="MAQ1096" s="286"/>
      <c r="MAR1096" s="286"/>
      <c r="MAS1096" s="286"/>
      <c r="MAT1096" s="286"/>
      <c r="MAU1096" s="286"/>
      <c r="MAV1096" s="286"/>
      <c r="MAW1096" s="286"/>
      <c r="MAX1096" s="286"/>
      <c r="MAY1096" s="286"/>
      <c r="MAZ1096" s="286"/>
      <c r="MBA1096" s="286"/>
      <c r="MBB1096" s="286"/>
      <c r="MBC1096" s="286"/>
      <c r="MBD1096" s="286"/>
      <c r="MBE1096" s="286"/>
      <c r="MBF1096" s="286"/>
      <c r="MBG1096" s="286"/>
      <c r="MBH1096" s="286"/>
      <c r="MBI1096" s="286"/>
      <c r="MBJ1096" s="286"/>
      <c r="MBK1096" s="286"/>
      <c r="MBL1096" s="286"/>
      <c r="MBM1096" s="286"/>
      <c r="MBN1096" s="286"/>
      <c r="MBO1096" s="286"/>
      <c r="MBP1096" s="286"/>
      <c r="MBQ1096" s="286"/>
      <c r="MBR1096" s="286"/>
      <c r="MBS1096" s="286"/>
      <c r="MBT1096" s="286"/>
      <c r="MBU1096" s="286"/>
      <c r="MBV1096" s="286"/>
      <c r="MBW1096" s="286"/>
      <c r="MBX1096" s="286"/>
      <c r="MBY1096" s="286"/>
      <c r="MBZ1096" s="286"/>
      <c r="MCA1096" s="286"/>
      <c r="MCB1096" s="286"/>
      <c r="MCC1096" s="286"/>
      <c r="MCD1096" s="286"/>
      <c r="MCE1096" s="286"/>
      <c r="MCF1096" s="286"/>
      <c r="MCG1096" s="286"/>
      <c r="MCH1096" s="286"/>
      <c r="MCI1096" s="286"/>
      <c r="MCJ1096" s="286"/>
      <c r="MCK1096" s="286"/>
      <c r="MCL1096" s="286"/>
      <c r="MCM1096" s="286"/>
      <c r="MCN1096" s="286"/>
      <c r="MCO1096" s="286"/>
      <c r="MCP1096" s="286"/>
      <c r="MCQ1096" s="286"/>
      <c r="MCR1096" s="286"/>
      <c r="MCS1096" s="286"/>
      <c r="MCT1096" s="286"/>
      <c r="MCU1096" s="286"/>
      <c r="MCV1096" s="286"/>
      <c r="MCW1096" s="286"/>
      <c r="MCX1096" s="286"/>
      <c r="MCY1096" s="286"/>
      <c r="MCZ1096" s="286"/>
      <c r="MDA1096" s="286"/>
      <c r="MDB1096" s="286"/>
      <c r="MDC1096" s="286"/>
      <c r="MDD1096" s="286"/>
      <c r="MDE1096" s="286"/>
      <c r="MDF1096" s="286"/>
      <c r="MDG1096" s="286"/>
      <c r="MDH1096" s="286"/>
      <c r="MDI1096" s="286"/>
      <c r="MDJ1096" s="286"/>
      <c r="MDK1096" s="286"/>
      <c r="MDL1096" s="286"/>
      <c r="MDM1096" s="286"/>
      <c r="MDN1096" s="286"/>
      <c r="MDO1096" s="286"/>
      <c r="MDP1096" s="286"/>
      <c r="MDQ1096" s="286"/>
      <c r="MDR1096" s="286"/>
      <c r="MDS1096" s="286"/>
      <c r="MDT1096" s="286"/>
      <c r="MDU1096" s="286"/>
      <c r="MDV1096" s="286"/>
      <c r="MDW1096" s="286"/>
      <c r="MDX1096" s="286"/>
      <c r="MDY1096" s="286"/>
      <c r="MDZ1096" s="286"/>
      <c r="MEA1096" s="286"/>
      <c r="MEB1096" s="286"/>
      <c r="MEC1096" s="286"/>
      <c r="MED1096" s="286"/>
      <c r="MEE1096" s="286"/>
      <c r="MEF1096" s="286"/>
      <c r="MEG1096" s="286"/>
      <c r="MEH1096" s="286"/>
      <c r="MEI1096" s="286"/>
      <c r="MEJ1096" s="286"/>
      <c r="MEK1096" s="286"/>
      <c r="MEL1096" s="286"/>
      <c r="MEM1096" s="286"/>
      <c r="MEN1096" s="286"/>
      <c r="MEO1096" s="286"/>
      <c r="MEP1096" s="286"/>
      <c r="MEQ1096" s="286"/>
      <c r="MER1096" s="286"/>
      <c r="MES1096" s="286"/>
      <c r="MET1096" s="286"/>
      <c r="MEU1096" s="286"/>
      <c r="MEV1096" s="286"/>
      <c r="MEW1096" s="286"/>
      <c r="MEX1096" s="286"/>
      <c r="MEY1096" s="286"/>
      <c r="MEZ1096" s="286"/>
      <c r="MFA1096" s="286"/>
      <c r="MFB1096" s="286"/>
      <c r="MFC1096" s="286"/>
      <c r="MFD1096" s="286"/>
      <c r="MFE1096" s="286"/>
      <c r="MFF1096" s="286"/>
      <c r="MFG1096" s="286"/>
      <c r="MFH1096" s="286"/>
      <c r="MFI1096" s="286"/>
      <c r="MFJ1096" s="286"/>
      <c r="MFK1096" s="286"/>
      <c r="MFL1096" s="286"/>
      <c r="MFM1096" s="286"/>
      <c r="MFN1096" s="286"/>
      <c r="MFO1096" s="286"/>
      <c r="MFP1096" s="286"/>
      <c r="MFQ1096" s="286"/>
      <c r="MFR1096" s="286"/>
      <c r="MFS1096" s="286"/>
      <c r="MFT1096" s="286"/>
      <c r="MFU1096" s="286"/>
      <c r="MFV1096" s="286"/>
      <c r="MFW1096" s="286"/>
      <c r="MFX1096" s="286"/>
      <c r="MFY1096" s="286"/>
      <c r="MFZ1096" s="286"/>
      <c r="MGA1096" s="286"/>
      <c r="MGB1096" s="286"/>
      <c r="MGC1096" s="286"/>
      <c r="MGD1096" s="286"/>
      <c r="MGE1096" s="286"/>
      <c r="MGF1096" s="286"/>
      <c r="MGG1096" s="286"/>
      <c r="MGH1096" s="286"/>
      <c r="MGI1096" s="286"/>
      <c r="MGJ1096" s="286"/>
      <c r="MGK1096" s="286"/>
      <c r="MGL1096" s="286"/>
      <c r="MGM1096" s="286"/>
      <c r="MGN1096" s="286"/>
      <c r="MGO1096" s="286"/>
      <c r="MGP1096" s="286"/>
      <c r="MGQ1096" s="286"/>
      <c r="MGR1096" s="286"/>
      <c r="MGS1096" s="286"/>
      <c r="MGT1096" s="286"/>
      <c r="MGU1096" s="286"/>
      <c r="MGV1096" s="286"/>
      <c r="MGW1096" s="286"/>
      <c r="MGX1096" s="286"/>
      <c r="MGY1096" s="286"/>
      <c r="MGZ1096" s="286"/>
      <c r="MHA1096" s="286"/>
      <c r="MHB1096" s="286"/>
      <c r="MHC1096" s="286"/>
      <c r="MHD1096" s="286"/>
      <c r="MHE1096" s="286"/>
      <c r="MHF1096" s="286"/>
      <c r="MHG1096" s="286"/>
      <c r="MHH1096" s="286"/>
      <c r="MHI1096" s="286"/>
      <c r="MHJ1096" s="286"/>
      <c r="MHK1096" s="286"/>
      <c r="MHL1096" s="286"/>
      <c r="MHM1096" s="286"/>
      <c r="MHN1096" s="286"/>
      <c r="MHO1096" s="286"/>
      <c r="MHP1096" s="286"/>
      <c r="MHQ1096" s="286"/>
      <c r="MHR1096" s="286"/>
      <c r="MHS1096" s="286"/>
      <c r="MHT1096" s="286"/>
      <c r="MHU1096" s="286"/>
      <c r="MHV1096" s="286"/>
      <c r="MHW1096" s="286"/>
      <c r="MHX1096" s="286"/>
      <c r="MHY1096" s="286"/>
      <c r="MHZ1096" s="286"/>
      <c r="MIA1096" s="286"/>
      <c r="MIB1096" s="286"/>
      <c r="MIC1096" s="286"/>
      <c r="MID1096" s="286"/>
      <c r="MIE1096" s="286"/>
      <c r="MIF1096" s="286"/>
      <c r="MIG1096" s="286"/>
      <c r="MIH1096" s="286"/>
      <c r="MII1096" s="286"/>
      <c r="MIJ1096" s="286"/>
      <c r="MIK1096" s="286"/>
      <c r="MIL1096" s="286"/>
      <c r="MIM1096" s="286"/>
      <c r="MIN1096" s="286"/>
      <c r="MIO1096" s="286"/>
      <c r="MIP1096" s="286"/>
      <c r="MIQ1096" s="286"/>
      <c r="MIR1096" s="286"/>
      <c r="MIS1096" s="286"/>
      <c r="MIT1096" s="286"/>
      <c r="MIU1096" s="286"/>
      <c r="MIV1096" s="286"/>
      <c r="MIW1096" s="286"/>
      <c r="MIX1096" s="286"/>
      <c r="MIY1096" s="286"/>
      <c r="MIZ1096" s="286"/>
      <c r="MJA1096" s="286"/>
      <c r="MJB1096" s="286"/>
      <c r="MJC1096" s="286"/>
      <c r="MJD1096" s="286"/>
      <c r="MJE1096" s="286"/>
      <c r="MJF1096" s="286"/>
      <c r="MJG1096" s="286"/>
      <c r="MJH1096" s="286"/>
      <c r="MJI1096" s="286"/>
      <c r="MJJ1096" s="286"/>
      <c r="MJK1096" s="286"/>
      <c r="MJL1096" s="286"/>
      <c r="MJM1096" s="286"/>
      <c r="MJN1096" s="286"/>
      <c r="MJO1096" s="286"/>
      <c r="MJP1096" s="286"/>
      <c r="MJQ1096" s="286"/>
      <c r="MJR1096" s="286"/>
      <c r="MJS1096" s="286"/>
      <c r="MJT1096" s="286"/>
      <c r="MJU1096" s="286"/>
      <c r="MJV1096" s="286"/>
      <c r="MJW1096" s="286"/>
      <c r="MJX1096" s="286"/>
      <c r="MJY1096" s="286"/>
      <c r="MJZ1096" s="286"/>
      <c r="MKA1096" s="286"/>
      <c r="MKB1096" s="286"/>
      <c r="MKC1096" s="286"/>
      <c r="MKD1096" s="286"/>
      <c r="MKE1096" s="286"/>
      <c r="MKF1096" s="286"/>
      <c r="MKG1096" s="286"/>
      <c r="MKH1096" s="286"/>
      <c r="MKI1096" s="286"/>
      <c r="MKJ1096" s="286"/>
      <c r="MKK1096" s="286"/>
      <c r="MKL1096" s="286"/>
      <c r="MKM1096" s="286"/>
      <c r="MKN1096" s="286"/>
      <c r="MKO1096" s="286"/>
      <c r="MKP1096" s="286"/>
      <c r="MKQ1096" s="286"/>
      <c r="MKR1096" s="286"/>
      <c r="MKS1096" s="286"/>
      <c r="MKT1096" s="286"/>
      <c r="MKU1096" s="286"/>
      <c r="MKV1096" s="286"/>
      <c r="MKW1096" s="286"/>
      <c r="MKX1096" s="286"/>
      <c r="MKY1096" s="286"/>
      <c r="MKZ1096" s="286"/>
      <c r="MLA1096" s="286"/>
      <c r="MLB1096" s="286"/>
      <c r="MLC1096" s="286"/>
      <c r="MLD1096" s="286"/>
      <c r="MLE1096" s="286"/>
      <c r="MLF1096" s="286"/>
      <c r="MLG1096" s="286"/>
      <c r="MLH1096" s="286"/>
      <c r="MLI1096" s="286"/>
      <c r="MLJ1096" s="286"/>
      <c r="MLK1096" s="286"/>
      <c r="MLL1096" s="286"/>
      <c r="MLM1096" s="286"/>
      <c r="MLN1096" s="286"/>
      <c r="MLO1096" s="286"/>
      <c r="MLP1096" s="286"/>
      <c r="MLQ1096" s="286"/>
      <c r="MLR1096" s="286"/>
      <c r="MLS1096" s="286"/>
      <c r="MLT1096" s="286"/>
      <c r="MLU1096" s="286"/>
      <c r="MLV1096" s="286"/>
      <c r="MLW1096" s="286"/>
      <c r="MLX1096" s="286"/>
      <c r="MLY1096" s="286"/>
      <c r="MLZ1096" s="286"/>
      <c r="MMA1096" s="286"/>
      <c r="MMB1096" s="286"/>
      <c r="MMC1096" s="286"/>
      <c r="MMD1096" s="286"/>
      <c r="MME1096" s="286"/>
      <c r="MMF1096" s="286"/>
      <c r="MMG1096" s="286"/>
      <c r="MMH1096" s="286"/>
      <c r="MMI1096" s="286"/>
      <c r="MMJ1096" s="286"/>
      <c r="MMK1096" s="286"/>
      <c r="MML1096" s="286"/>
      <c r="MMM1096" s="286"/>
      <c r="MMN1096" s="286"/>
      <c r="MMO1096" s="286"/>
      <c r="MMP1096" s="286"/>
      <c r="MMQ1096" s="286"/>
      <c r="MMR1096" s="286"/>
      <c r="MMS1096" s="286"/>
      <c r="MMT1096" s="286"/>
      <c r="MMU1096" s="286"/>
      <c r="MMV1096" s="286"/>
      <c r="MMW1096" s="286"/>
      <c r="MMX1096" s="286"/>
      <c r="MMY1096" s="286"/>
      <c r="MMZ1096" s="286"/>
      <c r="MNA1096" s="286"/>
      <c r="MNB1096" s="286"/>
      <c r="MNC1096" s="286"/>
      <c r="MND1096" s="286"/>
      <c r="MNE1096" s="286"/>
      <c r="MNF1096" s="286"/>
      <c r="MNG1096" s="286"/>
      <c r="MNH1096" s="286"/>
      <c r="MNI1096" s="286"/>
      <c r="MNJ1096" s="286"/>
      <c r="MNK1096" s="286"/>
      <c r="MNL1096" s="286"/>
      <c r="MNM1096" s="286"/>
      <c r="MNN1096" s="286"/>
      <c r="MNO1096" s="286"/>
      <c r="MNP1096" s="286"/>
      <c r="MNQ1096" s="286"/>
      <c r="MNR1096" s="286"/>
      <c r="MNS1096" s="286"/>
      <c r="MNT1096" s="286"/>
      <c r="MNU1096" s="286"/>
      <c r="MNV1096" s="286"/>
      <c r="MNW1096" s="286"/>
      <c r="MNX1096" s="286"/>
      <c r="MNY1096" s="286"/>
      <c r="MNZ1096" s="286"/>
      <c r="MOA1096" s="286"/>
      <c r="MOB1096" s="286"/>
      <c r="MOC1096" s="286"/>
      <c r="MOD1096" s="286"/>
      <c r="MOE1096" s="286"/>
      <c r="MOF1096" s="286"/>
      <c r="MOG1096" s="286"/>
      <c r="MOH1096" s="286"/>
      <c r="MOI1096" s="286"/>
      <c r="MOJ1096" s="286"/>
      <c r="MOK1096" s="286"/>
      <c r="MOL1096" s="286"/>
      <c r="MOM1096" s="286"/>
      <c r="MON1096" s="286"/>
      <c r="MOO1096" s="286"/>
      <c r="MOP1096" s="286"/>
      <c r="MOQ1096" s="286"/>
      <c r="MOR1096" s="286"/>
      <c r="MOS1096" s="286"/>
      <c r="MOT1096" s="286"/>
      <c r="MOU1096" s="286"/>
      <c r="MOV1096" s="286"/>
      <c r="MOW1096" s="286"/>
      <c r="MOX1096" s="286"/>
      <c r="MOY1096" s="286"/>
      <c r="MOZ1096" s="286"/>
      <c r="MPA1096" s="286"/>
      <c r="MPB1096" s="286"/>
      <c r="MPC1096" s="286"/>
      <c r="MPD1096" s="286"/>
      <c r="MPE1096" s="286"/>
      <c r="MPF1096" s="286"/>
      <c r="MPG1096" s="286"/>
      <c r="MPH1096" s="286"/>
      <c r="MPI1096" s="286"/>
      <c r="MPJ1096" s="286"/>
      <c r="MPK1096" s="286"/>
      <c r="MPL1096" s="286"/>
      <c r="MPM1096" s="286"/>
      <c r="MPN1096" s="286"/>
      <c r="MPO1096" s="286"/>
      <c r="MPP1096" s="286"/>
      <c r="MPQ1096" s="286"/>
      <c r="MPR1096" s="286"/>
      <c r="MPS1096" s="286"/>
      <c r="MPT1096" s="286"/>
      <c r="MPU1096" s="286"/>
      <c r="MPV1096" s="286"/>
      <c r="MPW1096" s="286"/>
      <c r="MPX1096" s="286"/>
      <c r="MPY1096" s="286"/>
      <c r="MPZ1096" s="286"/>
      <c r="MQA1096" s="286"/>
      <c r="MQB1096" s="286"/>
      <c r="MQC1096" s="286"/>
      <c r="MQD1096" s="286"/>
      <c r="MQE1096" s="286"/>
      <c r="MQF1096" s="286"/>
      <c r="MQG1096" s="286"/>
      <c r="MQH1096" s="286"/>
      <c r="MQI1096" s="286"/>
      <c r="MQJ1096" s="286"/>
      <c r="MQK1096" s="286"/>
      <c r="MQL1096" s="286"/>
      <c r="MQM1096" s="286"/>
      <c r="MQN1096" s="286"/>
      <c r="MQO1096" s="286"/>
      <c r="MQP1096" s="286"/>
      <c r="MQQ1096" s="286"/>
      <c r="MQR1096" s="286"/>
      <c r="MQS1096" s="286"/>
      <c r="MQT1096" s="286"/>
      <c r="MQU1096" s="286"/>
      <c r="MQV1096" s="286"/>
      <c r="MQW1096" s="286"/>
      <c r="MQX1096" s="286"/>
      <c r="MQY1096" s="286"/>
      <c r="MQZ1096" s="286"/>
      <c r="MRA1096" s="286"/>
      <c r="MRB1096" s="286"/>
      <c r="MRC1096" s="286"/>
      <c r="MRD1096" s="286"/>
      <c r="MRE1096" s="286"/>
      <c r="MRF1096" s="286"/>
      <c r="MRG1096" s="286"/>
      <c r="MRH1096" s="286"/>
      <c r="MRI1096" s="286"/>
      <c r="MRJ1096" s="286"/>
      <c r="MRK1096" s="286"/>
      <c r="MRL1096" s="286"/>
      <c r="MRM1096" s="286"/>
      <c r="MRN1096" s="286"/>
      <c r="MRO1096" s="286"/>
      <c r="MRP1096" s="286"/>
      <c r="MRQ1096" s="286"/>
      <c r="MRR1096" s="286"/>
      <c r="MRS1096" s="286"/>
      <c r="MRT1096" s="286"/>
      <c r="MRU1096" s="286"/>
      <c r="MRV1096" s="286"/>
      <c r="MRW1096" s="286"/>
      <c r="MRX1096" s="286"/>
      <c r="MRY1096" s="286"/>
      <c r="MRZ1096" s="286"/>
      <c r="MSA1096" s="286"/>
      <c r="MSB1096" s="286"/>
      <c r="MSC1096" s="286"/>
      <c r="MSD1096" s="286"/>
      <c r="MSE1096" s="286"/>
      <c r="MSF1096" s="286"/>
      <c r="MSG1096" s="286"/>
      <c r="MSH1096" s="286"/>
      <c r="MSI1096" s="286"/>
      <c r="MSJ1096" s="286"/>
      <c r="MSK1096" s="286"/>
      <c r="MSL1096" s="286"/>
      <c r="MSM1096" s="286"/>
      <c r="MSN1096" s="286"/>
      <c r="MSO1096" s="286"/>
      <c r="MSP1096" s="286"/>
      <c r="MSQ1096" s="286"/>
      <c r="MSR1096" s="286"/>
      <c r="MSS1096" s="286"/>
      <c r="MST1096" s="286"/>
      <c r="MSU1096" s="286"/>
      <c r="MSV1096" s="286"/>
      <c r="MSW1096" s="286"/>
      <c r="MSX1096" s="286"/>
      <c r="MSY1096" s="286"/>
      <c r="MSZ1096" s="286"/>
      <c r="MTA1096" s="286"/>
      <c r="MTB1096" s="286"/>
      <c r="MTC1096" s="286"/>
      <c r="MTD1096" s="286"/>
      <c r="MTE1096" s="286"/>
      <c r="MTF1096" s="286"/>
      <c r="MTG1096" s="286"/>
      <c r="MTH1096" s="286"/>
      <c r="MTI1096" s="286"/>
      <c r="MTJ1096" s="286"/>
      <c r="MTK1096" s="286"/>
      <c r="MTL1096" s="286"/>
      <c r="MTM1096" s="286"/>
      <c r="MTN1096" s="286"/>
      <c r="MTO1096" s="286"/>
      <c r="MTP1096" s="286"/>
      <c r="MTQ1096" s="286"/>
      <c r="MTR1096" s="286"/>
      <c r="MTS1096" s="286"/>
      <c r="MTT1096" s="286"/>
      <c r="MTU1096" s="286"/>
      <c r="MTV1096" s="286"/>
      <c r="MTW1096" s="286"/>
      <c r="MTX1096" s="286"/>
      <c r="MTY1096" s="286"/>
      <c r="MTZ1096" s="286"/>
      <c r="MUA1096" s="286"/>
      <c r="MUB1096" s="286"/>
      <c r="MUC1096" s="286"/>
      <c r="MUD1096" s="286"/>
      <c r="MUE1096" s="286"/>
      <c r="MUF1096" s="286"/>
      <c r="MUG1096" s="286"/>
      <c r="MUH1096" s="286"/>
      <c r="MUI1096" s="286"/>
      <c r="MUJ1096" s="286"/>
      <c r="MUK1096" s="286"/>
      <c r="MUL1096" s="286"/>
      <c r="MUM1096" s="286"/>
      <c r="MUN1096" s="286"/>
      <c r="MUO1096" s="286"/>
      <c r="MUP1096" s="286"/>
      <c r="MUQ1096" s="286"/>
      <c r="MUR1096" s="286"/>
      <c r="MUS1096" s="286"/>
      <c r="MUT1096" s="286"/>
      <c r="MUU1096" s="286"/>
      <c r="MUV1096" s="286"/>
      <c r="MUW1096" s="286"/>
      <c r="MUX1096" s="286"/>
      <c r="MUY1096" s="286"/>
      <c r="MUZ1096" s="286"/>
      <c r="MVA1096" s="286"/>
      <c r="MVB1096" s="286"/>
      <c r="MVC1096" s="286"/>
      <c r="MVD1096" s="286"/>
      <c r="MVE1096" s="286"/>
      <c r="MVF1096" s="286"/>
      <c r="MVG1096" s="286"/>
      <c r="MVH1096" s="286"/>
      <c r="MVI1096" s="286"/>
      <c r="MVJ1096" s="286"/>
      <c r="MVK1096" s="286"/>
      <c r="MVL1096" s="286"/>
      <c r="MVM1096" s="286"/>
      <c r="MVN1096" s="286"/>
      <c r="MVO1096" s="286"/>
      <c r="MVP1096" s="286"/>
      <c r="MVQ1096" s="286"/>
      <c r="MVR1096" s="286"/>
      <c r="MVS1096" s="286"/>
      <c r="MVT1096" s="286"/>
      <c r="MVU1096" s="286"/>
      <c r="MVV1096" s="286"/>
      <c r="MVW1096" s="286"/>
      <c r="MVX1096" s="286"/>
      <c r="MVY1096" s="286"/>
      <c r="MVZ1096" s="286"/>
      <c r="MWA1096" s="286"/>
      <c r="MWB1096" s="286"/>
      <c r="MWC1096" s="286"/>
      <c r="MWD1096" s="286"/>
      <c r="MWE1096" s="286"/>
      <c r="MWF1096" s="286"/>
      <c r="MWG1096" s="286"/>
      <c r="MWH1096" s="286"/>
      <c r="MWI1096" s="286"/>
      <c r="MWJ1096" s="286"/>
      <c r="MWK1096" s="286"/>
      <c r="MWL1096" s="286"/>
      <c r="MWM1096" s="286"/>
      <c r="MWN1096" s="286"/>
      <c r="MWO1096" s="286"/>
      <c r="MWP1096" s="286"/>
      <c r="MWQ1096" s="286"/>
      <c r="MWR1096" s="286"/>
      <c r="MWS1096" s="286"/>
      <c r="MWT1096" s="286"/>
      <c r="MWU1096" s="286"/>
      <c r="MWV1096" s="286"/>
      <c r="MWW1096" s="286"/>
      <c r="MWX1096" s="286"/>
      <c r="MWY1096" s="286"/>
      <c r="MWZ1096" s="286"/>
      <c r="MXA1096" s="286"/>
      <c r="MXB1096" s="286"/>
      <c r="MXC1096" s="286"/>
      <c r="MXD1096" s="286"/>
      <c r="MXE1096" s="286"/>
      <c r="MXF1096" s="286"/>
      <c r="MXG1096" s="286"/>
      <c r="MXH1096" s="286"/>
      <c r="MXI1096" s="286"/>
      <c r="MXJ1096" s="286"/>
      <c r="MXK1096" s="286"/>
      <c r="MXL1096" s="286"/>
      <c r="MXM1096" s="286"/>
      <c r="MXN1096" s="286"/>
      <c r="MXO1096" s="286"/>
      <c r="MXP1096" s="286"/>
      <c r="MXQ1096" s="286"/>
      <c r="MXR1096" s="286"/>
      <c r="MXS1096" s="286"/>
      <c r="MXT1096" s="286"/>
      <c r="MXU1096" s="286"/>
      <c r="MXV1096" s="286"/>
      <c r="MXW1096" s="286"/>
      <c r="MXX1096" s="286"/>
      <c r="MXY1096" s="286"/>
      <c r="MXZ1096" s="286"/>
      <c r="MYA1096" s="286"/>
      <c r="MYB1096" s="286"/>
      <c r="MYC1096" s="286"/>
      <c r="MYD1096" s="286"/>
      <c r="MYE1096" s="286"/>
      <c r="MYF1096" s="286"/>
      <c r="MYG1096" s="286"/>
      <c r="MYH1096" s="286"/>
      <c r="MYI1096" s="286"/>
      <c r="MYJ1096" s="286"/>
      <c r="MYK1096" s="286"/>
      <c r="MYL1096" s="286"/>
      <c r="MYM1096" s="286"/>
      <c r="MYN1096" s="286"/>
      <c r="MYO1096" s="286"/>
      <c r="MYP1096" s="286"/>
      <c r="MYQ1096" s="286"/>
      <c r="MYR1096" s="286"/>
      <c r="MYS1096" s="286"/>
      <c r="MYT1096" s="286"/>
      <c r="MYU1096" s="286"/>
      <c r="MYV1096" s="286"/>
      <c r="MYW1096" s="286"/>
      <c r="MYX1096" s="286"/>
      <c r="MYY1096" s="286"/>
      <c r="MYZ1096" s="286"/>
      <c r="MZA1096" s="286"/>
      <c r="MZB1096" s="286"/>
      <c r="MZC1096" s="286"/>
      <c r="MZD1096" s="286"/>
      <c r="MZE1096" s="286"/>
      <c r="MZF1096" s="286"/>
      <c r="MZG1096" s="286"/>
      <c r="MZH1096" s="286"/>
      <c r="MZI1096" s="286"/>
      <c r="MZJ1096" s="286"/>
      <c r="MZK1096" s="286"/>
      <c r="MZL1096" s="286"/>
      <c r="MZM1096" s="286"/>
      <c r="MZN1096" s="286"/>
      <c r="MZO1096" s="286"/>
      <c r="MZP1096" s="286"/>
      <c r="MZQ1096" s="286"/>
      <c r="MZR1096" s="286"/>
      <c r="MZS1096" s="286"/>
      <c r="MZT1096" s="286"/>
      <c r="MZU1096" s="286"/>
      <c r="MZV1096" s="286"/>
      <c r="MZW1096" s="286"/>
      <c r="MZX1096" s="286"/>
      <c r="MZY1096" s="286"/>
      <c r="MZZ1096" s="286"/>
      <c r="NAA1096" s="286"/>
      <c r="NAB1096" s="286"/>
      <c r="NAC1096" s="286"/>
      <c r="NAD1096" s="286"/>
      <c r="NAE1096" s="286"/>
      <c r="NAF1096" s="286"/>
      <c r="NAG1096" s="286"/>
      <c r="NAH1096" s="286"/>
      <c r="NAI1096" s="286"/>
      <c r="NAJ1096" s="286"/>
      <c r="NAK1096" s="286"/>
      <c r="NAL1096" s="286"/>
      <c r="NAM1096" s="286"/>
      <c r="NAN1096" s="286"/>
      <c r="NAO1096" s="286"/>
      <c r="NAP1096" s="286"/>
      <c r="NAQ1096" s="286"/>
      <c r="NAR1096" s="286"/>
      <c r="NAS1096" s="286"/>
      <c r="NAT1096" s="286"/>
      <c r="NAU1096" s="286"/>
      <c r="NAV1096" s="286"/>
      <c r="NAW1096" s="286"/>
      <c r="NAX1096" s="286"/>
      <c r="NAY1096" s="286"/>
      <c r="NAZ1096" s="286"/>
      <c r="NBA1096" s="286"/>
      <c r="NBB1096" s="286"/>
      <c r="NBC1096" s="286"/>
      <c r="NBD1096" s="286"/>
      <c r="NBE1096" s="286"/>
      <c r="NBF1096" s="286"/>
      <c r="NBG1096" s="286"/>
      <c r="NBH1096" s="286"/>
      <c r="NBI1096" s="286"/>
      <c r="NBJ1096" s="286"/>
      <c r="NBK1096" s="286"/>
      <c r="NBL1096" s="286"/>
      <c r="NBM1096" s="286"/>
      <c r="NBN1096" s="286"/>
      <c r="NBO1096" s="286"/>
      <c r="NBP1096" s="286"/>
      <c r="NBQ1096" s="286"/>
      <c r="NBR1096" s="286"/>
      <c r="NBS1096" s="286"/>
      <c r="NBT1096" s="286"/>
      <c r="NBU1096" s="286"/>
      <c r="NBV1096" s="286"/>
      <c r="NBW1096" s="286"/>
      <c r="NBX1096" s="286"/>
      <c r="NBY1096" s="286"/>
      <c r="NBZ1096" s="286"/>
      <c r="NCA1096" s="286"/>
      <c r="NCB1096" s="286"/>
      <c r="NCC1096" s="286"/>
      <c r="NCD1096" s="286"/>
      <c r="NCE1096" s="286"/>
      <c r="NCF1096" s="286"/>
      <c r="NCG1096" s="286"/>
      <c r="NCH1096" s="286"/>
      <c r="NCI1096" s="286"/>
      <c r="NCJ1096" s="286"/>
      <c r="NCK1096" s="286"/>
      <c r="NCL1096" s="286"/>
      <c r="NCM1096" s="286"/>
      <c r="NCN1096" s="286"/>
      <c r="NCO1096" s="286"/>
      <c r="NCP1096" s="286"/>
      <c r="NCQ1096" s="286"/>
      <c r="NCR1096" s="286"/>
      <c r="NCS1096" s="286"/>
      <c r="NCT1096" s="286"/>
      <c r="NCU1096" s="286"/>
      <c r="NCV1096" s="286"/>
      <c r="NCW1096" s="286"/>
      <c r="NCX1096" s="286"/>
      <c r="NCY1096" s="286"/>
      <c r="NCZ1096" s="286"/>
      <c r="NDA1096" s="286"/>
      <c r="NDB1096" s="286"/>
      <c r="NDC1096" s="286"/>
      <c r="NDD1096" s="286"/>
      <c r="NDE1096" s="286"/>
      <c r="NDF1096" s="286"/>
      <c r="NDG1096" s="286"/>
      <c r="NDH1096" s="286"/>
      <c r="NDI1096" s="286"/>
      <c r="NDJ1096" s="286"/>
      <c r="NDK1096" s="286"/>
      <c r="NDL1096" s="286"/>
      <c r="NDM1096" s="286"/>
      <c r="NDN1096" s="286"/>
      <c r="NDO1096" s="286"/>
      <c r="NDP1096" s="286"/>
      <c r="NDQ1096" s="286"/>
      <c r="NDR1096" s="286"/>
      <c r="NDS1096" s="286"/>
      <c r="NDT1096" s="286"/>
      <c r="NDU1096" s="286"/>
      <c r="NDV1096" s="286"/>
      <c r="NDW1096" s="286"/>
      <c r="NDX1096" s="286"/>
      <c r="NDY1096" s="286"/>
      <c r="NDZ1096" s="286"/>
      <c r="NEA1096" s="286"/>
      <c r="NEB1096" s="286"/>
      <c r="NEC1096" s="286"/>
      <c r="NED1096" s="286"/>
      <c r="NEE1096" s="286"/>
      <c r="NEF1096" s="286"/>
      <c r="NEG1096" s="286"/>
      <c r="NEH1096" s="286"/>
      <c r="NEI1096" s="286"/>
      <c r="NEJ1096" s="286"/>
      <c r="NEK1096" s="286"/>
      <c r="NEL1096" s="286"/>
      <c r="NEM1096" s="286"/>
      <c r="NEN1096" s="286"/>
      <c r="NEO1096" s="286"/>
      <c r="NEP1096" s="286"/>
      <c r="NEQ1096" s="286"/>
      <c r="NER1096" s="286"/>
      <c r="NES1096" s="286"/>
      <c r="NET1096" s="286"/>
      <c r="NEU1096" s="286"/>
      <c r="NEV1096" s="286"/>
      <c r="NEW1096" s="286"/>
      <c r="NEX1096" s="286"/>
      <c r="NEY1096" s="286"/>
      <c r="NEZ1096" s="286"/>
      <c r="NFA1096" s="286"/>
      <c r="NFB1096" s="286"/>
      <c r="NFC1096" s="286"/>
      <c r="NFD1096" s="286"/>
      <c r="NFE1096" s="286"/>
      <c r="NFF1096" s="286"/>
      <c r="NFG1096" s="286"/>
      <c r="NFH1096" s="286"/>
      <c r="NFI1096" s="286"/>
      <c r="NFJ1096" s="286"/>
      <c r="NFK1096" s="286"/>
      <c r="NFL1096" s="286"/>
      <c r="NFM1096" s="286"/>
      <c r="NFN1096" s="286"/>
      <c r="NFO1096" s="286"/>
      <c r="NFP1096" s="286"/>
      <c r="NFQ1096" s="286"/>
      <c r="NFR1096" s="286"/>
      <c r="NFS1096" s="286"/>
      <c r="NFT1096" s="286"/>
      <c r="NFU1096" s="286"/>
      <c r="NFV1096" s="286"/>
      <c r="NFW1096" s="286"/>
      <c r="NFX1096" s="286"/>
      <c r="NFY1096" s="286"/>
      <c r="NFZ1096" s="286"/>
      <c r="NGA1096" s="286"/>
      <c r="NGB1096" s="286"/>
      <c r="NGC1096" s="286"/>
      <c r="NGD1096" s="286"/>
      <c r="NGE1096" s="286"/>
      <c r="NGF1096" s="286"/>
      <c r="NGG1096" s="286"/>
      <c r="NGH1096" s="286"/>
      <c r="NGI1096" s="286"/>
      <c r="NGJ1096" s="286"/>
      <c r="NGK1096" s="286"/>
      <c r="NGL1096" s="286"/>
      <c r="NGM1096" s="286"/>
      <c r="NGN1096" s="286"/>
      <c r="NGO1096" s="286"/>
      <c r="NGP1096" s="286"/>
      <c r="NGQ1096" s="286"/>
      <c r="NGR1096" s="286"/>
      <c r="NGS1096" s="286"/>
      <c r="NGT1096" s="286"/>
      <c r="NGU1096" s="286"/>
      <c r="NGV1096" s="286"/>
      <c r="NGW1096" s="286"/>
      <c r="NGX1096" s="286"/>
      <c r="NGY1096" s="286"/>
      <c r="NGZ1096" s="286"/>
      <c r="NHA1096" s="286"/>
      <c r="NHB1096" s="286"/>
      <c r="NHC1096" s="286"/>
      <c r="NHD1096" s="286"/>
      <c r="NHE1096" s="286"/>
      <c r="NHF1096" s="286"/>
      <c r="NHG1096" s="286"/>
      <c r="NHH1096" s="286"/>
      <c r="NHI1096" s="286"/>
      <c r="NHJ1096" s="286"/>
      <c r="NHK1096" s="286"/>
      <c r="NHL1096" s="286"/>
      <c r="NHM1096" s="286"/>
      <c r="NHN1096" s="286"/>
      <c r="NHO1096" s="286"/>
      <c r="NHP1096" s="286"/>
      <c r="NHQ1096" s="286"/>
      <c r="NHR1096" s="286"/>
      <c r="NHS1096" s="286"/>
      <c r="NHT1096" s="286"/>
      <c r="NHU1096" s="286"/>
      <c r="NHV1096" s="286"/>
      <c r="NHW1096" s="286"/>
      <c r="NHX1096" s="286"/>
      <c r="NHY1096" s="286"/>
      <c r="NHZ1096" s="286"/>
      <c r="NIA1096" s="286"/>
      <c r="NIB1096" s="286"/>
      <c r="NIC1096" s="286"/>
      <c r="NID1096" s="286"/>
      <c r="NIE1096" s="286"/>
      <c r="NIF1096" s="286"/>
      <c r="NIG1096" s="286"/>
      <c r="NIH1096" s="286"/>
      <c r="NII1096" s="286"/>
      <c r="NIJ1096" s="286"/>
      <c r="NIK1096" s="286"/>
      <c r="NIL1096" s="286"/>
      <c r="NIM1096" s="286"/>
      <c r="NIN1096" s="286"/>
      <c r="NIO1096" s="286"/>
      <c r="NIP1096" s="286"/>
      <c r="NIQ1096" s="286"/>
      <c r="NIR1096" s="286"/>
      <c r="NIS1096" s="286"/>
      <c r="NIT1096" s="286"/>
      <c r="NIU1096" s="286"/>
      <c r="NIV1096" s="286"/>
      <c r="NIW1096" s="286"/>
      <c r="NIX1096" s="286"/>
      <c r="NIY1096" s="286"/>
      <c r="NIZ1096" s="286"/>
      <c r="NJA1096" s="286"/>
      <c r="NJB1096" s="286"/>
      <c r="NJC1096" s="286"/>
      <c r="NJD1096" s="286"/>
      <c r="NJE1096" s="286"/>
      <c r="NJF1096" s="286"/>
      <c r="NJG1096" s="286"/>
      <c r="NJH1096" s="286"/>
      <c r="NJI1096" s="286"/>
      <c r="NJJ1096" s="286"/>
      <c r="NJK1096" s="286"/>
      <c r="NJL1096" s="286"/>
      <c r="NJM1096" s="286"/>
      <c r="NJN1096" s="286"/>
      <c r="NJO1096" s="286"/>
      <c r="NJP1096" s="286"/>
      <c r="NJQ1096" s="286"/>
      <c r="NJR1096" s="286"/>
      <c r="NJS1096" s="286"/>
      <c r="NJT1096" s="286"/>
      <c r="NJU1096" s="286"/>
      <c r="NJV1096" s="286"/>
      <c r="NJW1096" s="286"/>
      <c r="NJX1096" s="286"/>
      <c r="NJY1096" s="286"/>
      <c r="NJZ1096" s="286"/>
      <c r="NKA1096" s="286"/>
      <c r="NKB1096" s="286"/>
      <c r="NKC1096" s="286"/>
      <c r="NKD1096" s="286"/>
      <c r="NKE1096" s="286"/>
      <c r="NKF1096" s="286"/>
      <c r="NKG1096" s="286"/>
      <c r="NKH1096" s="286"/>
      <c r="NKI1096" s="286"/>
      <c r="NKJ1096" s="286"/>
      <c r="NKK1096" s="286"/>
      <c r="NKL1096" s="286"/>
      <c r="NKM1096" s="286"/>
      <c r="NKN1096" s="286"/>
      <c r="NKO1096" s="286"/>
      <c r="NKP1096" s="286"/>
      <c r="NKQ1096" s="286"/>
      <c r="NKR1096" s="286"/>
      <c r="NKS1096" s="286"/>
      <c r="NKT1096" s="286"/>
      <c r="NKU1096" s="286"/>
      <c r="NKV1096" s="286"/>
      <c r="NKW1096" s="286"/>
      <c r="NKX1096" s="286"/>
      <c r="NKY1096" s="286"/>
      <c r="NKZ1096" s="286"/>
      <c r="NLA1096" s="286"/>
      <c r="NLB1096" s="286"/>
      <c r="NLC1096" s="286"/>
      <c r="NLD1096" s="286"/>
      <c r="NLE1096" s="286"/>
      <c r="NLF1096" s="286"/>
      <c r="NLG1096" s="286"/>
      <c r="NLH1096" s="286"/>
      <c r="NLI1096" s="286"/>
      <c r="NLJ1096" s="286"/>
      <c r="NLK1096" s="286"/>
      <c r="NLL1096" s="286"/>
      <c r="NLM1096" s="286"/>
      <c r="NLN1096" s="286"/>
      <c r="NLO1096" s="286"/>
      <c r="NLP1096" s="286"/>
      <c r="NLQ1096" s="286"/>
      <c r="NLR1096" s="286"/>
      <c r="NLS1096" s="286"/>
      <c r="NLT1096" s="286"/>
      <c r="NLU1096" s="286"/>
      <c r="NLV1096" s="286"/>
      <c r="NLW1096" s="286"/>
      <c r="NLX1096" s="286"/>
      <c r="NLY1096" s="286"/>
      <c r="NLZ1096" s="286"/>
      <c r="NMA1096" s="286"/>
      <c r="NMB1096" s="286"/>
      <c r="NMC1096" s="286"/>
      <c r="NMD1096" s="286"/>
      <c r="NME1096" s="286"/>
      <c r="NMF1096" s="286"/>
      <c r="NMG1096" s="286"/>
      <c r="NMH1096" s="286"/>
      <c r="NMI1096" s="286"/>
      <c r="NMJ1096" s="286"/>
      <c r="NMK1096" s="286"/>
      <c r="NML1096" s="286"/>
      <c r="NMM1096" s="286"/>
      <c r="NMN1096" s="286"/>
      <c r="NMO1096" s="286"/>
      <c r="NMP1096" s="286"/>
      <c r="NMQ1096" s="286"/>
      <c r="NMR1096" s="286"/>
      <c r="NMS1096" s="286"/>
      <c r="NMT1096" s="286"/>
      <c r="NMU1096" s="286"/>
      <c r="NMV1096" s="286"/>
      <c r="NMW1096" s="286"/>
      <c r="NMX1096" s="286"/>
      <c r="NMY1096" s="286"/>
      <c r="NMZ1096" s="286"/>
      <c r="NNA1096" s="286"/>
      <c r="NNB1096" s="286"/>
      <c r="NNC1096" s="286"/>
      <c r="NND1096" s="286"/>
      <c r="NNE1096" s="286"/>
      <c r="NNF1096" s="286"/>
      <c r="NNG1096" s="286"/>
      <c r="NNH1096" s="286"/>
      <c r="NNI1096" s="286"/>
      <c r="NNJ1096" s="286"/>
      <c r="NNK1096" s="286"/>
      <c r="NNL1096" s="286"/>
      <c r="NNM1096" s="286"/>
      <c r="NNN1096" s="286"/>
      <c r="NNO1096" s="286"/>
      <c r="NNP1096" s="286"/>
      <c r="NNQ1096" s="286"/>
      <c r="NNR1096" s="286"/>
      <c r="NNS1096" s="286"/>
      <c r="NNT1096" s="286"/>
      <c r="NNU1096" s="286"/>
      <c r="NNV1096" s="286"/>
      <c r="NNW1096" s="286"/>
      <c r="NNX1096" s="286"/>
      <c r="NNY1096" s="286"/>
      <c r="NNZ1096" s="286"/>
      <c r="NOA1096" s="286"/>
      <c r="NOB1096" s="286"/>
      <c r="NOC1096" s="286"/>
      <c r="NOD1096" s="286"/>
      <c r="NOE1096" s="286"/>
      <c r="NOF1096" s="286"/>
      <c r="NOG1096" s="286"/>
      <c r="NOH1096" s="286"/>
      <c r="NOI1096" s="286"/>
      <c r="NOJ1096" s="286"/>
      <c r="NOK1096" s="286"/>
      <c r="NOL1096" s="286"/>
      <c r="NOM1096" s="286"/>
      <c r="NON1096" s="286"/>
      <c r="NOO1096" s="286"/>
      <c r="NOP1096" s="286"/>
      <c r="NOQ1096" s="286"/>
      <c r="NOR1096" s="286"/>
      <c r="NOS1096" s="286"/>
      <c r="NOT1096" s="286"/>
      <c r="NOU1096" s="286"/>
      <c r="NOV1096" s="286"/>
      <c r="NOW1096" s="286"/>
      <c r="NOX1096" s="286"/>
      <c r="NOY1096" s="286"/>
      <c r="NOZ1096" s="286"/>
      <c r="NPA1096" s="286"/>
      <c r="NPB1096" s="286"/>
      <c r="NPC1096" s="286"/>
      <c r="NPD1096" s="286"/>
      <c r="NPE1096" s="286"/>
      <c r="NPF1096" s="286"/>
      <c r="NPG1096" s="286"/>
      <c r="NPH1096" s="286"/>
      <c r="NPI1096" s="286"/>
      <c r="NPJ1096" s="286"/>
      <c r="NPK1096" s="286"/>
      <c r="NPL1096" s="286"/>
      <c r="NPM1096" s="286"/>
      <c r="NPN1096" s="286"/>
      <c r="NPO1096" s="286"/>
      <c r="NPP1096" s="286"/>
      <c r="NPQ1096" s="286"/>
      <c r="NPR1096" s="286"/>
      <c r="NPS1096" s="286"/>
      <c r="NPT1096" s="286"/>
      <c r="NPU1096" s="286"/>
      <c r="NPV1096" s="286"/>
      <c r="NPW1096" s="286"/>
      <c r="NPX1096" s="286"/>
      <c r="NPY1096" s="286"/>
      <c r="NPZ1096" s="286"/>
      <c r="NQA1096" s="286"/>
      <c r="NQB1096" s="286"/>
      <c r="NQC1096" s="286"/>
      <c r="NQD1096" s="286"/>
      <c r="NQE1096" s="286"/>
      <c r="NQF1096" s="286"/>
      <c r="NQG1096" s="286"/>
      <c r="NQH1096" s="286"/>
      <c r="NQI1096" s="286"/>
      <c r="NQJ1096" s="286"/>
      <c r="NQK1096" s="286"/>
      <c r="NQL1096" s="286"/>
      <c r="NQM1096" s="286"/>
      <c r="NQN1096" s="286"/>
      <c r="NQO1096" s="286"/>
      <c r="NQP1096" s="286"/>
      <c r="NQQ1096" s="286"/>
      <c r="NQR1096" s="286"/>
      <c r="NQS1096" s="286"/>
      <c r="NQT1096" s="286"/>
      <c r="NQU1096" s="286"/>
      <c r="NQV1096" s="286"/>
      <c r="NQW1096" s="286"/>
      <c r="NQX1096" s="286"/>
      <c r="NQY1096" s="286"/>
      <c r="NQZ1096" s="286"/>
      <c r="NRA1096" s="286"/>
      <c r="NRB1096" s="286"/>
      <c r="NRC1096" s="286"/>
      <c r="NRD1096" s="286"/>
      <c r="NRE1096" s="286"/>
      <c r="NRF1096" s="286"/>
      <c r="NRG1096" s="286"/>
      <c r="NRH1096" s="286"/>
      <c r="NRI1096" s="286"/>
      <c r="NRJ1096" s="286"/>
      <c r="NRK1096" s="286"/>
      <c r="NRL1096" s="286"/>
      <c r="NRM1096" s="286"/>
      <c r="NRN1096" s="286"/>
      <c r="NRO1096" s="286"/>
      <c r="NRP1096" s="286"/>
      <c r="NRQ1096" s="286"/>
      <c r="NRR1096" s="286"/>
      <c r="NRS1096" s="286"/>
      <c r="NRT1096" s="286"/>
      <c r="NRU1096" s="286"/>
      <c r="NRV1096" s="286"/>
      <c r="NRW1096" s="286"/>
      <c r="NRX1096" s="286"/>
      <c r="NRY1096" s="286"/>
      <c r="NRZ1096" s="286"/>
      <c r="NSA1096" s="286"/>
      <c r="NSB1096" s="286"/>
      <c r="NSC1096" s="286"/>
      <c r="NSD1096" s="286"/>
      <c r="NSE1096" s="286"/>
      <c r="NSF1096" s="286"/>
      <c r="NSG1096" s="286"/>
      <c r="NSH1096" s="286"/>
      <c r="NSI1096" s="286"/>
      <c r="NSJ1096" s="286"/>
      <c r="NSK1096" s="286"/>
      <c r="NSL1096" s="286"/>
      <c r="NSM1096" s="286"/>
      <c r="NSN1096" s="286"/>
      <c r="NSO1096" s="286"/>
      <c r="NSP1096" s="286"/>
      <c r="NSQ1096" s="286"/>
      <c r="NSR1096" s="286"/>
      <c r="NSS1096" s="286"/>
      <c r="NST1096" s="286"/>
      <c r="NSU1096" s="286"/>
      <c r="NSV1096" s="286"/>
      <c r="NSW1096" s="286"/>
      <c r="NSX1096" s="286"/>
      <c r="NSY1096" s="286"/>
      <c r="NSZ1096" s="286"/>
      <c r="NTA1096" s="286"/>
      <c r="NTB1096" s="286"/>
      <c r="NTC1096" s="286"/>
      <c r="NTD1096" s="286"/>
      <c r="NTE1096" s="286"/>
      <c r="NTF1096" s="286"/>
      <c r="NTG1096" s="286"/>
      <c r="NTH1096" s="286"/>
      <c r="NTI1096" s="286"/>
      <c r="NTJ1096" s="286"/>
      <c r="NTK1096" s="286"/>
      <c r="NTL1096" s="286"/>
      <c r="NTM1096" s="286"/>
      <c r="NTN1096" s="286"/>
      <c r="NTO1096" s="286"/>
      <c r="NTP1096" s="286"/>
      <c r="NTQ1096" s="286"/>
      <c r="NTR1096" s="286"/>
      <c r="NTS1096" s="286"/>
      <c r="NTT1096" s="286"/>
      <c r="NTU1096" s="286"/>
      <c r="NTV1096" s="286"/>
      <c r="NTW1096" s="286"/>
      <c r="NTX1096" s="286"/>
      <c r="NTY1096" s="286"/>
      <c r="NTZ1096" s="286"/>
      <c r="NUA1096" s="286"/>
      <c r="NUB1096" s="286"/>
      <c r="NUC1096" s="286"/>
      <c r="NUD1096" s="286"/>
      <c r="NUE1096" s="286"/>
      <c r="NUF1096" s="286"/>
      <c r="NUG1096" s="286"/>
      <c r="NUH1096" s="286"/>
      <c r="NUI1096" s="286"/>
      <c r="NUJ1096" s="286"/>
      <c r="NUK1096" s="286"/>
      <c r="NUL1096" s="286"/>
      <c r="NUM1096" s="286"/>
      <c r="NUN1096" s="286"/>
      <c r="NUO1096" s="286"/>
      <c r="NUP1096" s="286"/>
      <c r="NUQ1096" s="286"/>
      <c r="NUR1096" s="286"/>
      <c r="NUS1096" s="286"/>
      <c r="NUT1096" s="286"/>
      <c r="NUU1096" s="286"/>
      <c r="NUV1096" s="286"/>
      <c r="NUW1096" s="286"/>
      <c r="NUX1096" s="286"/>
      <c r="NUY1096" s="286"/>
      <c r="NUZ1096" s="286"/>
      <c r="NVA1096" s="286"/>
      <c r="NVB1096" s="286"/>
      <c r="NVC1096" s="286"/>
      <c r="NVD1096" s="286"/>
      <c r="NVE1096" s="286"/>
      <c r="NVF1096" s="286"/>
      <c r="NVG1096" s="286"/>
      <c r="NVH1096" s="286"/>
      <c r="NVI1096" s="286"/>
      <c r="NVJ1096" s="286"/>
      <c r="NVK1096" s="286"/>
      <c r="NVL1096" s="286"/>
      <c r="NVM1096" s="286"/>
      <c r="NVN1096" s="286"/>
      <c r="NVO1096" s="286"/>
      <c r="NVP1096" s="286"/>
      <c r="NVQ1096" s="286"/>
      <c r="NVR1096" s="286"/>
      <c r="NVS1096" s="286"/>
      <c r="NVT1096" s="286"/>
      <c r="NVU1096" s="286"/>
      <c r="NVV1096" s="286"/>
      <c r="NVW1096" s="286"/>
      <c r="NVX1096" s="286"/>
      <c r="NVY1096" s="286"/>
      <c r="NVZ1096" s="286"/>
      <c r="NWA1096" s="286"/>
      <c r="NWB1096" s="286"/>
      <c r="NWC1096" s="286"/>
      <c r="NWD1096" s="286"/>
      <c r="NWE1096" s="286"/>
      <c r="NWF1096" s="286"/>
      <c r="NWG1096" s="286"/>
      <c r="NWH1096" s="286"/>
      <c r="NWI1096" s="286"/>
      <c r="NWJ1096" s="286"/>
      <c r="NWK1096" s="286"/>
      <c r="NWL1096" s="286"/>
      <c r="NWM1096" s="286"/>
      <c r="NWN1096" s="286"/>
      <c r="NWO1096" s="286"/>
      <c r="NWP1096" s="286"/>
      <c r="NWQ1096" s="286"/>
      <c r="NWR1096" s="286"/>
      <c r="NWS1096" s="286"/>
      <c r="NWT1096" s="286"/>
      <c r="NWU1096" s="286"/>
      <c r="NWV1096" s="286"/>
      <c r="NWW1096" s="286"/>
      <c r="NWX1096" s="286"/>
      <c r="NWY1096" s="286"/>
      <c r="NWZ1096" s="286"/>
      <c r="NXA1096" s="286"/>
      <c r="NXB1096" s="286"/>
      <c r="NXC1096" s="286"/>
      <c r="NXD1096" s="286"/>
      <c r="NXE1096" s="286"/>
      <c r="NXF1096" s="286"/>
      <c r="NXG1096" s="286"/>
      <c r="NXH1096" s="286"/>
      <c r="NXI1096" s="286"/>
      <c r="NXJ1096" s="286"/>
      <c r="NXK1096" s="286"/>
      <c r="NXL1096" s="286"/>
      <c r="NXM1096" s="286"/>
      <c r="NXN1096" s="286"/>
      <c r="NXO1096" s="286"/>
      <c r="NXP1096" s="286"/>
      <c r="NXQ1096" s="286"/>
      <c r="NXR1096" s="286"/>
      <c r="NXS1096" s="286"/>
      <c r="NXT1096" s="286"/>
      <c r="NXU1096" s="286"/>
      <c r="NXV1096" s="286"/>
      <c r="NXW1096" s="286"/>
      <c r="NXX1096" s="286"/>
      <c r="NXY1096" s="286"/>
      <c r="NXZ1096" s="286"/>
      <c r="NYA1096" s="286"/>
      <c r="NYB1096" s="286"/>
      <c r="NYC1096" s="286"/>
      <c r="NYD1096" s="286"/>
      <c r="NYE1096" s="286"/>
      <c r="NYF1096" s="286"/>
      <c r="NYG1096" s="286"/>
      <c r="NYH1096" s="286"/>
      <c r="NYI1096" s="286"/>
      <c r="NYJ1096" s="286"/>
      <c r="NYK1096" s="286"/>
      <c r="NYL1096" s="286"/>
      <c r="NYM1096" s="286"/>
      <c r="NYN1096" s="286"/>
      <c r="NYO1096" s="286"/>
      <c r="NYP1096" s="286"/>
      <c r="NYQ1096" s="286"/>
      <c r="NYR1096" s="286"/>
      <c r="NYS1096" s="286"/>
      <c r="NYT1096" s="286"/>
      <c r="NYU1096" s="286"/>
      <c r="NYV1096" s="286"/>
      <c r="NYW1096" s="286"/>
      <c r="NYX1096" s="286"/>
      <c r="NYY1096" s="286"/>
      <c r="NYZ1096" s="286"/>
      <c r="NZA1096" s="286"/>
      <c r="NZB1096" s="286"/>
      <c r="NZC1096" s="286"/>
      <c r="NZD1096" s="286"/>
      <c r="NZE1096" s="286"/>
      <c r="NZF1096" s="286"/>
      <c r="NZG1096" s="286"/>
      <c r="NZH1096" s="286"/>
      <c r="NZI1096" s="286"/>
      <c r="NZJ1096" s="286"/>
      <c r="NZK1096" s="286"/>
      <c r="NZL1096" s="286"/>
      <c r="NZM1096" s="286"/>
      <c r="NZN1096" s="286"/>
      <c r="NZO1096" s="286"/>
      <c r="NZP1096" s="286"/>
      <c r="NZQ1096" s="286"/>
      <c r="NZR1096" s="286"/>
      <c r="NZS1096" s="286"/>
      <c r="NZT1096" s="286"/>
      <c r="NZU1096" s="286"/>
      <c r="NZV1096" s="286"/>
      <c r="NZW1096" s="286"/>
      <c r="NZX1096" s="286"/>
      <c r="NZY1096" s="286"/>
      <c r="NZZ1096" s="286"/>
      <c r="OAA1096" s="286"/>
      <c r="OAB1096" s="286"/>
      <c r="OAC1096" s="286"/>
      <c r="OAD1096" s="286"/>
      <c r="OAE1096" s="286"/>
      <c r="OAF1096" s="286"/>
      <c r="OAG1096" s="286"/>
      <c r="OAH1096" s="286"/>
      <c r="OAI1096" s="286"/>
      <c r="OAJ1096" s="286"/>
      <c r="OAK1096" s="286"/>
      <c r="OAL1096" s="286"/>
      <c r="OAM1096" s="286"/>
      <c r="OAN1096" s="286"/>
      <c r="OAO1096" s="286"/>
      <c r="OAP1096" s="286"/>
      <c r="OAQ1096" s="286"/>
      <c r="OAR1096" s="286"/>
      <c r="OAS1096" s="286"/>
      <c r="OAT1096" s="286"/>
      <c r="OAU1096" s="286"/>
      <c r="OAV1096" s="286"/>
      <c r="OAW1096" s="286"/>
      <c r="OAX1096" s="286"/>
      <c r="OAY1096" s="286"/>
      <c r="OAZ1096" s="286"/>
      <c r="OBA1096" s="286"/>
      <c r="OBB1096" s="286"/>
      <c r="OBC1096" s="286"/>
      <c r="OBD1096" s="286"/>
      <c r="OBE1096" s="286"/>
      <c r="OBF1096" s="286"/>
      <c r="OBG1096" s="286"/>
      <c r="OBH1096" s="286"/>
      <c r="OBI1096" s="286"/>
      <c r="OBJ1096" s="286"/>
      <c r="OBK1096" s="286"/>
      <c r="OBL1096" s="286"/>
      <c r="OBM1096" s="286"/>
      <c r="OBN1096" s="286"/>
      <c r="OBO1096" s="286"/>
      <c r="OBP1096" s="286"/>
      <c r="OBQ1096" s="286"/>
      <c r="OBR1096" s="286"/>
      <c r="OBS1096" s="286"/>
      <c r="OBT1096" s="286"/>
      <c r="OBU1096" s="286"/>
      <c r="OBV1096" s="286"/>
      <c r="OBW1096" s="286"/>
      <c r="OBX1096" s="286"/>
      <c r="OBY1096" s="286"/>
      <c r="OBZ1096" s="286"/>
      <c r="OCA1096" s="286"/>
      <c r="OCB1096" s="286"/>
      <c r="OCC1096" s="286"/>
      <c r="OCD1096" s="286"/>
      <c r="OCE1096" s="286"/>
      <c r="OCF1096" s="286"/>
      <c r="OCG1096" s="286"/>
      <c r="OCH1096" s="286"/>
      <c r="OCI1096" s="286"/>
      <c r="OCJ1096" s="286"/>
      <c r="OCK1096" s="286"/>
      <c r="OCL1096" s="286"/>
      <c r="OCM1096" s="286"/>
      <c r="OCN1096" s="286"/>
      <c r="OCO1096" s="286"/>
      <c r="OCP1096" s="286"/>
      <c r="OCQ1096" s="286"/>
      <c r="OCR1096" s="286"/>
      <c r="OCS1096" s="286"/>
      <c r="OCT1096" s="286"/>
      <c r="OCU1096" s="286"/>
      <c r="OCV1096" s="286"/>
      <c r="OCW1096" s="286"/>
      <c r="OCX1096" s="286"/>
      <c r="OCY1096" s="286"/>
      <c r="OCZ1096" s="286"/>
      <c r="ODA1096" s="286"/>
      <c r="ODB1096" s="286"/>
      <c r="ODC1096" s="286"/>
      <c r="ODD1096" s="286"/>
      <c r="ODE1096" s="286"/>
      <c r="ODF1096" s="286"/>
      <c r="ODG1096" s="286"/>
      <c r="ODH1096" s="286"/>
      <c r="ODI1096" s="286"/>
      <c r="ODJ1096" s="286"/>
      <c r="ODK1096" s="286"/>
      <c r="ODL1096" s="286"/>
      <c r="ODM1096" s="286"/>
      <c r="ODN1096" s="286"/>
      <c r="ODO1096" s="286"/>
      <c r="ODP1096" s="286"/>
      <c r="ODQ1096" s="286"/>
      <c r="ODR1096" s="286"/>
      <c r="ODS1096" s="286"/>
      <c r="ODT1096" s="286"/>
      <c r="ODU1096" s="286"/>
      <c r="ODV1096" s="286"/>
      <c r="ODW1096" s="286"/>
      <c r="ODX1096" s="286"/>
      <c r="ODY1096" s="286"/>
      <c r="ODZ1096" s="286"/>
      <c r="OEA1096" s="286"/>
      <c r="OEB1096" s="286"/>
      <c r="OEC1096" s="286"/>
      <c r="OED1096" s="286"/>
      <c r="OEE1096" s="286"/>
      <c r="OEF1096" s="286"/>
      <c r="OEG1096" s="286"/>
      <c r="OEH1096" s="286"/>
      <c r="OEI1096" s="286"/>
      <c r="OEJ1096" s="286"/>
      <c r="OEK1096" s="286"/>
      <c r="OEL1096" s="286"/>
      <c r="OEM1096" s="286"/>
      <c r="OEN1096" s="286"/>
      <c r="OEO1096" s="286"/>
      <c r="OEP1096" s="286"/>
      <c r="OEQ1096" s="286"/>
      <c r="OER1096" s="286"/>
      <c r="OES1096" s="286"/>
      <c r="OET1096" s="286"/>
      <c r="OEU1096" s="286"/>
      <c r="OEV1096" s="286"/>
      <c r="OEW1096" s="286"/>
      <c r="OEX1096" s="286"/>
      <c r="OEY1096" s="286"/>
      <c r="OEZ1096" s="286"/>
      <c r="OFA1096" s="286"/>
      <c r="OFB1096" s="286"/>
      <c r="OFC1096" s="286"/>
      <c r="OFD1096" s="286"/>
      <c r="OFE1096" s="286"/>
      <c r="OFF1096" s="286"/>
      <c r="OFG1096" s="286"/>
      <c r="OFH1096" s="286"/>
      <c r="OFI1096" s="286"/>
      <c r="OFJ1096" s="286"/>
      <c r="OFK1096" s="286"/>
      <c r="OFL1096" s="286"/>
      <c r="OFM1096" s="286"/>
      <c r="OFN1096" s="286"/>
      <c r="OFO1096" s="286"/>
      <c r="OFP1096" s="286"/>
      <c r="OFQ1096" s="286"/>
      <c r="OFR1096" s="286"/>
      <c r="OFS1096" s="286"/>
      <c r="OFT1096" s="286"/>
      <c r="OFU1096" s="286"/>
      <c r="OFV1096" s="286"/>
      <c r="OFW1096" s="286"/>
      <c r="OFX1096" s="286"/>
      <c r="OFY1096" s="286"/>
      <c r="OFZ1096" s="286"/>
      <c r="OGA1096" s="286"/>
      <c r="OGB1096" s="286"/>
      <c r="OGC1096" s="286"/>
      <c r="OGD1096" s="286"/>
      <c r="OGE1096" s="286"/>
      <c r="OGF1096" s="286"/>
      <c r="OGG1096" s="286"/>
      <c r="OGH1096" s="286"/>
      <c r="OGI1096" s="286"/>
      <c r="OGJ1096" s="286"/>
      <c r="OGK1096" s="286"/>
      <c r="OGL1096" s="286"/>
      <c r="OGM1096" s="286"/>
      <c r="OGN1096" s="286"/>
      <c r="OGO1096" s="286"/>
      <c r="OGP1096" s="286"/>
      <c r="OGQ1096" s="286"/>
      <c r="OGR1096" s="286"/>
      <c r="OGS1096" s="286"/>
      <c r="OGT1096" s="286"/>
      <c r="OGU1096" s="286"/>
      <c r="OGV1096" s="286"/>
      <c r="OGW1096" s="286"/>
      <c r="OGX1096" s="286"/>
      <c r="OGY1096" s="286"/>
      <c r="OGZ1096" s="286"/>
      <c r="OHA1096" s="286"/>
      <c r="OHB1096" s="286"/>
      <c r="OHC1096" s="286"/>
      <c r="OHD1096" s="286"/>
      <c r="OHE1096" s="286"/>
      <c r="OHF1096" s="286"/>
      <c r="OHG1096" s="286"/>
      <c r="OHH1096" s="286"/>
      <c r="OHI1096" s="286"/>
      <c r="OHJ1096" s="286"/>
      <c r="OHK1096" s="286"/>
      <c r="OHL1096" s="286"/>
      <c r="OHM1096" s="286"/>
      <c r="OHN1096" s="286"/>
      <c r="OHO1096" s="286"/>
      <c r="OHP1096" s="286"/>
      <c r="OHQ1096" s="286"/>
      <c r="OHR1096" s="286"/>
      <c r="OHS1096" s="286"/>
      <c r="OHT1096" s="286"/>
      <c r="OHU1096" s="286"/>
      <c r="OHV1096" s="286"/>
      <c r="OHW1096" s="286"/>
      <c r="OHX1096" s="286"/>
      <c r="OHY1096" s="286"/>
      <c r="OHZ1096" s="286"/>
      <c r="OIA1096" s="286"/>
      <c r="OIB1096" s="286"/>
      <c r="OIC1096" s="286"/>
      <c r="OID1096" s="286"/>
      <c r="OIE1096" s="286"/>
      <c r="OIF1096" s="286"/>
      <c r="OIG1096" s="286"/>
      <c r="OIH1096" s="286"/>
      <c r="OII1096" s="286"/>
      <c r="OIJ1096" s="286"/>
      <c r="OIK1096" s="286"/>
      <c r="OIL1096" s="286"/>
      <c r="OIM1096" s="286"/>
      <c r="OIN1096" s="286"/>
      <c r="OIO1096" s="286"/>
      <c r="OIP1096" s="286"/>
      <c r="OIQ1096" s="286"/>
      <c r="OIR1096" s="286"/>
      <c r="OIS1096" s="286"/>
      <c r="OIT1096" s="286"/>
      <c r="OIU1096" s="286"/>
      <c r="OIV1096" s="286"/>
      <c r="OIW1096" s="286"/>
      <c r="OIX1096" s="286"/>
      <c r="OIY1096" s="286"/>
      <c r="OIZ1096" s="286"/>
      <c r="OJA1096" s="286"/>
      <c r="OJB1096" s="286"/>
      <c r="OJC1096" s="286"/>
      <c r="OJD1096" s="286"/>
      <c r="OJE1096" s="286"/>
      <c r="OJF1096" s="286"/>
      <c r="OJG1096" s="286"/>
      <c r="OJH1096" s="286"/>
      <c r="OJI1096" s="286"/>
      <c r="OJJ1096" s="286"/>
      <c r="OJK1096" s="286"/>
      <c r="OJL1096" s="286"/>
      <c r="OJM1096" s="286"/>
      <c r="OJN1096" s="286"/>
      <c r="OJO1096" s="286"/>
      <c r="OJP1096" s="286"/>
      <c r="OJQ1096" s="286"/>
      <c r="OJR1096" s="286"/>
      <c r="OJS1096" s="286"/>
      <c r="OJT1096" s="286"/>
      <c r="OJU1096" s="286"/>
      <c r="OJV1096" s="286"/>
      <c r="OJW1096" s="286"/>
      <c r="OJX1096" s="286"/>
      <c r="OJY1096" s="286"/>
      <c r="OJZ1096" s="286"/>
      <c r="OKA1096" s="286"/>
      <c r="OKB1096" s="286"/>
      <c r="OKC1096" s="286"/>
      <c r="OKD1096" s="286"/>
      <c r="OKE1096" s="286"/>
      <c r="OKF1096" s="286"/>
      <c r="OKG1096" s="286"/>
      <c r="OKH1096" s="286"/>
      <c r="OKI1096" s="286"/>
      <c r="OKJ1096" s="286"/>
      <c r="OKK1096" s="286"/>
      <c r="OKL1096" s="286"/>
      <c r="OKM1096" s="286"/>
      <c r="OKN1096" s="286"/>
      <c r="OKO1096" s="286"/>
      <c r="OKP1096" s="286"/>
      <c r="OKQ1096" s="286"/>
      <c r="OKR1096" s="286"/>
      <c r="OKS1096" s="286"/>
      <c r="OKT1096" s="286"/>
      <c r="OKU1096" s="286"/>
      <c r="OKV1096" s="286"/>
      <c r="OKW1096" s="286"/>
      <c r="OKX1096" s="286"/>
      <c r="OKY1096" s="286"/>
      <c r="OKZ1096" s="286"/>
      <c r="OLA1096" s="286"/>
      <c r="OLB1096" s="286"/>
      <c r="OLC1096" s="286"/>
      <c r="OLD1096" s="286"/>
      <c r="OLE1096" s="286"/>
      <c r="OLF1096" s="286"/>
      <c r="OLG1096" s="286"/>
      <c r="OLH1096" s="286"/>
      <c r="OLI1096" s="286"/>
      <c r="OLJ1096" s="286"/>
      <c r="OLK1096" s="286"/>
      <c r="OLL1096" s="286"/>
      <c r="OLM1096" s="286"/>
      <c r="OLN1096" s="286"/>
      <c r="OLO1096" s="286"/>
      <c r="OLP1096" s="286"/>
      <c r="OLQ1096" s="286"/>
      <c r="OLR1096" s="286"/>
      <c r="OLS1096" s="286"/>
      <c r="OLT1096" s="286"/>
      <c r="OLU1096" s="286"/>
      <c r="OLV1096" s="286"/>
      <c r="OLW1096" s="286"/>
      <c r="OLX1096" s="286"/>
      <c r="OLY1096" s="286"/>
      <c r="OLZ1096" s="286"/>
      <c r="OMA1096" s="286"/>
      <c r="OMB1096" s="286"/>
      <c r="OMC1096" s="286"/>
      <c r="OMD1096" s="286"/>
      <c r="OME1096" s="286"/>
      <c r="OMF1096" s="286"/>
      <c r="OMG1096" s="286"/>
      <c r="OMH1096" s="286"/>
      <c r="OMI1096" s="286"/>
      <c r="OMJ1096" s="286"/>
      <c r="OMK1096" s="286"/>
      <c r="OML1096" s="286"/>
      <c r="OMM1096" s="286"/>
      <c r="OMN1096" s="286"/>
      <c r="OMO1096" s="286"/>
      <c r="OMP1096" s="286"/>
      <c r="OMQ1096" s="286"/>
      <c r="OMR1096" s="286"/>
      <c r="OMS1096" s="286"/>
      <c r="OMT1096" s="286"/>
      <c r="OMU1096" s="286"/>
      <c r="OMV1096" s="286"/>
      <c r="OMW1096" s="286"/>
      <c r="OMX1096" s="286"/>
      <c r="OMY1096" s="286"/>
      <c r="OMZ1096" s="286"/>
      <c r="ONA1096" s="286"/>
      <c r="ONB1096" s="286"/>
      <c r="ONC1096" s="286"/>
      <c r="OND1096" s="286"/>
      <c r="ONE1096" s="286"/>
      <c r="ONF1096" s="286"/>
      <c r="ONG1096" s="286"/>
      <c r="ONH1096" s="286"/>
      <c r="ONI1096" s="286"/>
      <c r="ONJ1096" s="286"/>
      <c r="ONK1096" s="286"/>
      <c r="ONL1096" s="286"/>
      <c r="ONM1096" s="286"/>
      <c r="ONN1096" s="286"/>
      <c r="ONO1096" s="286"/>
      <c r="ONP1096" s="286"/>
      <c r="ONQ1096" s="286"/>
      <c r="ONR1096" s="286"/>
      <c r="ONS1096" s="286"/>
      <c r="ONT1096" s="286"/>
      <c r="ONU1096" s="286"/>
      <c r="ONV1096" s="286"/>
      <c r="ONW1096" s="286"/>
      <c r="ONX1096" s="286"/>
      <c r="ONY1096" s="286"/>
      <c r="ONZ1096" s="286"/>
      <c r="OOA1096" s="286"/>
      <c r="OOB1096" s="286"/>
      <c r="OOC1096" s="286"/>
      <c r="OOD1096" s="286"/>
      <c r="OOE1096" s="286"/>
      <c r="OOF1096" s="286"/>
      <c r="OOG1096" s="286"/>
      <c r="OOH1096" s="286"/>
      <c r="OOI1096" s="286"/>
      <c r="OOJ1096" s="286"/>
      <c r="OOK1096" s="286"/>
      <c r="OOL1096" s="286"/>
      <c r="OOM1096" s="286"/>
      <c r="OON1096" s="286"/>
      <c r="OOO1096" s="286"/>
      <c r="OOP1096" s="286"/>
      <c r="OOQ1096" s="286"/>
      <c r="OOR1096" s="286"/>
      <c r="OOS1096" s="286"/>
      <c r="OOT1096" s="286"/>
      <c r="OOU1096" s="286"/>
      <c r="OOV1096" s="286"/>
      <c r="OOW1096" s="286"/>
      <c r="OOX1096" s="286"/>
      <c r="OOY1096" s="286"/>
      <c r="OOZ1096" s="286"/>
      <c r="OPA1096" s="286"/>
      <c r="OPB1096" s="286"/>
      <c r="OPC1096" s="286"/>
      <c r="OPD1096" s="286"/>
      <c r="OPE1096" s="286"/>
      <c r="OPF1096" s="286"/>
      <c r="OPG1096" s="286"/>
      <c r="OPH1096" s="286"/>
      <c r="OPI1096" s="286"/>
      <c r="OPJ1096" s="286"/>
      <c r="OPK1096" s="286"/>
      <c r="OPL1096" s="286"/>
      <c r="OPM1096" s="286"/>
      <c r="OPN1096" s="286"/>
      <c r="OPO1096" s="286"/>
      <c r="OPP1096" s="286"/>
      <c r="OPQ1096" s="286"/>
      <c r="OPR1096" s="286"/>
      <c r="OPS1096" s="286"/>
      <c r="OPT1096" s="286"/>
      <c r="OPU1096" s="286"/>
      <c r="OPV1096" s="286"/>
      <c r="OPW1096" s="286"/>
      <c r="OPX1096" s="286"/>
      <c r="OPY1096" s="286"/>
      <c r="OPZ1096" s="286"/>
      <c r="OQA1096" s="286"/>
      <c r="OQB1096" s="286"/>
      <c r="OQC1096" s="286"/>
      <c r="OQD1096" s="286"/>
      <c r="OQE1096" s="286"/>
      <c r="OQF1096" s="286"/>
      <c r="OQG1096" s="286"/>
      <c r="OQH1096" s="286"/>
      <c r="OQI1096" s="286"/>
      <c r="OQJ1096" s="286"/>
      <c r="OQK1096" s="286"/>
      <c r="OQL1096" s="286"/>
      <c r="OQM1096" s="286"/>
      <c r="OQN1096" s="286"/>
      <c r="OQO1096" s="286"/>
      <c r="OQP1096" s="286"/>
      <c r="OQQ1096" s="286"/>
      <c r="OQR1096" s="286"/>
      <c r="OQS1096" s="286"/>
      <c r="OQT1096" s="286"/>
      <c r="OQU1096" s="286"/>
      <c r="OQV1096" s="286"/>
      <c r="OQW1096" s="286"/>
      <c r="OQX1096" s="286"/>
      <c r="OQY1096" s="286"/>
      <c r="OQZ1096" s="286"/>
      <c r="ORA1096" s="286"/>
      <c r="ORB1096" s="286"/>
      <c r="ORC1096" s="286"/>
      <c r="ORD1096" s="286"/>
      <c r="ORE1096" s="286"/>
      <c r="ORF1096" s="286"/>
      <c r="ORG1096" s="286"/>
      <c r="ORH1096" s="286"/>
      <c r="ORI1096" s="286"/>
      <c r="ORJ1096" s="286"/>
      <c r="ORK1096" s="286"/>
      <c r="ORL1096" s="286"/>
      <c r="ORM1096" s="286"/>
      <c r="ORN1096" s="286"/>
      <c r="ORO1096" s="286"/>
      <c r="ORP1096" s="286"/>
      <c r="ORQ1096" s="286"/>
      <c r="ORR1096" s="286"/>
      <c r="ORS1096" s="286"/>
      <c r="ORT1096" s="286"/>
      <c r="ORU1096" s="286"/>
      <c r="ORV1096" s="286"/>
      <c r="ORW1096" s="286"/>
      <c r="ORX1096" s="286"/>
      <c r="ORY1096" s="286"/>
      <c r="ORZ1096" s="286"/>
      <c r="OSA1096" s="286"/>
      <c r="OSB1096" s="286"/>
      <c r="OSC1096" s="286"/>
      <c r="OSD1096" s="286"/>
      <c r="OSE1096" s="286"/>
      <c r="OSF1096" s="286"/>
      <c r="OSG1096" s="286"/>
      <c r="OSH1096" s="286"/>
      <c r="OSI1096" s="286"/>
      <c r="OSJ1096" s="286"/>
      <c r="OSK1096" s="286"/>
      <c r="OSL1096" s="286"/>
      <c r="OSM1096" s="286"/>
      <c r="OSN1096" s="286"/>
      <c r="OSO1096" s="286"/>
      <c r="OSP1096" s="286"/>
      <c r="OSQ1096" s="286"/>
      <c r="OSR1096" s="286"/>
      <c r="OSS1096" s="286"/>
      <c r="OST1096" s="286"/>
      <c r="OSU1096" s="286"/>
      <c r="OSV1096" s="286"/>
      <c r="OSW1096" s="286"/>
      <c r="OSX1096" s="286"/>
      <c r="OSY1096" s="286"/>
      <c r="OSZ1096" s="286"/>
      <c r="OTA1096" s="286"/>
      <c r="OTB1096" s="286"/>
      <c r="OTC1096" s="286"/>
      <c r="OTD1096" s="286"/>
      <c r="OTE1096" s="286"/>
      <c r="OTF1096" s="286"/>
      <c r="OTG1096" s="286"/>
      <c r="OTH1096" s="286"/>
      <c r="OTI1096" s="286"/>
      <c r="OTJ1096" s="286"/>
      <c r="OTK1096" s="286"/>
      <c r="OTL1096" s="286"/>
      <c r="OTM1096" s="286"/>
      <c r="OTN1096" s="286"/>
      <c r="OTO1096" s="286"/>
      <c r="OTP1096" s="286"/>
      <c r="OTQ1096" s="286"/>
      <c r="OTR1096" s="286"/>
      <c r="OTS1096" s="286"/>
      <c r="OTT1096" s="286"/>
      <c r="OTU1096" s="286"/>
      <c r="OTV1096" s="286"/>
      <c r="OTW1096" s="286"/>
      <c r="OTX1096" s="286"/>
      <c r="OTY1096" s="286"/>
      <c r="OTZ1096" s="286"/>
      <c r="OUA1096" s="286"/>
      <c r="OUB1096" s="286"/>
      <c r="OUC1096" s="286"/>
      <c r="OUD1096" s="286"/>
      <c r="OUE1096" s="286"/>
      <c r="OUF1096" s="286"/>
      <c r="OUG1096" s="286"/>
      <c r="OUH1096" s="286"/>
      <c r="OUI1096" s="286"/>
      <c r="OUJ1096" s="286"/>
      <c r="OUK1096" s="286"/>
      <c r="OUL1096" s="286"/>
      <c r="OUM1096" s="286"/>
      <c r="OUN1096" s="286"/>
      <c r="OUO1096" s="286"/>
      <c r="OUP1096" s="286"/>
      <c r="OUQ1096" s="286"/>
      <c r="OUR1096" s="286"/>
      <c r="OUS1096" s="286"/>
      <c r="OUT1096" s="286"/>
      <c r="OUU1096" s="286"/>
      <c r="OUV1096" s="286"/>
      <c r="OUW1096" s="286"/>
      <c r="OUX1096" s="286"/>
      <c r="OUY1096" s="286"/>
      <c r="OUZ1096" s="286"/>
      <c r="OVA1096" s="286"/>
      <c r="OVB1096" s="286"/>
      <c r="OVC1096" s="286"/>
      <c r="OVD1096" s="286"/>
      <c r="OVE1096" s="286"/>
      <c r="OVF1096" s="286"/>
      <c r="OVG1096" s="286"/>
      <c r="OVH1096" s="286"/>
      <c r="OVI1096" s="286"/>
      <c r="OVJ1096" s="286"/>
      <c r="OVK1096" s="286"/>
      <c r="OVL1096" s="286"/>
      <c r="OVM1096" s="286"/>
      <c r="OVN1096" s="286"/>
      <c r="OVO1096" s="286"/>
      <c r="OVP1096" s="286"/>
      <c r="OVQ1096" s="286"/>
      <c r="OVR1096" s="286"/>
      <c r="OVS1096" s="286"/>
      <c r="OVT1096" s="286"/>
      <c r="OVU1096" s="286"/>
      <c r="OVV1096" s="286"/>
      <c r="OVW1096" s="286"/>
      <c r="OVX1096" s="286"/>
      <c r="OVY1096" s="286"/>
      <c r="OVZ1096" s="286"/>
      <c r="OWA1096" s="286"/>
      <c r="OWB1096" s="286"/>
      <c r="OWC1096" s="286"/>
      <c r="OWD1096" s="286"/>
      <c r="OWE1096" s="286"/>
      <c r="OWF1096" s="286"/>
      <c r="OWG1096" s="286"/>
      <c r="OWH1096" s="286"/>
      <c r="OWI1096" s="286"/>
      <c r="OWJ1096" s="286"/>
      <c r="OWK1096" s="286"/>
      <c r="OWL1096" s="286"/>
      <c r="OWM1096" s="286"/>
      <c r="OWN1096" s="286"/>
      <c r="OWO1096" s="286"/>
      <c r="OWP1096" s="286"/>
      <c r="OWQ1096" s="286"/>
      <c r="OWR1096" s="286"/>
      <c r="OWS1096" s="286"/>
      <c r="OWT1096" s="286"/>
      <c r="OWU1096" s="286"/>
      <c r="OWV1096" s="286"/>
      <c r="OWW1096" s="286"/>
      <c r="OWX1096" s="286"/>
      <c r="OWY1096" s="286"/>
      <c r="OWZ1096" s="286"/>
      <c r="OXA1096" s="286"/>
      <c r="OXB1096" s="286"/>
      <c r="OXC1096" s="286"/>
      <c r="OXD1096" s="286"/>
      <c r="OXE1096" s="286"/>
      <c r="OXF1096" s="286"/>
      <c r="OXG1096" s="286"/>
      <c r="OXH1096" s="286"/>
      <c r="OXI1096" s="286"/>
      <c r="OXJ1096" s="286"/>
      <c r="OXK1096" s="286"/>
      <c r="OXL1096" s="286"/>
      <c r="OXM1096" s="286"/>
      <c r="OXN1096" s="286"/>
      <c r="OXO1096" s="286"/>
      <c r="OXP1096" s="286"/>
      <c r="OXQ1096" s="286"/>
      <c r="OXR1096" s="286"/>
      <c r="OXS1096" s="286"/>
      <c r="OXT1096" s="286"/>
      <c r="OXU1096" s="286"/>
      <c r="OXV1096" s="286"/>
      <c r="OXW1096" s="286"/>
      <c r="OXX1096" s="286"/>
      <c r="OXY1096" s="286"/>
      <c r="OXZ1096" s="286"/>
      <c r="OYA1096" s="286"/>
      <c r="OYB1096" s="286"/>
      <c r="OYC1096" s="286"/>
      <c r="OYD1096" s="286"/>
      <c r="OYE1096" s="286"/>
      <c r="OYF1096" s="286"/>
      <c r="OYG1096" s="286"/>
      <c r="OYH1096" s="286"/>
      <c r="OYI1096" s="286"/>
      <c r="OYJ1096" s="286"/>
      <c r="OYK1096" s="286"/>
      <c r="OYL1096" s="286"/>
      <c r="OYM1096" s="286"/>
      <c r="OYN1096" s="286"/>
      <c r="OYO1096" s="286"/>
      <c r="OYP1096" s="286"/>
      <c r="OYQ1096" s="286"/>
      <c r="OYR1096" s="286"/>
      <c r="OYS1096" s="286"/>
      <c r="OYT1096" s="286"/>
      <c r="OYU1096" s="286"/>
      <c r="OYV1096" s="286"/>
      <c r="OYW1096" s="286"/>
      <c r="OYX1096" s="286"/>
      <c r="OYY1096" s="286"/>
      <c r="OYZ1096" s="286"/>
      <c r="OZA1096" s="286"/>
      <c r="OZB1096" s="286"/>
      <c r="OZC1096" s="286"/>
      <c r="OZD1096" s="286"/>
      <c r="OZE1096" s="286"/>
      <c r="OZF1096" s="286"/>
      <c r="OZG1096" s="286"/>
      <c r="OZH1096" s="286"/>
      <c r="OZI1096" s="286"/>
      <c r="OZJ1096" s="286"/>
      <c r="OZK1096" s="286"/>
      <c r="OZL1096" s="286"/>
      <c r="OZM1096" s="286"/>
      <c r="OZN1096" s="286"/>
      <c r="OZO1096" s="286"/>
      <c r="OZP1096" s="286"/>
      <c r="OZQ1096" s="286"/>
      <c r="OZR1096" s="286"/>
      <c r="OZS1096" s="286"/>
      <c r="OZT1096" s="286"/>
      <c r="OZU1096" s="286"/>
      <c r="OZV1096" s="286"/>
      <c r="OZW1096" s="286"/>
      <c r="OZX1096" s="286"/>
      <c r="OZY1096" s="286"/>
      <c r="OZZ1096" s="286"/>
      <c r="PAA1096" s="286"/>
      <c r="PAB1096" s="286"/>
      <c r="PAC1096" s="286"/>
      <c r="PAD1096" s="286"/>
      <c r="PAE1096" s="286"/>
      <c r="PAF1096" s="286"/>
      <c r="PAG1096" s="286"/>
      <c r="PAH1096" s="286"/>
      <c r="PAI1096" s="286"/>
      <c r="PAJ1096" s="286"/>
      <c r="PAK1096" s="286"/>
      <c r="PAL1096" s="286"/>
      <c r="PAM1096" s="286"/>
      <c r="PAN1096" s="286"/>
      <c r="PAO1096" s="286"/>
      <c r="PAP1096" s="286"/>
      <c r="PAQ1096" s="286"/>
      <c r="PAR1096" s="286"/>
      <c r="PAS1096" s="286"/>
      <c r="PAT1096" s="286"/>
      <c r="PAU1096" s="286"/>
      <c r="PAV1096" s="286"/>
      <c r="PAW1096" s="286"/>
      <c r="PAX1096" s="286"/>
      <c r="PAY1096" s="286"/>
      <c r="PAZ1096" s="286"/>
      <c r="PBA1096" s="286"/>
      <c r="PBB1096" s="286"/>
      <c r="PBC1096" s="286"/>
      <c r="PBD1096" s="286"/>
      <c r="PBE1096" s="286"/>
      <c r="PBF1096" s="286"/>
      <c r="PBG1096" s="286"/>
      <c r="PBH1096" s="286"/>
      <c r="PBI1096" s="286"/>
      <c r="PBJ1096" s="286"/>
      <c r="PBK1096" s="286"/>
      <c r="PBL1096" s="286"/>
      <c r="PBM1096" s="286"/>
      <c r="PBN1096" s="286"/>
      <c r="PBO1096" s="286"/>
      <c r="PBP1096" s="286"/>
      <c r="PBQ1096" s="286"/>
      <c r="PBR1096" s="286"/>
      <c r="PBS1096" s="286"/>
      <c r="PBT1096" s="286"/>
      <c r="PBU1096" s="286"/>
      <c r="PBV1096" s="286"/>
      <c r="PBW1096" s="286"/>
      <c r="PBX1096" s="286"/>
      <c r="PBY1096" s="286"/>
      <c r="PBZ1096" s="286"/>
      <c r="PCA1096" s="286"/>
      <c r="PCB1096" s="286"/>
      <c r="PCC1096" s="286"/>
      <c r="PCD1096" s="286"/>
      <c r="PCE1096" s="286"/>
      <c r="PCF1096" s="286"/>
      <c r="PCG1096" s="286"/>
      <c r="PCH1096" s="286"/>
      <c r="PCI1096" s="286"/>
      <c r="PCJ1096" s="286"/>
      <c r="PCK1096" s="286"/>
      <c r="PCL1096" s="286"/>
      <c r="PCM1096" s="286"/>
      <c r="PCN1096" s="286"/>
      <c r="PCO1096" s="286"/>
      <c r="PCP1096" s="286"/>
      <c r="PCQ1096" s="286"/>
      <c r="PCR1096" s="286"/>
      <c r="PCS1096" s="286"/>
      <c r="PCT1096" s="286"/>
      <c r="PCU1096" s="286"/>
      <c r="PCV1096" s="286"/>
      <c r="PCW1096" s="286"/>
      <c r="PCX1096" s="286"/>
      <c r="PCY1096" s="286"/>
      <c r="PCZ1096" s="286"/>
      <c r="PDA1096" s="286"/>
      <c r="PDB1096" s="286"/>
      <c r="PDC1096" s="286"/>
      <c r="PDD1096" s="286"/>
      <c r="PDE1096" s="286"/>
      <c r="PDF1096" s="286"/>
      <c r="PDG1096" s="286"/>
      <c r="PDH1096" s="286"/>
      <c r="PDI1096" s="286"/>
      <c r="PDJ1096" s="286"/>
      <c r="PDK1096" s="286"/>
      <c r="PDL1096" s="286"/>
      <c r="PDM1096" s="286"/>
      <c r="PDN1096" s="286"/>
      <c r="PDO1096" s="286"/>
      <c r="PDP1096" s="286"/>
      <c r="PDQ1096" s="286"/>
      <c r="PDR1096" s="286"/>
      <c r="PDS1096" s="286"/>
      <c r="PDT1096" s="286"/>
      <c r="PDU1096" s="286"/>
      <c r="PDV1096" s="286"/>
      <c r="PDW1096" s="286"/>
      <c r="PDX1096" s="286"/>
      <c r="PDY1096" s="286"/>
      <c r="PDZ1096" s="286"/>
      <c r="PEA1096" s="286"/>
      <c r="PEB1096" s="286"/>
      <c r="PEC1096" s="286"/>
      <c r="PED1096" s="286"/>
      <c r="PEE1096" s="286"/>
      <c r="PEF1096" s="286"/>
      <c r="PEG1096" s="286"/>
      <c r="PEH1096" s="286"/>
      <c r="PEI1096" s="286"/>
      <c r="PEJ1096" s="286"/>
      <c r="PEK1096" s="286"/>
      <c r="PEL1096" s="286"/>
      <c r="PEM1096" s="286"/>
      <c r="PEN1096" s="286"/>
      <c r="PEO1096" s="286"/>
      <c r="PEP1096" s="286"/>
      <c r="PEQ1096" s="286"/>
      <c r="PER1096" s="286"/>
      <c r="PES1096" s="286"/>
      <c r="PET1096" s="286"/>
      <c r="PEU1096" s="286"/>
      <c r="PEV1096" s="286"/>
      <c r="PEW1096" s="286"/>
      <c r="PEX1096" s="286"/>
      <c r="PEY1096" s="286"/>
      <c r="PEZ1096" s="286"/>
      <c r="PFA1096" s="286"/>
      <c r="PFB1096" s="286"/>
      <c r="PFC1096" s="286"/>
      <c r="PFD1096" s="286"/>
      <c r="PFE1096" s="286"/>
      <c r="PFF1096" s="286"/>
      <c r="PFG1096" s="286"/>
      <c r="PFH1096" s="286"/>
      <c r="PFI1096" s="286"/>
      <c r="PFJ1096" s="286"/>
      <c r="PFK1096" s="286"/>
      <c r="PFL1096" s="286"/>
      <c r="PFM1096" s="286"/>
      <c r="PFN1096" s="286"/>
      <c r="PFO1096" s="286"/>
      <c r="PFP1096" s="286"/>
      <c r="PFQ1096" s="286"/>
      <c r="PFR1096" s="286"/>
      <c r="PFS1096" s="286"/>
      <c r="PFT1096" s="286"/>
      <c r="PFU1096" s="286"/>
      <c r="PFV1096" s="286"/>
      <c r="PFW1096" s="286"/>
      <c r="PFX1096" s="286"/>
      <c r="PFY1096" s="286"/>
      <c r="PFZ1096" s="286"/>
      <c r="PGA1096" s="286"/>
      <c r="PGB1096" s="286"/>
      <c r="PGC1096" s="286"/>
      <c r="PGD1096" s="286"/>
      <c r="PGE1096" s="286"/>
      <c r="PGF1096" s="286"/>
      <c r="PGG1096" s="286"/>
      <c r="PGH1096" s="286"/>
      <c r="PGI1096" s="286"/>
      <c r="PGJ1096" s="286"/>
      <c r="PGK1096" s="286"/>
      <c r="PGL1096" s="286"/>
      <c r="PGM1096" s="286"/>
      <c r="PGN1096" s="286"/>
      <c r="PGO1096" s="286"/>
      <c r="PGP1096" s="286"/>
      <c r="PGQ1096" s="286"/>
      <c r="PGR1096" s="286"/>
      <c r="PGS1096" s="286"/>
      <c r="PGT1096" s="286"/>
      <c r="PGU1096" s="286"/>
      <c r="PGV1096" s="286"/>
      <c r="PGW1096" s="286"/>
      <c r="PGX1096" s="286"/>
      <c r="PGY1096" s="286"/>
      <c r="PGZ1096" s="286"/>
      <c r="PHA1096" s="286"/>
      <c r="PHB1096" s="286"/>
      <c r="PHC1096" s="286"/>
      <c r="PHD1096" s="286"/>
      <c r="PHE1096" s="286"/>
      <c r="PHF1096" s="286"/>
      <c r="PHG1096" s="286"/>
      <c r="PHH1096" s="286"/>
      <c r="PHI1096" s="286"/>
      <c r="PHJ1096" s="286"/>
      <c r="PHK1096" s="286"/>
      <c r="PHL1096" s="286"/>
      <c r="PHM1096" s="286"/>
      <c r="PHN1096" s="286"/>
      <c r="PHO1096" s="286"/>
      <c r="PHP1096" s="286"/>
      <c r="PHQ1096" s="286"/>
      <c r="PHR1096" s="286"/>
      <c r="PHS1096" s="286"/>
      <c r="PHT1096" s="286"/>
      <c r="PHU1096" s="286"/>
      <c r="PHV1096" s="286"/>
      <c r="PHW1096" s="286"/>
      <c r="PHX1096" s="286"/>
      <c r="PHY1096" s="286"/>
      <c r="PHZ1096" s="286"/>
      <c r="PIA1096" s="286"/>
      <c r="PIB1096" s="286"/>
      <c r="PIC1096" s="286"/>
      <c r="PID1096" s="286"/>
      <c r="PIE1096" s="286"/>
      <c r="PIF1096" s="286"/>
      <c r="PIG1096" s="286"/>
      <c r="PIH1096" s="286"/>
      <c r="PII1096" s="286"/>
      <c r="PIJ1096" s="286"/>
      <c r="PIK1096" s="286"/>
      <c r="PIL1096" s="286"/>
      <c r="PIM1096" s="286"/>
      <c r="PIN1096" s="286"/>
      <c r="PIO1096" s="286"/>
      <c r="PIP1096" s="286"/>
      <c r="PIQ1096" s="286"/>
      <c r="PIR1096" s="286"/>
      <c r="PIS1096" s="286"/>
      <c r="PIT1096" s="286"/>
      <c r="PIU1096" s="286"/>
      <c r="PIV1096" s="286"/>
      <c r="PIW1096" s="286"/>
      <c r="PIX1096" s="286"/>
      <c r="PIY1096" s="286"/>
      <c r="PIZ1096" s="286"/>
      <c r="PJA1096" s="286"/>
      <c r="PJB1096" s="286"/>
      <c r="PJC1096" s="286"/>
      <c r="PJD1096" s="286"/>
      <c r="PJE1096" s="286"/>
      <c r="PJF1096" s="286"/>
      <c r="PJG1096" s="286"/>
      <c r="PJH1096" s="286"/>
      <c r="PJI1096" s="286"/>
      <c r="PJJ1096" s="286"/>
      <c r="PJK1096" s="286"/>
      <c r="PJL1096" s="286"/>
      <c r="PJM1096" s="286"/>
      <c r="PJN1096" s="286"/>
      <c r="PJO1096" s="286"/>
      <c r="PJP1096" s="286"/>
      <c r="PJQ1096" s="286"/>
      <c r="PJR1096" s="286"/>
      <c r="PJS1096" s="286"/>
      <c r="PJT1096" s="286"/>
      <c r="PJU1096" s="286"/>
      <c r="PJV1096" s="286"/>
      <c r="PJW1096" s="286"/>
      <c r="PJX1096" s="286"/>
      <c r="PJY1096" s="286"/>
      <c r="PJZ1096" s="286"/>
      <c r="PKA1096" s="286"/>
      <c r="PKB1096" s="286"/>
      <c r="PKC1096" s="286"/>
      <c r="PKD1096" s="286"/>
      <c r="PKE1096" s="286"/>
      <c r="PKF1096" s="286"/>
      <c r="PKG1096" s="286"/>
      <c r="PKH1096" s="286"/>
      <c r="PKI1096" s="286"/>
      <c r="PKJ1096" s="286"/>
      <c r="PKK1096" s="286"/>
      <c r="PKL1096" s="286"/>
      <c r="PKM1096" s="286"/>
      <c r="PKN1096" s="286"/>
      <c r="PKO1096" s="286"/>
      <c r="PKP1096" s="286"/>
      <c r="PKQ1096" s="286"/>
      <c r="PKR1096" s="286"/>
      <c r="PKS1096" s="286"/>
      <c r="PKT1096" s="286"/>
      <c r="PKU1096" s="286"/>
      <c r="PKV1096" s="286"/>
      <c r="PKW1096" s="286"/>
      <c r="PKX1096" s="286"/>
      <c r="PKY1096" s="286"/>
      <c r="PKZ1096" s="286"/>
      <c r="PLA1096" s="286"/>
      <c r="PLB1096" s="286"/>
      <c r="PLC1096" s="286"/>
      <c r="PLD1096" s="286"/>
      <c r="PLE1096" s="286"/>
      <c r="PLF1096" s="286"/>
      <c r="PLG1096" s="286"/>
      <c r="PLH1096" s="286"/>
      <c r="PLI1096" s="286"/>
      <c r="PLJ1096" s="286"/>
      <c r="PLK1096" s="286"/>
      <c r="PLL1096" s="286"/>
      <c r="PLM1096" s="286"/>
      <c r="PLN1096" s="286"/>
      <c r="PLO1096" s="286"/>
      <c r="PLP1096" s="286"/>
      <c r="PLQ1096" s="286"/>
      <c r="PLR1096" s="286"/>
      <c r="PLS1096" s="286"/>
      <c r="PLT1096" s="286"/>
      <c r="PLU1096" s="286"/>
      <c r="PLV1096" s="286"/>
      <c r="PLW1096" s="286"/>
      <c r="PLX1096" s="286"/>
      <c r="PLY1096" s="286"/>
      <c r="PLZ1096" s="286"/>
      <c r="PMA1096" s="286"/>
      <c r="PMB1096" s="286"/>
      <c r="PMC1096" s="286"/>
      <c r="PMD1096" s="286"/>
      <c r="PME1096" s="286"/>
      <c r="PMF1096" s="286"/>
      <c r="PMG1096" s="286"/>
      <c r="PMH1096" s="286"/>
      <c r="PMI1096" s="286"/>
      <c r="PMJ1096" s="286"/>
      <c r="PMK1096" s="286"/>
      <c r="PML1096" s="286"/>
      <c r="PMM1096" s="286"/>
      <c r="PMN1096" s="286"/>
      <c r="PMO1096" s="286"/>
      <c r="PMP1096" s="286"/>
      <c r="PMQ1096" s="286"/>
      <c r="PMR1096" s="286"/>
      <c r="PMS1096" s="286"/>
      <c r="PMT1096" s="286"/>
      <c r="PMU1096" s="286"/>
      <c r="PMV1096" s="286"/>
      <c r="PMW1096" s="286"/>
      <c r="PMX1096" s="286"/>
      <c r="PMY1096" s="286"/>
      <c r="PMZ1096" s="286"/>
      <c r="PNA1096" s="286"/>
      <c r="PNB1096" s="286"/>
      <c r="PNC1096" s="286"/>
      <c r="PND1096" s="286"/>
      <c r="PNE1096" s="286"/>
      <c r="PNF1096" s="286"/>
      <c r="PNG1096" s="286"/>
      <c r="PNH1096" s="286"/>
      <c r="PNI1096" s="286"/>
      <c r="PNJ1096" s="286"/>
      <c r="PNK1096" s="286"/>
      <c r="PNL1096" s="286"/>
      <c r="PNM1096" s="286"/>
      <c r="PNN1096" s="286"/>
      <c r="PNO1096" s="286"/>
      <c r="PNP1096" s="286"/>
      <c r="PNQ1096" s="286"/>
      <c r="PNR1096" s="286"/>
      <c r="PNS1096" s="286"/>
      <c r="PNT1096" s="286"/>
      <c r="PNU1096" s="286"/>
      <c r="PNV1096" s="286"/>
      <c r="PNW1096" s="286"/>
      <c r="PNX1096" s="286"/>
      <c r="PNY1096" s="286"/>
      <c r="PNZ1096" s="286"/>
      <c r="POA1096" s="286"/>
      <c r="POB1096" s="286"/>
      <c r="POC1096" s="286"/>
      <c r="POD1096" s="286"/>
      <c r="POE1096" s="286"/>
      <c r="POF1096" s="286"/>
      <c r="POG1096" s="286"/>
      <c r="POH1096" s="286"/>
      <c r="POI1096" s="286"/>
      <c r="POJ1096" s="286"/>
      <c r="POK1096" s="286"/>
      <c r="POL1096" s="286"/>
      <c r="POM1096" s="286"/>
      <c r="PON1096" s="286"/>
      <c r="POO1096" s="286"/>
      <c r="POP1096" s="286"/>
      <c r="POQ1096" s="286"/>
      <c r="POR1096" s="286"/>
      <c r="POS1096" s="286"/>
      <c r="POT1096" s="286"/>
      <c r="POU1096" s="286"/>
      <c r="POV1096" s="286"/>
      <c r="POW1096" s="286"/>
      <c r="POX1096" s="286"/>
      <c r="POY1096" s="286"/>
      <c r="POZ1096" s="286"/>
      <c r="PPA1096" s="286"/>
      <c r="PPB1096" s="286"/>
      <c r="PPC1096" s="286"/>
      <c r="PPD1096" s="286"/>
      <c r="PPE1096" s="286"/>
      <c r="PPF1096" s="286"/>
      <c r="PPG1096" s="286"/>
      <c r="PPH1096" s="286"/>
      <c r="PPI1096" s="286"/>
      <c r="PPJ1096" s="286"/>
      <c r="PPK1096" s="286"/>
      <c r="PPL1096" s="286"/>
      <c r="PPM1096" s="286"/>
      <c r="PPN1096" s="286"/>
      <c r="PPO1096" s="286"/>
      <c r="PPP1096" s="286"/>
      <c r="PPQ1096" s="286"/>
      <c r="PPR1096" s="286"/>
      <c r="PPS1096" s="286"/>
      <c r="PPT1096" s="286"/>
      <c r="PPU1096" s="286"/>
      <c r="PPV1096" s="286"/>
      <c r="PPW1096" s="286"/>
      <c r="PPX1096" s="286"/>
      <c r="PPY1096" s="286"/>
      <c r="PPZ1096" s="286"/>
      <c r="PQA1096" s="286"/>
      <c r="PQB1096" s="286"/>
      <c r="PQC1096" s="286"/>
      <c r="PQD1096" s="286"/>
      <c r="PQE1096" s="286"/>
      <c r="PQF1096" s="286"/>
      <c r="PQG1096" s="286"/>
      <c r="PQH1096" s="286"/>
      <c r="PQI1096" s="286"/>
      <c r="PQJ1096" s="286"/>
      <c r="PQK1096" s="286"/>
      <c r="PQL1096" s="286"/>
      <c r="PQM1096" s="286"/>
      <c r="PQN1096" s="286"/>
      <c r="PQO1096" s="286"/>
      <c r="PQP1096" s="286"/>
      <c r="PQQ1096" s="286"/>
      <c r="PQR1096" s="286"/>
      <c r="PQS1096" s="286"/>
      <c r="PQT1096" s="286"/>
      <c r="PQU1096" s="286"/>
      <c r="PQV1096" s="286"/>
      <c r="PQW1096" s="286"/>
      <c r="PQX1096" s="286"/>
      <c r="PQY1096" s="286"/>
      <c r="PQZ1096" s="286"/>
      <c r="PRA1096" s="286"/>
      <c r="PRB1096" s="286"/>
      <c r="PRC1096" s="286"/>
      <c r="PRD1096" s="286"/>
      <c r="PRE1096" s="286"/>
      <c r="PRF1096" s="286"/>
      <c r="PRG1096" s="286"/>
      <c r="PRH1096" s="286"/>
      <c r="PRI1096" s="286"/>
      <c r="PRJ1096" s="286"/>
      <c r="PRK1096" s="286"/>
      <c r="PRL1096" s="286"/>
      <c r="PRM1096" s="286"/>
      <c r="PRN1096" s="286"/>
      <c r="PRO1096" s="286"/>
      <c r="PRP1096" s="286"/>
      <c r="PRQ1096" s="286"/>
      <c r="PRR1096" s="286"/>
      <c r="PRS1096" s="286"/>
      <c r="PRT1096" s="286"/>
      <c r="PRU1096" s="286"/>
      <c r="PRV1096" s="286"/>
      <c r="PRW1096" s="286"/>
      <c r="PRX1096" s="286"/>
      <c r="PRY1096" s="286"/>
      <c r="PRZ1096" s="286"/>
      <c r="PSA1096" s="286"/>
      <c r="PSB1096" s="286"/>
      <c r="PSC1096" s="286"/>
      <c r="PSD1096" s="286"/>
      <c r="PSE1096" s="286"/>
      <c r="PSF1096" s="286"/>
      <c r="PSG1096" s="286"/>
      <c r="PSH1096" s="286"/>
      <c r="PSI1096" s="286"/>
      <c r="PSJ1096" s="286"/>
      <c r="PSK1096" s="286"/>
      <c r="PSL1096" s="286"/>
      <c r="PSM1096" s="286"/>
      <c r="PSN1096" s="286"/>
      <c r="PSO1096" s="286"/>
      <c r="PSP1096" s="286"/>
      <c r="PSQ1096" s="286"/>
      <c r="PSR1096" s="286"/>
      <c r="PSS1096" s="286"/>
      <c r="PST1096" s="286"/>
      <c r="PSU1096" s="286"/>
      <c r="PSV1096" s="286"/>
      <c r="PSW1096" s="286"/>
      <c r="PSX1096" s="286"/>
      <c r="PSY1096" s="286"/>
      <c r="PSZ1096" s="286"/>
      <c r="PTA1096" s="286"/>
      <c r="PTB1096" s="286"/>
      <c r="PTC1096" s="286"/>
      <c r="PTD1096" s="286"/>
      <c r="PTE1096" s="286"/>
      <c r="PTF1096" s="286"/>
      <c r="PTG1096" s="286"/>
      <c r="PTH1096" s="286"/>
      <c r="PTI1096" s="286"/>
      <c r="PTJ1096" s="286"/>
      <c r="PTK1096" s="286"/>
      <c r="PTL1096" s="286"/>
      <c r="PTM1096" s="286"/>
      <c r="PTN1096" s="286"/>
      <c r="PTO1096" s="286"/>
      <c r="PTP1096" s="286"/>
      <c r="PTQ1096" s="286"/>
      <c r="PTR1096" s="286"/>
      <c r="PTS1096" s="286"/>
      <c r="PTT1096" s="286"/>
      <c r="PTU1096" s="286"/>
      <c r="PTV1096" s="286"/>
      <c r="PTW1096" s="286"/>
      <c r="PTX1096" s="286"/>
      <c r="PTY1096" s="286"/>
      <c r="PTZ1096" s="286"/>
      <c r="PUA1096" s="286"/>
      <c r="PUB1096" s="286"/>
      <c r="PUC1096" s="286"/>
      <c r="PUD1096" s="286"/>
      <c r="PUE1096" s="286"/>
      <c r="PUF1096" s="286"/>
      <c r="PUG1096" s="286"/>
      <c r="PUH1096" s="286"/>
      <c r="PUI1096" s="286"/>
      <c r="PUJ1096" s="286"/>
      <c r="PUK1096" s="286"/>
      <c r="PUL1096" s="286"/>
      <c r="PUM1096" s="286"/>
      <c r="PUN1096" s="286"/>
      <c r="PUO1096" s="286"/>
      <c r="PUP1096" s="286"/>
      <c r="PUQ1096" s="286"/>
      <c r="PUR1096" s="286"/>
      <c r="PUS1096" s="286"/>
      <c r="PUT1096" s="286"/>
      <c r="PUU1096" s="286"/>
      <c r="PUV1096" s="286"/>
      <c r="PUW1096" s="286"/>
      <c r="PUX1096" s="286"/>
      <c r="PUY1096" s="286"/>
      <c r="PUZ1096" s="286"/>
      <c r="PVA1096" s="286"/>
      <c r="PVB1096" s="286"/>
      <c r="PVC1096" s="286"/>
      <c r="PVD1096" s="286"/>
      <c r="PVE1096" s="286"/>
      <c r="PVF1096" s="286"/>
      <c r="PVG1096" s="286"/>
      <c r="PVH1096" s="286"/>
      <c r="PVI1096" s="286"/>
      <c r="PVJ1096" s="286"/>
      <c r="PVK1096" s="286"/>
      <c r="PVL1096" s="286"/>
      <c r="PVM1096" s="286"/>
      <c r="PVN1096" s="286"/>
      <c r="PVO1096" s="286"/>
      <c r="PVP1096" s="286"/>
      <c r="PVQ1096" s="286"/>
      <c r="PVR1096" s="286"/>
      <c r="PVS1096" s="286"/>
      <c r="PVT1096" s="286"/>
      <c r="PVU1096" s="286"/>
      <c r="PVV1096" s="286"/>
      <c r="PVW1096" s="286"/>
      <c r="PVX1096" s="286"/>
      <c r="PVY1096" s="286"/>
      <c r="PVZ1096" s="286"/>
      <c r="PWA1096" s="286"/>
      <c r="PWB1096" s="286"/>
      <c r="PWC1096" s="286"/>
      <c r="PWD1096" s="286"/>
      <c r="PWE1096" s="286"/>
      <c r="PWF1096" s="286"/>
      <c r="PWG1096" s="286"/>
      <c r="PWH1096" s="286"/>
      <c r="PWI1096" s="286"/>
      <c r="PWJ1096" s="286"/>
      <c r="PWK1096" s="286"/>
      <c r="PWL1096" s="286"/>
      <c r="PWM1096" s="286"/>
      <c r="PWN1096" s="286"/>
      <c r="PWO1096" s="286"/>
      <c r="PWP1096" s="286"/>
      <c r="PWQ1096" s="286"/>
      <c r="PWR1096" s="286"/>
      <c r="PWS1096" s="286"/>
      <c r="PWT1096" s="286"/>
      <c r="PWU1096" s="286"/>
      <c r="PWV1096" s="286"/>
      <c r="PWW1096" s="286"/>
      <c r="PWX1096" s="286"/>
      <c r="PWY1096" s="286"/>
      <c r="PWZ1096" s="286"/>
      <c r="PXA1096" s="286"/>
      <c r="PXB1096" s="286"/>
      <c r="PXC1096" s="286"/>
      <c r="PXD1096" s="286"/>
      <c r="PXE1096" s="286"/>
      <c r="PXF1096" s="286"/>
      <c r="PXG1096" s="286"/>
      <c r="PXH1096" s="286"/>
      <c r="PXI1096" s="286"/>
      <c r="PXJ1096" s="286"/>
      <c r="PXK1096" s="286"/>
      <c r="PXL1096" s="286"/>
      <c r="PXM1096" s="286"/>
      <c r="PXN1096" s="286"/>
      <c r="PXO1096" s="286"/>
      <c r="PXP1096" s="286"/>
      <c r="PXQ1096" s="286"/>
      <c r="PXR1096" s="286"/>
      <c r="PXS1096" s="286"/>
      <c r="PXT1096" s="286"/>
      <c r="PXU1096" s="286"/>
      <c r="PXV1096" s="286"/>
      <c r="PXW1096" s="286"/>
      <c r="PXX1096" s="286"/>
      <c r="PXY1096" s="286"/>
      <c r="PXZ1096" s="286"/>
      <c r="PYA1096" s="286"/>
      <c r="PYB1096" s="286"/>
      <c r="PYC1096" s="286"/>
      <c r="PYD1096" s="286"/>
      <c r="PYE1096" s="286"/>
      <c r="PYF1096" s="286"/>
      <c r="PYG1096" s="286"/>
      <c r="PYH1096" s="286"/>
      <c r="PYI1096" s="286"/>
      <c r="PYJ1096" s="286"/>
      <c r="PYK1096" s="286"/>
      <c r="PYL1096" s="286"/>
      <c r="PYM1096" s="286"/>
      <c r="PYN1096" s="286"/>
      <c r="PYO1096" s="286"/>
      <c r="PYP1096" s="286"/>
      <c r="PYQ1096" s="286"/>
      <c r="PYR1096" s="286"/>
      <c r="PYS1096" s="286"/>
      <c r="PYT1096" s="286"/>
      <c r="PYU1096" s="286"/>
      <c r="PYV1096" s="286"/>
      <c r="PYW1096" s="286"/>
      <c r="PYX1096" s="286"/>
      <c r="PYY1096" s="286"/>
      <c r="PYZ1096" s="286"/>
      <c r="PZA1096" s="286"/>
      <c r="PZB1096" s="286"/>
      <c r="PZC1096" s="286"/>
      <c r="PZD1096" s="286"/>
      <c r="PZE1096" s="286"/>
      <c r="PZF1096" s="286"/>
      <c r="PZG1096" s="286"/>
      <c r="PZH1096" s="286"/>
      <c r="PZI1096" s="286"/>
      <c r="PZJ1096" s="286"/>
      <c r="PZK1096" s="286"/>
      <c r="PZL1096" s="286"/>
      <c r="PZM1096" s="286"/>
      <c r="PZN1096" s="286"/>
      <c r="PZO1096" s="286"/>
      <c r="PZP1096" s="286"/>
      <c r="PZQ1096" s="286"/>
      <c r="PZR1096" s="286"/>
      <c r="PZS1096" s="286"/>
      <c r="PZT1096" s="286"/>
      <c r="PZU1096" s="286"/>
      <c r="PZV1096" s="286"/>
      <c r="PZW1096" s="286"/>
      <c r="PZX1096" s="286"/>
      <c r="PZY1096" s="286"/>
      <c r="PZZ1096" s="286"/>
      <c r="QAA1096" s="286"/>
      <c r="QAB1096" s="286"/>
      <c r="QAC1096" s="286"/>
      <c r="QAD1096" s="286"/>
      <c r="QAE1096" s="286"/>
      <c r="QAF1096" s="286"/>
      <c r="QAG1096" s="286"/>
      <c r="QAH1096" s="286"/>
      <c r="QAI1096" s="286"/>
      <c r="QAJ1096" s="286"/>
      <c r="QAK1096" s="286"/>
      <c r="QAL1096" s="286"/>
      <c r="QAM1096" s="286"/>
      <c r="QAN1096" s="286"/>
      <c r="QAO1096" s="286"/>
      <c r="QAP1096" s="286"/>
      <c r="QAQ1096" s="286"/>
      <c r="QAR1096" s="286"/>
      <c r="QAS1096" s="286"/>
      <c r="QAT1096" s="286"/>
      <c r="QAU1096" s="286"/>
      <c r="QAV1096" s="286"/>
      <c r="QAW1096" s="286"/>
      <c r="QAX1096" s="286"/>
      <c r="QAY1096" s="286"/>
      <c r="QAZ1096" s="286"/>
      <c r="QBA1096" s="286"/>
      <c r="QBB1096" s="286"/>
      <c r="QBC1096" s="286"/>
      <c r="QBD1096" s="286"/>
      <c r="QBE1096" s="286"/>
      <c r="QBF1096" s="286"/>
      <c r="QBG1096" s="286"/>
      <c r="QBH1096" s="286"/>
      <c r="QBI1096" s="286"/>
      <c r="QBJ1096" s="286"/>
      <c r="QBK1096" s="286"/>
      <c r="QBL1096" s="286"/>
      <c r="QBM1096" s="286"/>
      <c r="QBN1096" s="286"/>
      <c r="QBO1096" s="286"/>
      <c r="QBP1096" s="286"/>
      <c r="QBQ1096" s="286"/>
      <c r="QBR1096" s="286"/>
      <c r="QBS1096" s="286"/>
      <c r="QBT1096" s="286"/>
      <c r="QBU1096" s="286"/>
      <c r="QBV1096" s="286"/>
      <c r="QBW1096" s="286"/>
      <c r="QBX1096" s="286"/>
      <c r="QBY1096" s="286"/>
      <c r="QBZ1096" s="286"/>
      <c r="QCA1096" s="286"/>
      <c r="QCB1096" s="286"/>
      <c r="QCC1096" s="286"/>
      <c r="QCD1096" s="286"/>
      <c r="QCE1096" s="286"/>
      <c r="QCF1096" s="286"/>
      <c r="QCG1096" s="286"/>
      <c r="QCH1096" s="286"/>
      <c r="QCI1096" s="286"/>
      <c r="QCJ1096" s="286"/>
      <c r="QCK1096" s="286"/>
      <c r="QCL1096" s="286"/>
      <c r="QCM1096" s="286"/>
      <c r="QCN1096" s="286"/>
      <c r="QCO1096" s="286"/>
      <c r="QCP1096" s="286"/>
      <c r="QCQ1096" s="286"/>
      <c r="QCR1096" s="286"/>
      <c r="QCS1096" s="286"/>
      <c r="QCT1096" s="286"/>
      <c r="QCU1096" s="286"/>
      <c r="QCV1096" s="286"/>
      <c r="QCW1096" s="286"/>
      <c r="QCX1096" s="286"/>
      <c r="QCY1096" s="286"/>
      <c r="QCZ1096" s="286"/>
      <c r="QDA1096" s="286"/>
      <c r="QDB1096" s="286"/>
      <c r="QDC1096" s="286"/>
      <c r="QDD1096" s="286"/>
      <c r="QDE1096" s="286"/>
      <c r="QDF1096" s="286"/>
      <c r="QDG1096" s="286"/>
      <c r="QDH1096" s="286"/>
      <c r="QDI1096" s="286"/>
      <c r="QDJ1096" s="286"/>
      <c r="QDK1096" s="286"/>
      <c r="QDL1096" s="286"/>
      <c r="QDM1096" s="286"/>
      <c r="QDN1096" s="286"/>
      <c r="QDO1096" s="286"/>
      <c r="QDP1096" s="286"/>
      <c r="QDQ1096" s="286"/>
      <c r="QDR1096" s="286"/>
      <c r="QDS1096" s="286"/>
      <c r="QDT1096" s="286"/>
      <c r="QDU1096" s="286"/>
      <c r="QDV1096" s="286"/>
      <c r="QDW1096" s="286"/>
      <c r="QDX1096" s="286"/>
      <c r="QDY1096" s="286"/>
      <c r="QDZ1096" s="286"/>
      <c r="QEA1096" s="286"/>
      <c r="QEB1096" s="286"/>
      <c r="QEC1096" s="286"/>
      <c r="QED1096" s="286"/>
      <c r="QEE1096" s="286"/>
      <c r="QEF1096" s="286"/>
      <c r="QEG1096" s="286"/>
      <c r="QEH1096" s="286"/>
      <c r="QEI1096" s="286"/>
      <c r="QEJ1096" s="286"/>
      <c r="QEK1096" s="286"/>
      <c r="QEL1096" s="286"/>
      <c r="QEM1096" s="286"/>
      <c r="QEN1096" s="286"/>
      <c r="QEO1096" s="286"/>
      <c r="QEP1096" s="286"/>
      <c r="QEQ1096" s="286"/>
      <c r="QER1096" s="286"/>
      <c r="QES1096" s="286"/>
      <c r="QET1096" s="286"/>
      <c r="QEU1096" s="286"/>
      <c r="QEV1096" s="286"/>
      <c r="QEW1096" s="286"/>
      <c r="QEX1096" s="286"/>
      <c r="QEY1096" s="286"/>
      <c r="QEZ1096" s="286"/>
      <c r="QFA1096" s="286"/>
      <c r="QFB1096" s="286"/>
      <c r="QFC1096" s="286"/>
      <c r="QFD1096" s="286"/>
      <c r="QFE1096" s="286"/>
      <c r="QFF1096" s="286"/>
      <c r="QFG1096" s="286"/>
      <c r="QFH1096" s="286"/>
      <c r="QFI1096" s="286"/>
      <c r="QFJ1096" s="286"/>
      <c r="QFK1096" s="286"/>
      <c r="QFL1096" s="286"/>
      <c r="QFM1096" s="286"/>
      <c r="QFN1096" s="286"/>
      <c r="QFO1096" s="286"/>
      <c r="QFP1096" s="286"/>
      <c r="QFQ1096" s="286"/>
      <c r="QFR1096" s="286"/>
      <c r="QFS1096" s="286"/>
      <c r="QFT1096" s="286"/>
      <c r="QFU1096" s="286"/>
      <c r="QFV1096" s="286"/>
      <c r="QFW1096" s="286"/>
      <c r="QFX1096" s="286"/>
      <c r="QFY1096" s="286"/>
      <c r="QFZ1096" s="286"/>
      <c r="QGA1096" s="286"/>
      <c r="QGB1096" s="286"/>
      <c r="QGC1096" s="286"/>
      <c r="QGD1096" s="286"/>
      <c r="QGE1096" s="286"/>
      <c r="QGF1096" s="286"/>
      <c r="QGG1096" s="286"/>
      <c r="QGH1096" s="286"/>
      <c r="QGI1096" s="286"/>
      <c r="QGJ1096" s="286"/>
      <c r="QGK1096" s="286"/>
      <c r="QGL1096" s="286"/>
      <c r="QGM1096" s="286"/>
      <c r="QGN1096" s="286"/>
      <c r="QGO1096" s="286"/>
      <c r="QGP1096" s="286"/>
      <c r="QGQ1096" s="286"/>
      <c r="QGR1096" s="286"/>
      <c r="QGS1096" s="286"/>
      <c r="QGT1096" s="286"/>
      <c r="QGU1096" s="286"/>
      <c r="QGV1096" s="286"/>
      <c r="QGW1096" s="286"/>
      <c r="QGX1096" s="286"/>
      <c r="QGY1096" s="286"/>
      <c r="QGZ1096" s="286"/>
      <c r="QHA1096" s="286"/>
      <c r="QHB1096" s="286"/>
      <c r="QHC1096" s="286"/>
      <c r="QHD1096" s="286"/>
      <c r="QHE1096" s="286"/>
      <c r="QHF1096" s="286"/>
      <c r="QHG1096" s="286"/>
      <c r="QHH1096" s="286"/>
      <c r="QHI1096" s="286"/>
      <c r="QHJ1096" s="286"/>
      <c r="QHK1096" s="286"/>
      <c r="QHL1096" s="286"/>
      <c r="QHM1096" s="286"/>
      <c r="QHN1096" s="286"/>
      <c r="QHO1096" s="286"/>
      <c r="QHP1096" s="286"/>
      <c r="QHQ1096" s="286"/>
      <c r="QHR1096" s="286"/>
      <c r="QHS1096" s="286"/>
      <c r="QHT1096" s="286"/>
      <c r="QHU1096" s="286"/>
      <c r="QHV1096" s="286"/>
      <c r="QHW1096" s="286"/>
      <c r="QHX1096" s="286"/>
      <c r="QHY1096" s="286"/>
      <c r="QHZ1096" s="286"/>
      <c r="QIA1096" s="286"/>
      <c r="QIB1096" s="286"/>
      <c r="QIC1096" s="286"/>
      <c r="QID1096" s="286"/>
      <c r="QIE1096" s="286"/>
      <c r="QIF1096" s="286"/>
      <c r="QIG1096" s="286"/>
      <c r="QIH1096" s="286"/>
      <c r="QII1096" s="286"/>
      <c r="QIJ1096" s="286"/>
      <c r="QIK1096" s="286"/>
      <c r="QIL1096" s="286"/>
      <c r="QIM1096" s="286"/>
      <c r="QIN1096" s="286"/>
      <c r="QIO1096" s="286"/>
      <c r="QIP1096" s="286"/>
      <c r="QIQ1096" s="286"/>
      <c r="QIR1096" s="286"/>
      <c r="QIS1096" s="286"/>
      <c r="QIT1096" s="286"/>
      <c r="QIU1096" s="286"/>
      <c r="QIV1096" s="286"/>
      <c r="QIW1096" s="286"/>
      <c r="QIX1096" s="286"/>
      <c r="QIY1096" s="286"/>
      <c r="QIZ1096" s="286"/>
      <c r="QJA1096" s="286"/>
      <c r="QJB1096" s="286"/>
      <c r="QJC1096" s="286"/>
      <c r="QJD1096" s="286"/>
      <c r="QJE1096" s="286"/>
      <c r="QJF1096" s="286"/>
      <c r="QJG1096" s="286"/>
      <c r="QJH1096" s="286"/>
      <c r="QJI1096" s="286"/>
      <c r="QJJ1096" s="286"/>
      <c r="QJK1096" s="286"/>
      <c r="QJL1096" s="286"/>
      <c r="QJM1096" s="286"/>
      <c r="QJN1096" s="286"/>
      <c r="QJO1096" s="286"/>
      <c r="QJP1096" s="286"/>
      <c r="QJQ1096" s="286"/>
      <c r="QJR1096" s="286"/>
      <c r="QJS1096" s="286"/>
      <c r="QJT1096" s="286"/>
      <c r="QJU1096" s="286"/>
      <c r="QJV1096" s="286"/>
      <c r="QJW1096" s="286"/>
      <c r="QJX1096" s="286"/>
      <c r="QJY1096" s="286"/>
      <c r="QJZ1096" s="286"/>
      <c r="QKA1096" s="286"/>
      <c r="QKB1096" s="286"/>
      <c r="QKC1096" s="286"/>
      <c r="QKD1096" s="286"/>
      <c r="QKE1096" s="286"/>
      <c r="QKF1096" s="286"/>
      <c r="QKG1096" s="286"/>
      <c r="QKH1096" s="286"/>
      <c r="QKI1096" s="286"/>
      <c r="QKJ1096" s="286"/>
      <c r="QKK1096" s="286"/>
      <c r="QKL1096" s="286"/>
      <c r="QKM1096" s="286"/>
      <c r="QKN1096" s="286"/>
      <c r="QKO1096" s="286"/>
      <c r="QKP1096" s="286"/>
      <c r="QKQ1096" s="286"/>
      <c r="QKR1096" s="286"/>
      <c r="QKS1096" s="286"/>
      <c r="QKT1096" s="286"/>
      <c r="QKU1096" s="286"/>
      <c r="QKV1096" s="286"/>
      <c r="QKW1096" s="286"/>
      <c r="QKX1096" s="286"/>
      <c r="QKY1096" s="286"/>
      <c r="QKZ1096" s="286"/>
      <c r="QLA1096" s="286"/>
      <c r="QLB1096" s="286"/>
      <c r="QLC1096" s="286"/>
      <c r="QLD1096" s="286"/>
      <c r="QLE1096" s="286"/>
      <c r="QLF1096" s="286"/>
      <c r="QLG1096" s="286"/>
      <c r="QLH1096" s="286"/>
      <c r="QLI1096" s="286"/>
      <c r="QLJ1096" s="286"/>
      <c r="QLK1096" s="286"/>
      <c r="QLL1096" s="286"/>
      <c r="QLM1096" s="286"/>
      <c r="QLN1096" s="286"/>
      <c r="QLO1096" s="286"/>
      <c r="QLP1096" s="286"/>
      <c r="QLQ1096" s="286"/>
      <c r="QLR1096" s="286"/>
      <c r="QLS1096" s="286"/>
      <c r="QLT1096" s="286"/>
      <c r="QLU1096" s="286"/>
      <c r="QLV1096" s="286"/>
      <c r="QLW1096" s="286"/>
      <c r="QLX1096" s="286"/>
      <c r="QLY1096" s="286"/>
      <c r="QLZ1096" s="286"/>
      <c r="QMA1096" s="286"/>
      <c r="QMB1096" s="286"/>
      <c r="QMC1096" s="286"/>
      <c r="QMD1096" s="286"/>
      <c r="QME1096" s="286"/>
      <c r="QMF1096" s="286"/>
      <c r="QMG1096" s="286"/>
      <c r="QMH1096" s="286"/>
      <c r="QMI1096" s="286"/>
      <c r="QMJ1096" s="286"/>
      <c r="QMK1096" s="286"/>
      <c r="QML1096" s="286"/>
      <c r="QMM1096" s="286"/>
      <c r="QMN1096" s="286"/>
      <c r="QMO1096" s="286"/>
      <c r="QMP1096" s="286"/>
      <c r="QMQ1096" s="286"/>
      <c r="QMR1096" s="286"/>
      <c r="QMS1096" s="286"/>
      <c r="QMT1096" s="286"/>
      <c r="QMU1096" s="286"/>
      <c r="QMV1096" s="286"/>
      <c r="QMW1096" s="286"/>
      <c r="QMX1096" s="286"/>
      <c r="QMY1096" s="286"/>
      <c r="QMZ1096" s="286"/>
      <c r="QNA1096" s="286"/>
      <c r="QNB1096" s="286"/>
      <c r="QNC1096" s="286"/>
      <c r="QND1096" s="286"/>
      <c r="QNE1096" s="286"/>
      <c r="QNF1096" s="286"/>
      <c r="QNG1096" s="286"/>
      <c r="QNH1096" s="286"/>
      <c r="QNI1096" s="286"/>
      <c r="QNJ1096" s="286"/>
      <c r="QNK1096" s="286"/>
      <c r="QNL1096" s="286"/>
      <c r="QNM1096" s="286"/>
      <c r="QNN1096" s="286"/>
      <c r="QNO1096" s="286"/>
      <c r="QNP1096" s="286"/>
      <c r="QNQ1096" s="286"/>
      <c r="QNR1096" s="286"/>
      <c r="QNS1096" s="286"/>
      <c r="QNT1096" s="286"/>
      <c r="QNU1096" s="286"/>
      <c r="QNV1096" s="286"/>
      <c r="QNW1096" s="286"/>
      <c r="QNX1096" s="286"/>
      <c r="QNY1096" s="286"/>
      <c r="QNZ1096" s="286"/>
      <c r="QOA1096" s="286"/>
      <c r="QOB1096" s="286"/>
      <c r="QOC1096" s="286"/>
      <c r="QOD1096" s="286"/>
      <c r="QOE1096" s="286"/>
      <c r="QOF1096" s="286"/>
      <c r="QOG1096" s="286"/>
      <c r="QOH1096" s="286"/>
      <c r="QOI1096" s="286"/>
      <c r="QOJ1096" s="286"/>
      <c r="QOK1096" s="286"/>
      <c r="QOL1096" s="286"/>
      <c r="QOM1096" s="286"/>
      <c r="QON1096" s="286"/>
      <c r="QOO1096" s="286"/>
      <c r="QOP1096" s="286"/>
      <c r="QOQ1096" s="286"/>
      <c r="QOR1096" s="286"/>
      <c r="QOS1096" s="286"/>
      <c r="QOT1096" s="286"/>
      <c r="QOU1096" s="286"/>
      <c r="QOV1096" s="286"/>
      <c r="QOW1096" s="286"/>
      <c r="QOX1096" s="286"/>
      <c r="QOY1096" s="286"/>
      <c r="QOZ1096" s="286"/>
      <c r="QPA1096" s="286"/>
      <c r="QPB1096" s="286"/>
      <c r="QPC1096" s="286"/>
      <c r="QPD1096" s="286"/>
      <c r="QPE1096" s="286"/>
      <c r="QPF1096" s="286"/>
      <c r="QPG1096" s="286"/>
      <c r="QPH1096" s="286"/>
      <c r="QPI1096" s="286"/>
      <c r="QPJ1096" s="286"/>
      <c r="QPK1096" s="286"/>
      <c r="QPL1096" s="286"/>
      <c r="QPM1096" s="286"/>
      <c r="QPN1096" s="286"/>
      <c r="QPO1096" s="286"/>
      <c r="QPP1096" s="286"/>
      <c r="QPQ1096" s="286"/>
      <c r="QPR1096" s="286"/>
      <c r="QPS1096" s="286"/>
      <c r="QPT1096" s="286"/>
      <c r="QPU1096" s="286"/>
      <c r="QPV1096" s="286"/>
      <c r="QPW1096" s="286"/>
      <c r="QPX1096" s="286"/>
      <c r="QPY1096" s="286"/>
      <c r="QPZ1096" s="286"/>
      <c r="QQA1096" s="286"/>
      <c r="QQB1096" s="286"/>
      <c r="QQC1096" s="286"/>
      <c r="QQD1096" s="286"/>
      <c r="QQE1096" s="286"/>
      <c r="QQF1096" s="286"/>
      <c r="QQG1096" s="286"/>
      <c r="QQH1096" s="286"/>
      <c r="QQI1096" s="286"/>
      <c r="QQJ1096" s="286"/>
      <c r="QQK1096" s="286"/>
      <c r="QQL1096" s="286"/>
      <c r="QQM1096" s="286"/>
      <c r="QQN1096" s="286"/>
      <c r="QQO1096" s="286"/>
      <c r="QQP1096" s="286"/>
      <c r="QQQ1096" s="286"/>
      <c r="QQR1096" s="286"/>
      <c r="QQS1096" s="286"/>
      <c r="QQT1096" s="286"/>
      <c r="QQU1096" s="286"/>
      <c r="QQV1096" s="286"/>
      <c r="QQW1096" s="286"/>
      <c r="QQX1096" s="286"/>
      <c r="QQY1096" s="286"/>
      <c r="QQZ1096" s="286"/>
      <c r="QRA1096" s="286"/>
      <c r="QRB1096" s="286"/>
      <c r="QRC1096" s="286"/>
      <c r="QRD1096" s="286"/>
      <c r="QRE1096" s="286"/>
      <c r="QRF1096" s="286"/>
      <c r="QRG1096" s="286"/>
      <c r="QRH1096" s="286"/>
      <c r="QRI1096" s="286"/>
      <c r="QRJ1096" s="286"/>
      <c r="QRK1096" s="286"/>
      <c r="QRL1096" s="286"/>
      <c r="QRM1096" s="286"/>
      <c r="QRN1096" s="286"/>
      <c r="QRO1096" s="286"/>
      <c r="QRP1096" s="286"/>
      <c r="QRQ1096" s="286"/>
      <c r="QRR1096" s="286"/>
      <c r="QRS1096" s="286"/>
      <c r="QRT1096" s="286"/>
      <c r="QRU1096" s="286"/>
      <c r="QRV1096" s="286"/>
      <c r="QRW1096" s="286"/>
      <c r="QRX1096" s="286"/>
      <c r="QRY1096" s="286"/>
      <c r="QRZ1096" s="286"/>
      <c r="QSA1096" s="286"/>
      <c r="QSB1096" s="286"/>
      <c r="QSC1096" s="286"/>
      <c r="QSD1096" s="286"/>
      <c r="QSE1096" s="286"/>
      <c r="QSF1096" s="286"/>
      <c r="QSG1096" s="286"/>
      <c r="QSH1096" s="286"/>
      <c r="QSI1096" s="286"/>
      <c r="QSJ1096" s="286"/>
      <c r="QSK1096" s="286"/>
      <c r="QSL1096" s="286"/>
      <c r="QSM1096" s="286"/>
      <c r="QSN1096" s="286"/>
      <c r="QSO1096" s="286"/>
      <c r="QSP1096" s="286"/>
      <c r="QSQ1096" s="286"/>
      <c r="QSR1096" s="286"/>
      <c r="QSS1096" s="286"/>
      <c r="QST1096" s="286"/>
      <c r="QSU1096" s="286"/>
      <c r="QSV1096" s="286"/>
      <c r="QSW1096" s="286"/>
      <c r="QSX1096" s="286"/>
      <c r="QSY1096" s="286"/>
      <c r="QSZ1096" s="286"/>
      <c r="QTA1096" s="286"/>
      <c r="QTB1096" s="286"/>
      <c r="QTC1096" s="286"/>
      <c r="QTD1096" s="286"/>
      <c r="QTE1096" s="286"/>
      <c r="QTF1096" s="286"/>
      <c r="QTG1096" s="286"/>
      <c r="QTH1096" s="286"/>
      <c r="QTI1096" s="286"/>
      <c r="QTJ1096" s="286"/>
      <c r="QTK1096" s="286"/>
      <c r="QTL1096" s="286"/>
      <c r="QTM1096" s="286"/>
      <c r="QTN1096" s="286"/>
      <c r="QTO1096" s="286"/>
      <c r="QTP1096" s="286"/>
      <c r="QTQ1096" s="286"/>
      <c r="QTR1096" s="286"/>
      <c r="QTS1096" s="286"/>
      <c r="QTT1096" s="286"/>
      <c r="QTU1096" s="286"/>
      <c r="QTV1096" s="286"/>
      <c r="QTW1096" s="286"/>
      <c r="QTX1096" s="286"/>
      <c r="QTY1096" s="286"/>
      <c r="QTZ1096" s="286"/>
      <c r="QUA1096" s="286"/>
      <c r="QUB1096" s="286"/>
      <c r="QUC1096" s="286"/>
      <c r="QUD1096" s="286"/>
      <c r="QUE1096" s="286"/>
      <c r="QUF1096" s="286"/>
      <c r="QUG1096" s="286"/>
      <c r="QUH1096" s="286"/>
      <c r="QUI1096" s="286"/>
      <c r="QUJ1096" s="286"/>
      <c r="QUK1096" s="286"/>
      <c r="QUL1096" s="286"/>
      <c r="QUM1096" s="286"/>
      <c r="QUN1096" s="286"/>
      <c r="QUO1096" s="286"/>
      <c r="QUP1096" s="286"/>
      <c r="QUQ1096" s="286"/>
      <c r="QUR1096" s="286"/>
      <c r="QUS1096" s="286"/>
      <c r="QUT1096" s="286"/>
      <c r="QUU1096" s="286"/>
      <c r="QUV1096" s="286"/>
      <c r="QUW1096" s="286"/>
      <c r="QUX1096" s="286"/>
      <c r="QUY1096" s="286"/>
      <c r="QUZ1096" s="286"/>
      <c r="QVA1096" s="286"/>
      <c r="QVB1096" s="286"/>
      <c r="QVC1096" s="286"/>
      <c r="QVD1096" s="286"/>
      <c r="QVE1096" s="286"/>
      <c r="QVF1096" s="286"/>
      <c r="QVG1096" s="286"/>
      <c r="QVH1096" s="286"/>
      <c r="QVI1096" s="286"/>
      <c r="QVJ1096" s="286"/>
      <c r="QVK1096" s="286"/>
      <c r="QVL1096" s="286"/>
      <c r="QVM1096" s="286"/>
      <c r="QVN1096" s="286"/>
      <c r="QVO1096" s="286"/>
      <c r="QVP1096" s="286"/>
      <c r="QVQ1096" s="286"/>
      <c r="QVR1096" s="286"/>
      <c r="QVS1096" s="286"/>
      <c r="QVT1096" s="286"/>
      <c r="QVU1096" s="286"/>
      <c r="QVV1096" s="286"/>
      <c r="QVW1096" s="286"/>
      <c r="QVX1096" s="286"/>
      <c r="QVY1096" s="286"/>
      <c r="QVZ1096" s="286"/>
      <c r="QWA1096" s="286"/>
      <c r="QWB1096" s="286"/>
      <c r="QWC1096" s="286"/>
      <c r="QWD1096" s="286"/>
      <c r="QWE1096" s="286"/>
      <c r="QWF1096" s="286"/>
      <c r="QWG1096" s="286"/>
      <c r="QWH1096" s="286"/>
      <c r="QWI1096" s="286"/>
      <c r="QWJ1096" s="286"/>
      <c r="QWK1096" s="286"/>
      <c r="QWL1096" s="286"/>
      <c r="QWM1096" s="286"/>
      <c r="QWN1096" s="286"/>
      <c r="QWO1096" s="286"/>
      <c r="QWP1096" s="286"/>
      <c r="QWQ1096" s="286"/>
      <c r="QWR1096" s="286"/>
      <c r="QWS1096" s="286"/>
      <c r="QWT1096" s="286"/>
      <c r="QWU1096" s="286"/>
      <c r="QWV1096" s="286"/>
      <c r="QWW1096" s="286"/>
      <c r="QWX1096" s="286"/>
      <c r="QWY1096" s="286"/>
      <c r="QWZ1096" s="286"/>
      <c r="QXA1096" s="286"/>
      <c r="QXB1096" s="286"/>
      <c r="QXC1096" s="286"/>
      <c r="QXD1096" s="286"/>
      <c r="QXE1096" s="286"/>
      <c r="QXF1096" s="286"/>
      <c r="QXG1096" s="286"/>
      <c r="QXH1096" s="286"/>
      <c r="QXI1096" s="286"/>
      <c r="QXJ1096" s="286"/>
      <c r="QXK1096" s="286"/>
      <c r="QXL1096" s="286"/>
      <c r="QXM1096" s="286"/>
      <c r="QXN1096" s="286"/>
      <c r="QXO1096" s="286"/>
      <c r="QXP1096" s="286"/>
      <c r="QXQ1096" s="286"/>
      <c r="QXR1096" s="286"/>
      <c r="QXS1096" s="286"/>
      <c r="QXT1096" s="286"/>
      <c r="QXU1096" s="286"/>
      <c r="QXV1096" s="286"/>
      <c r="QXW1096" s="286"/>
      <c r="QXX1096" s="286"/>
      <c r="QXY1096" s="286"/>
      <c r="QXZ1096" s="286"/>
      <c r="QYA1096" s="286"/>
      <c r="QYB1096" s="286"/>
      <c r="QYC1096" s="286"/>
      <c r="QYD1096" s="286"/>
      <c r="QYE1096" s="286"/>
      <c r="QYF1096" s="286"/>
      <c r="QYG1096" s="286"/>
      <c r="QYH1096" s="286"/>
      <c r="QYI1096" s="286"/>
      <c r="QYJ1096" s="286"/>
      <c r="QYK1096" s="286"/>
      <c r="QYL1096" s="286"/>
      <c r="QYM1096" s="286"/>
      <c r="QYN1096" s="286"/>
      <c r="QYO1096" s="286"/>
      <c r="QYP1096" s="286"/>
      <c r="QYQ1096" s="286"/>
      <c r="QYR1096" s="286"/>
      <c r="QYS1096" s="286"/>
      <c r="QYT1096" s="286"/>
      <c r="QYU1096" s="286"/>
      <c r="QYV1096" s="286"/>
      <c r="QYW1096" s="286"/>
      <c r="QYX1096" s="286"/>
      <c r="QYY1096" s="286"/>
      <c r="QYZ1096" s="286"/>
      <c r="QZA1096" s="286"/>
      <c r="QZB1096" s="286"/>
      <c r="QZC1096" s="286"/>
      <c r="QZD1096" s="286"/>
      <c r="QZE1096" s="286"/>
      <c r="QZF1096" s="286"/>
      <c r="QZG1096" s="286"/>
      <c r="QZH1096" s="286"/>
      <c r="QZI1096" s="286"/>
      <c r="QZJ1096" s="286"/>
      <c r="QZK1096" s="286"/>
      <c r="QZL1096" s="286"/>
      <c r="QZM1096" s="286"/>
      <c r="QZN1096" s="286"/>
      <c r="QZO1096" s="286"/>
      <c r="QZP1096" s="286"/>
      <c r="QZQ1096" s="286"/>
      <c r="QZR1096" s="286"/>
      <c r="QZS1096" s="286"/>
      <c r="QZT1096" s="286"/>
      <c r="QZU1096" s="286"/>
      <c r="QZV1096" s="286"/>
      <c r="QZW1096" s="286"/>
      <c r="QZX1096" s="286"/>
      <c r="QZY1096" s="286"/>
      <c r="QZZ1096" s="286"/>
      <c r="RAA1096" s="286"/>
      <c r="RAB1096" s="286"/>
      <c r="RAC1096" s="286"/>
      <c r="RAD1096" s="286"/>
      <c r="RAE1096" s="286"/>
      <c r="RAF1096" s="286"/>
      <c r="RAG1096" s="286"/>
      <c r="RAH1096" s="286"/>
      <c r="RAI1096" s="286"/>
      <c r="RAJ1096" s="286"/>
      <c r="RAK1096" s="286"/>
      <c r="RAL1096" s="286"/>
      <c r="RAM1096" s="286"/>
      <c r="RAN1096" s="286"/>
      <c r="RAO1096" s="286"/>
      <c r="RAP1096" s="286"/>
      <c r="RAQ1096" s="286"/>
      <c r="RAR1096" s="286"/>
      <c r="RAS1096" s="286"/>
      <c r="RAT1096" s="286"/>
      <c r="RAU1096" s="286"/>
      <c r="RAV1096" s="286"/>
      <c r="RAW1096" s="286"/>
      <c r="RAX1096" s="286"/>
      <c r="RAY1096" s="286"/>
      <c r="RAZ1096" s="286"/>
      <c r="RBA1096" s="286"/>
      <c r="RBB1096" s="286"/>
      <c r="RBC1096" s="286"/>
      <c r="RBD1096" s="286"/>
      <c r="RBE1096" s="286"/>
      <c r="RBF1096" s="286"/>
      <c r="RBG1096" s="286"/>
      <c r="RBH1096" s="286"/>
      <c r="RBI1096" s="286"/>
      <c r="RBJ1096" s="286"/>
      <c r="RBK1096" s="286"/>
      <c r="RBL1096" s="286"/>
      <c r="RBM1096" s="286"/>
      <c r="RBN1096" s="286"/>
      <c r="RBO1096" s="286"/>
      <c r="RBP1096" s="286"/>
      <c r="RBQ1096" s="286"/>
      <c r="RBR1096" s="286"/>
      <c r="RBS1096" s="286"/>
      <c r="RBT1096" s="286"/>
      <c r="RBU1096" s="286"/>
      <c r="RBV1096" s="286"/>
      <c r="RBW1096" s="286"/>
      <c r="RBX1096" s="286"/>
      <c r="RBY1096" s="286"/>
      <c r="RBZ1096" s="286"/>
      <c r="RCA1096" s="286"/>
      <c r="RCB1096" s="286"/>
      <c r="RCC1096" s="286"/>
      <c r="RCD1096" s="286"/>
      <c r="RCE1096" s="286"/>
      <c r="RCF1096" s="286"/>
      <c r="RCG1096" s="286"/>
      <c r="RCH1096" s="286"/>
      <c r="RCI1096" s="286"/>
      <c r="RCJ1096" s="286"/>
      <c r="RCK1096" s="286"/>
      <c r="RCL1096" s="286"/>
      <c r="RCM1096" s="286"/>
      <c r="RCN1096" s="286"/>
      <c r="RCO1096" s="286"/>
      <c r="RCP1096" s="286"/>
      <c r="RCQ1096" s="286"/>
      <c r="RCR1096" s="286"/>
      <c r="RCS1096" s="286"/>
      <c r="RCT1096" s="286"/>
      <c r="RCU1096" s="286"/>
      <c r="RCV1096" s="286"/>
      <c r="RCW1096" s="286"/>
      <c r="RCX1096" s="286"/>
      <c r="RCY1096" s="286"/>
      <c r="RCZ1096" s="286"/>
      <c r="RDA1096" s="286"/>
      <c r="RDB1096" s="286"/>
      <c r="RDC1096" s="286"/>
      <c r="RDD1096" s="286"/>
      <c r="RDE1096" s="286"/>
      <c r="RDF1096" s="286"/>
      <c r="RDG1096" s="286"/>
      <c r="RDH1096" s="286"/>
      <c r="RDI1096" s="286"/>
      <c r="RDJ1096" s="286"/>
      <c r="RDK1096" s="286"/>
      <c r="RDL1096" s="286"/>
      <c r="RDM1096" s="286"/>
      <c r="RDN1096" s="286"/>
      <c r="RDO1096" s="286"/>
      <c r="RDP1096" s="286"/>
      <c r="RDQ1096" s="286"/>
      <c r="RDR1096" s="286"/>
      <c r="RDS1096" s="286"/>
      <c r="RDT1096" s="286"/>
      <c r="RDU1096" s="286"/>
      <c r="RDV1096" s="286"/>
      <c r="RDW1096" s="286"/>
      <c r="RDX1096" s="286"/>
      <c r="RDY1096" s="286"/>
      <c r="RDZ1096" s="286"/>
      <c r="REA1096" s="286"/>
      <c r="REB1096" s="286"/>
      <c r="REC1096" s="286"/>
      <c r="RED1096" s="286"/>
      <c r="REE1096" s="286"/>
      <c r="REF1096" s="286"/>
      <c r="REG1096" s="286"/>
      <c r="REH1096" s="286"/>
      <c r="REI1096" s="286"/>
      <c r="REJ1096" s="286"/>
      <c r="REK1096" s="286"/>
      <c r="REL1096" s="286"/>
      <c r="REM1096" s="286"/>
      <c r="REN1096" s="286"/>
      <c r="REO1096" s="286"/>
      <c r="REP1096" s="286"/>
      <c r="REQ1096" s="286"/>
      <c r="RER1096" s="286"/>
      <c r="RES1096" s="286"/>
      <c r="RET1096" s="286"/>
      <c r="REU1096" s="286"/>
      <c r="REV1096" s="286"/>
      <c r="REW1096" s="286"/>
      <c r="REX1096" s="286"/>
      <c r="REY1096" s="286"/>
      <c r="REZ1096" s="286"/>
      <c r="RFA1096" s="286"/>
      <c r="RFB1096" s="286"/>
      <c r="RFC1096" s="286"/>
      <c r="RFD1096" s="286"/>
      <c r="RFE1096" s="286"/>
      <c r="RFF1096" s="286"/>
      <c r="RFG1096" s="286"/>
      <c r="RFH1096" s="286"/>
      <c r="RFI1096" s="286"/>
      <c r="RFJ1096" s="286"/>
      <c r="RFK1096" s="286"/>
      <c r="RFL1096" s="286"/>
      <c r="RFM1096" s="286"/>
      <c r="RFN1096" s="286"/>
      <c r="RFO1096" s="286"/>
      <c r="RFP1096" s="286"/>
      <c r="RFQ1096" s="286"/>
      <c r="RFR1096" s="286"/>
      <c r="RFS1096" s="286"/>
      <c r="RFT1096" s="286"/>
      <c r="RFU1096" s="286"/>
      <c r="RFV1096" s="286"/>
      <c r="RFW1096" s="286"/>
      <c r="RFX1096" s="286"/>
      <c r="RFY1096" s="286"/>
      <c r="RFZ1096" s="286"/>
      <c r="RGA1096" s="286"/>
      <c r="RGB1096" s="286"/>
      <c r="RGC1096" s="286"/>
      <c r="RGD1096" s="286"/>
      <c r="RGE1096" s="286"/>
      <c r="RGF1096" s="286"/>
      <c r="RGG1096" s="286"/>
      <c r="RGH1096" s="286"/>
      <c r="RGI1096" s="286"/>
      <c r="RGJ1096" s="286"/>
      <c r="RGK1096" s="286"/>
      <c r="RGL1096" s="286"/>
      <c r="RGM1096" s="286"/>
      <c r="RGN1096" s="286"/>
      <c r="RGO1096" s="286"/>
      <c r="RGP1096" s="286"/>
      <c r="RGQ1096" s="286"/>
      <c r="RGR1096" s="286"/>
      <c r="RGS1096" s="286"/>
      <c r="RGT1096" s="286"/>
      <c r="RGU1096" s="286"/>
      <c r="RGV1096" s="286"/>
      <c r="RGW1096" s="286"/>
      <c r="RGX1096" s="286"/>
      <c r="RGY1096" s="286"/>
      <c r="RGZ1096" s="286"/>
      <c r="RHA1096" s="286"/>
      <c r="RHB1096" s="286"/>
      <c r="RHC1096" s="286"/>
      <c r="RHD1096" s="286"/>
      <c r="RHE1096" s="286"/>
      <c r="RHF1096" s="286"/>
      <c r="RHG1096" s="286"/>
      <c r="RHH1096" s="286"/>
      <c r="RHI1096" s="286"/>
      <c r="RHJ1096" s="286"/>
      <c r="RHK1096" s="286"/>
      <c r="RHL1096" s="286"/>
      <c r="RHM1096" s="286"/>
      <c r="RHN1096" s="286"/>
      <c r="RHO1096" s="286"/>
      <c r="RHP1096" s="286"/>
      <c r="RHQ1096" s="286"/>
      <c r="RHR1096" s="286"/>
      <c r="RHS1096" s="286"/>
      <c r="RHT1096" s="286"/>
      <c r="RHU1096" s="286"/>
      <c r="RHV1096" s="286"/>
      <c r="RHW1096" s="286"/>
      <c r="RHX1096" s="286"/>
      <c r="RHY1096" s="286"/>
      <c r="RHZ1096" s="286"/>
      <c r="RIA1096" s="286"/>
      <c r="RIB1096" s="286"/>
      <c r="RIC1096" s="286"/>
      <c r="RID1096" s="286"/>
      <c r="RIE1096" s="286"/>
      <c r="RIF1096" s="286"/>
      <c r="RIG1096" s="286"/>
      <c r="RIH1096" s="286"/>
      <c r="RII1096" s="286"/>
      <c r="RIJ1096" s="286"/>
      <c r="RIK1096" s="286"/>
      <c r="RIL1096" s="286"/>
      <c r="RIM1096" s="286"/>
      <c r="RIN1096" s="286"/>
      <c r="RIO1096" s="286"/>
      <c r="RIP1096" s="286"/>
      <c r="RIQ1096" s="286"/>
      <c r="RIR1096" s="286"/>
      <c r="RIS1096" s="286"/>
      <c r="RIT1096" s="286"/>
      <c r="RIU1096" s="286"/>
      <c r="RIV1096" s="286"/>
      <c r="RIW1096" s="286"/>
      <c r="RIX1096" s="286"/>
      <c r="RIY1096" s="286"/>
      <c r="RIZ1096" s="286"/>
      <c r="RJA1096" s="286"/>
      <c r="RJB1096" s="286"/>
      <c r="RJC1096" s="286"/>
      <c r="RJD1096" s="286"/>
      <c r="RJE1096" s="286"/>
      <c r="RJF1096" s="286"/>
      <c r="RJG1096" s="286"/>
      <c r="RJH1096" s="286"/>
      <c r="RJI1096" s="286"/>
      <c r="RJJ1096" s="286"/>
      <c r="RJK1096" s="286"/>
      <c r="RJL1096" s="286"/>
      <c r="RJM1096" s="286"/>
      <c r="RJN1096" s="286"/>
      <c r="RJO1096" s="286"/>
      <c r="RJP1096" s="286"/>
      <c r="RJQ1096" s="286"/>
      <c r="RJR1096" s="286"/>
      <c r="RJS1096" s="286"/>
      <c r="RJT1096" s="286"/>
      <c r="RJU1096" s="286"/>
      <c r="RJV1096" s="286"/>
      <c r="RJW1096" s="286"/>
      <c r="RJX1096" s="286"/>
      <c r="RJY1096" s="286"/>
      <c r="RJZ1096" s="286"/>
      <c r="RKA1096" s="286"/>
      <c r="RKB1096" s="286"/>
      <c r="RKC1096" s="286"/>
      <c r="RKD1096" s="286"/>
      <c r="RKE1096" s="286"/>
      <c r="RKF1096" s="286"/>
      <c r="RKG1096" s="286"/>
      <c r="RKH1096" s="286"/>
      <c r="RKI1096" s="286"/>
      <c r="RKJ1096" s="286"/>
      <c r="RKK1096" s="286"/>
      <c r="RKL1096" s="286"/>
      <c r="RKM1096" s="286"/>
      <c r="RKN1096" s="286"/>
      <c r="RKO1096" s="286"/>
      <c r="RKP1096" s="286"/>
      <c r="RKQ1096" s="286"/>
      <c r="RKR1096" s="286"/>
      <c r="RKS1096" s="286"/>
      <c r="RKT1096" s="286"/>
      <c r="RKU1096" s="286"/>
      <c r="RKV1096" s="286"/>
      <c r="RKW1096" s="286"/>
      <c r="RKX1096" s="286"/>
      <c r="RKY1096" s="286"/>
      <c r="RKZ1096" s="286"/>
      <c r="RLA1096" s="286"/>
      <c r="RLB1096" s="286"/>
      <c r="RLC1096" s="286"/>
      <c r="RLD1096" s="286"/>
      <c r="RLE1096" s="286"/>
      <c r="RLF1096" s="286"/>
      <c r="RLG1096" s="286"/>
      <c r="RLH1096" s="286"/>
      <c r="RLI1096" s="286"/>
      <c r="RLJ1096" s="286"/>
      <c r="RLK1096" s="286"/>
      <c r="RLL1096" s="286"/>
      <c r="RLM1096" s="286"/>
      <c r="RLN1096" s="286"/>
      <c r="RLO1096" s="286"/>
      <c r="RLP1096" s="286"/>
      <c r="RLQ1096" s="286"/>
      <c r="RLR1096" s="286"/>
      <c r="RLS1096" s="286"/>
      <c r="RLT1096" s="286"/>
      <c r="RLU1096" s="286"/>
      <c r="RLV1096" s="286"/>
      <c r="RLW1096" s="286"/>
      <c r="RLX1096" s="286"/>
      <c r="RLY1096" s="286"/>
      <c r="RLZ1096" s="286"/>
      <c r="RMA1096" s="286"/>
      <c r="RMB1096" s="286"/>
      <c r="RMC1096" s="286"/>
      <c r="RMD1096" s="286"/>
      <c r="RME1096" s="286"/>
      <c r="RMF1096" s="286"/>
      <c r="RMG1096" s="286"/>
      <c r="RMH1096" s="286"/>
      <c r="RMI1096" s="286"/>
      <c r="RMJ1096" s="286"/>
      <c r="RMK1096" s="286"/>
      <c r="RML1096" s="286"/>
      <c r="RMM1096" s="286"/>
      <c r="RMN1096" s="286"/>
      <c r="RMO1096" s="286"/>
      <c r="RMP1096" s="286"/>
      <c r="RMQ1096" s="286"/>
      <c r="RMR1096" s="286"/>
      <c r="RMS1096" s="286"/>
      <c r="RMT1096" s="286"/>
      <c r="RMU1096" s="286"/>
      <c r="RMV1096" s="286"/>
      <c r="RMW1096" s="286"/>
      <c r="RMX1096" s="286"/>
      <c r="RMY1096" s="286"/>
      <c r="RMZ1096" s="286"/>
      <c r="RNA1096" s="286"/>
      <c r="RNB1096" s="286"/>
      <c r="RNC1096" s="286"/>
      <c r="RND1096" s="286"/>
      <c r="RNE1096" s="286"/>
      <c r="RNF1096" s="286"/>
      <c r="RNG1096" s="286"/>
      <c r="RNH1096" s="286"/>
      <c r="RNI1096" s="286"/>
      <c r="RNJ1096" s="286"/>
      <c r="RNK1096" s="286"/>
      <c r="RNL1096" s="286"/>
      <c r="RNM1096" s="286"/>
      <c r="RNN1096" s="286"/>
      <c r="RNO1096" s="286"/>
      <c r="RNP1096" s="286"/>
      <c r="RNQ1096" s="286"/>
      <c r="RNR1096" s="286"/>
      <c r="RNS1096" s="286"/>
      <c r="RNT1096" s="286"/>
      <c r="RNU1096" s="286"/>
      <c r="RNV1096" s="286"/>
      <c r="RNW1096" s="286"/>
      <c r="RNX1096" s="286"/>
      <c r="RNY1096" s="286"/>
      <c r="RNZ1096" s="286"/>
      <c r="ROA1096" s="286"/>
      <c r="ROB1096" s="286"/>
      <c r="ROC1096" s="286"/>
      <c r="ROD1096" s="286"/>
      <c r="ROE1096" s="286"/>
      <c r="ROF1096" s="286"/>
      <c r="ROG1096" s="286"/>
      <c r="ROH1096" s="286"/>
      <c r="ROI1096" s="286"/>
      <c r="ROJ1096" s="286"/>
      <c r="ROK1096" s="286"/>
      <c r="ROL1096" s="286"/>
      <c r="ROM1096" s="286"/>
      <c r="RON1096" s="286"/>
      <c r="ROO1096" s="286"/>
      <c r="ROP1096" s="286"/>
      <c r="ROQ1096" s="286"/>
      <c r="ROR1096" s="286"/>
      <c r="ROS1096" s="286"/>
      <c r="ROT1096" s="286"/>
      <c r="ROU1096" s="286"/>
      <c r="ROV1096" s="286"/>
      <c r="ROW1096" s="286"/>
      <c r="ROX1096" s="286"/>
      <c r="ROY1096" s="286"/>
      <c r="ROZ1096" s="286"/>
      <c r="RPA1096" s="286"/>
      <c r="RPB1096" s="286"/>
      <c r="RPC1096" s="286"/>
      <c r="RPD1096" s="286"/>
      <c r="RPE1096" s="286"/>
      <c r="RPF1096" s="286"/>
      <c r="RPG1096" s="286"/>
      <c r="RPH1096" s="286"/>
      <c r="RPI1096" s="286"/>
      <c r="RPJ1096" s="286"/>
      <c r="RPK1096" s="286"/>
      <c r="RPL1096" s="286"/>
      <c r="RPM1096" s="286"/>
      <c r="RPN1096" s="286"/>
      <c r="RPO1096" s="286"/>
      <c r="RPP1096" s="286"/>
      <c r="RPQ1096" s="286"/>
      <c r="RPR1096" s="286"/>
      <c r="RPS1096" s="286"/>
      <c r="RPT1096" s="286"/>
      <c r="RPU1096" s="286"/>
      <c r="RPV1096" s="286"/>
      <c r="RPW1096" s="286"/>
      <c r="RPX1096" s="286"/>
      <c r="RPY1096" s="286"/>
      <c r="RPZ1096" s="286"/>
      <c r="RQA1096" s="286"/>
      <c r="RQB1096" s="286"/>
      <c r="RQC1096" s="286"/>
      <c r="RQD1096" s="286"/>
      <c r="RQE1096" s="286"/>
      <c r="RQF1096" s="286"/>
      <c r="RQG1096" s="286"/>
      <c r="RQH1096" s="286"/>
      <c r="RQI1096" s="286"/>
      <c r="RQJ1096" s="286"/>
      <c r="RQK1096" s="286"/>
      <c r="RQL1096" s="286"/>
      <c r="RQM1096" s="286"/>
      <c r="RQN1096" s="286"/>
      <c r="RQO1096" s="286"/>
      <c r="RQP1096" s="286"/>
      <c r="RQQ1096" s="286"/>
      <c r="RQR1096" s="286"/>
      <c r="RQS1096" s="286"/>
      <c r="RQT1096" s="286"/>
      <c r="RQU1096" s="286"/>
      <c r="RQV1096" s="286"/>
      <c r="RQW1096" s="286"/>
      <c r="RQX1096" s="286"/>
      <c r="RQY1096" s="286"/>
      <c r="RQZ1096" s="286"/>
      <c r="RRA1096" s="286"/>
      <c r="RRB1096" s="286"/>
      <c r="RRC1096" s="286"/>
      <c r="RRD1096" s="286"/>
      <c r="RRE1096" s="286"/>
      <c r="RRF1096" s="286"/>
      <c r="RRG1096" s="286"/>
      <c r="RRH1096" s="286"/>
      <c r="RRI1096" s="286"/>
      <c r="RRJ1096" s="286"/>
      <c r="RRK1096" s="286"/>
      <c r="RRL1096" s="286"/>
      <c r="RRM1096" s="286"/>
      <c r="RRN1096" s="286"/>
      <c r="RRO1096" s="286"/>
      <c r="RRP1096" s="286"/>
      <c r="RRQ1096" s="286"/>
      <c r="RRR1096" s="286"/>
      <c r="RRS1096" s="286"/>
      <c r="RRT1096" s="286"/>
      <c r="RRU1096" s="286"/>
      <c r="RRV1096" s="286"/>
      <c r="RRW1096" s="286"/>
      <c r="RRX1096" s="286"/>
      <c r="RRY1096" s="286"/>
      <c r="RRZ1096" s="286"/>
      <c r="RSA1096" s="286"/>
      <c r="RSB1096" s="286"/>
      <c r="RSC1096" s="286"/>
      <c r="RSD1096" s="286"/>
      <c r="RSE1096" s="286"/>
      <c r="RSF1096" s="286"/>
      <c r="RSG1096" s="286"/>
      <c r="RSH1096" s="286"/>
      <c r="RSI1096" s="286"/>
      <c r="RSJ1096" s="286"/>
      <c r="RSK1096" s="286"/>
      <c r="RSL1096" s="286"/>
      <c r="RSM1096" s="286"/>
      <c r="RSN1096" s="286"/>
      <c r="RSO1096" s="286"/>
      <c r="RSP1096" s="286"/>
      <c r="RSQ1096" s="286"/>
      <c r="RSR1096" s="286"/>
      <c r="RSS1096" s="286"/>
      <c r="RST1096" s="286"/>
      <c r="RSU1096" s="286"/>
      <c r="RSV1096" s="286"/>
      <c r="RSW1096" s="286"/>
      <c r="RSX1096" s="286"/>
      <c r="RSY1096" s="286"/>
      <c r="RSZ1096" s="286"/>
      <c r="RTA1096" s="286"/>
      <c r="RTB1096" s="286"/>
      <c r="RTC1096" s="286"/>
      <c r="RTD1096" s="286"/>
      <c r="RTE1096" s="286"/>
      <c r="RTF1096" s="286"/>
      <c r="RTG1096" s="286"/>
      <c r="RTH1096" s="286"/>
      <c r="RTI1096" s="286"/>
      <c r="RTJ1096" s="286"/>
      <c r="RTK1096" s="286"/>
      <c r="RTL1096" s="286"/>
      <c r="RTM1096" s="286"/>
      <c r="RTN1096" s="286"/>
      <c r="RTO1096" s="286"/>
      <c r="RTP1096" s="286"/>
      <c r="RTQ1096" s="286"/>
      <c r="RTR1096" s="286"/>
      <c r="RTS1096" s="286"/>
      <c r="RTT1096" s="286"/>
      <c r="RTU1096" s="286"/>
      <c r="RTV1096" s="286"/>
      <c r="RTW1096" s="286"/>
      <c r="RTX1096" s="286"/>
      <c r="RTY1096" s="286"/>
      <c r="RTZ1096" s="286"/>
      <c r="RUA1096" s="286"/>
      <c r="RUB1096" s="286"/>
      <c r="RUC1096" s="286"/>
      <c r="RUD1096" s="286"/>
      <c r="RUE1096" s="286"/>
      <c r="RUF1096" s="286"/>
      <c r="RUG1096" s="286"/>
      <c r="RUH1096" s="286"/>
      <c r="RUI1096" s="286"/>
      <c r="RUJ1096" s="286"/>
      <c r="RUK1096" s="286"/>
      <c r="RUL1096" s="286"/>
      <c r="RUM1096" s="286"/>
      <c r="RUN1096" s="286"/>
      <c r="RUO1096" s="286"/>
      <c r="RUP1096" s="286"/>
      <c r="RUQ1096" s="286"/>
      <c r="RUR1096" s="286"/>
      <c r="RUS1096" s="286"/>
      <c r="RUT1096" s="286"/>
      <c r="RUU1096" s="286"/>
      <c r="RUV1096" s="286"/>
      <c r="RUW1096" s="286"/>
      <c r="RUX1096" s="286"/>
      <c r="RUY1096" s="286"/>
      <c r="RUZ1096" s="286"/>
      <c r="RVA1096" s="286"/>
      <c r="RVB1096" s="286"/>
      <c r="RVC1096" s="286"/>
      <c r="RVD1096" s="286"/>
      <c r="RVE1096" s="286"/>
      <c r="RVF1096" s="286"/>
      <c r="RVG1096" s="286"/>
      <c r="RVH1096" s="286"/>
      <c r="RVI1096" s="286"/>
      <c r="RVJ1096" s="286"/>
      <c r="RVK1096" s="286"/>
      <c r="RVL1096" s="286"/>
      <c r="RVM1096" s="286"/>
      <c r="RVN1096" s="286"/>
      <c r="RVO1096" s="286"/>
      <c r="RVP1096" s="286"/>
      <c r="RVQ1096" s="286"/>
      <c r="RVR1096" s="286"/>
      <c r="RVS1096" s="286"/>
      <c r="RVT1096" s="286"/>
      <c r="RVU1096" s="286"/>
      <c r="RVV1096" s="286"/>
      <c r="RVW1096" s="286"/>
      <c r="RVX1096" s="286"/>
      <c r="RVY1096" s="286"/>
      <c r="RVZ1096" s="286"/>
      <c r="RWA1096" s="286"/>
      <c r="RWB1096" s="286"/>
      <c r="RWC1096" s="286"/>
      <c r="RWD1096" s="286"/>
      <c r="RWE1096" s="286"/>
      <c r="RWF1096" s="286"/>
      <c r="RWG1096" s="286"/>
      <c r="RWH1096" s="286"/>
      <c r="RWI1096" s="286"/>
      <c r="RWJ1096" s="286"/>
      <c r="RWK1096" s="286"/>
      <c r="RWL1096" s="286"/>
      <c r="RWM1096" s="286"/>
      <c r="RWN1096" s="286"/>
      <c r="RWO1096" s="286"/>
      <c r="RWP1096" s="286"/>
      <c r="RWQ1096" s="286"/>
      <c r="RWR1096" s="286"/>
      <c r="RWS1096" s="286"/>
      <c r="RWT1096" s="286"/>
      <c r="RWU1096" s="286"/>
      <c r="RWV1096" s="286"/>
      <c r="RWW1096" s="286"/>
      <c r="RWX1096" s="286"/>
      <c r="RWY1096" s="286"/>
      <c r="RWZ1096" s="286"/>
      <c r="RXA1096" s="286"/>
      <c r="RXB1096" s="286"/>
      <c r="RXC1096" s="286"/>
      <c r="RXD1096" s="286"/>
      <c r="RXE1096" s="286"/>
      <c r="RXF1096" s="286"/>
      <c r="RXG1096" s="286"/>
      <c r="RXH1096" s="286"/>
      <c r="RXI1096" s="286"/>
      <c r="RXJ1096" s="286"/>
      <c r="RXK1096" s="286"/>
      <c r="RXL1096" s="286"/>
      <c r="RXM1096" s="286"/>
      <c r="RXN1096" s="286"/>
      <c r="RXO1096" s="286"/>
      <c r="RXP1096" s="286"/>
      <c r="RXQ1096" s="286"/>
      <c r="RXR1096" s="286"/>
      <c r="RXS1096" s="286"/>
      <c r="RXT1096" s="286"/>
      <c r="RXU1096" s="286"/>
      <c r="RXV1096" s="286"/>
      <c r="RXW1096" s="286"/>
      <c r="RXX1096" s="286"/>
      <c r="RXY1096" s="286"/>
      <c r="RXZ1096" s="286"/>
      <c r="RYA1096" s="286"/>
      <c r="RYB1096" s="286"/>
      <c r="RYC1096" s="286"/>
      <c r="RYD1096" s="286"/>
      <c r="RYE1096" s="286"/>
      <c r="RYF1096" s="286"/>
      <c r="RYG1096" s="286"/>
      <c r="RYH1096" s="286"/>
      <c r="RYI1096" s="286"/>
      <c r="RYJ1096" s="286"/>
      <c r="RYK1096" s="286"/>
      <c r="RYL1096" s="286"/>
      <c r="RYM1096" s="286"/>
      <c r="RYN1096" s="286"/>
      <c r="RYO1096" s="286"/>
      <c r="RYP1096" s="286"/>
      <c r="RYQ1096" s="286"/>
      <c r="RYR1096" s="286"/>
      <c r="RYS1096" s="286"/>
      <c r="RYT1096" s="286"/>
      <c r="RYU1096" s="286"/>
      <c r="RYV1096" s="286"/>
      <c r="RYW1096" s="286"/>
      <c r="RYX1096" s="286"/>
      <c r="RYY1096" s="286"/>
      <c r="RYZ1096" s="286"/>
      <c r="RZA1096" s="286"/>
      <c r="RZB1096" s="286"/>
      <c r="RZC1096" s="286"/>
      <c r="RZD1096" s="286"/>
      <c r="RZE1096" s="286"/>
      <c r="RZF1096" s="286"/>
      <c r="RZG1096" s="286"/>
      <c r="RZH1096" s="286"/>
      <c r="RZI1096" s="286"/>
      <c r="RZJ1096" s="286"/>
      <c r="RZK1096" s="286"/>
      <c r="RZL1096" s="286"/>
      <c r="RZM1096" s="286"/>
      <c r="RZN1096" s="286"/>
      <c r="RZO1096" s="286"/>
      <c r="RZP1096" s="286"/>
      <c r="RZQ1096" s="286"/>
      <c r="RZR1096" s="286"/>
      <c r="RZS1096" s="286"/>
      <c r="RZT1096" s="286"/>
      <c r="RZU1096" s="286"/>
      <c r="RZV1096" s="286"/>
      <c r="RZW1096" s="286"/>
      <c r="RZX1096" s="286"/>
      <c r="RZY1096" s="286"/>
      <c r="RZZ1096" s="286"/>
      <c r="SAA1096" s="286"/>
      <c r="SAB1096" s="286"/>
      <c r="SAC1096" s="286"/>
      <c r="SAD1096" s="286"/>
      <c r="SAE1096" s="286"/>
      <c r="SAF1096" s="286"/>
      <c r="SAG1096" s="286"/>
      <c r="SAH1096" s="286"/>
      <c r="SAI1096" s="286"/>
      <c r="SAJ1096" s="286"/>
      <c r="SAK1096" s="286"/>
      <c r="SAL1096" s="286"/>
      <c r="SAM1096" s="286"/>
      <c r="SAN1096" s="286"/>
      <c r="SAO1096" s="286"/>
      <c r="SAP1096" s="286"/>
      <c r="SAQ1096" s="286"/>
      <c r="SAR1096" s="286"/>
      <c r="SAS1096" s="286"/>
      <c r="SAT1096" s="286"/>
      <c r="SAU1096" s="286"/>
      <c r="SAV1096" s="286"/>
      <c r="SAW1096" s="286"/>
      <c r="SAX1096" s="286"/>
      <c r="SAY1096" s="286"/>
      <c r="SAZ1096" s="286"/>
      <c r="SBA1096" s="286"/>
      <c r="SBB1096" s="286"/>
      <c r="SBC1096" s="286"/>
      <c r="SBD1096" s="286"/>
      <c r="SBE1096" s="286"/>
      <c r="SBF1096" s="286"/>
      <c r="SBG1096" s="286"/>
      <c r="SBH1096" s="286"/>
      <c r="SBI1096" s="286"/>
      <c r="SBJ1096" s="286"/>
      <c r="SBK1096" s="286"/>
      <c r="SBL1096" s="286"/>
      <c r="SBM1096" s="286"/>
      <c r="SBN1096" s="286"/>
      <c r="SBO1096" s="286"/>
      <c r="SBP1096" s="286"/>
      <c r="SBQ1096" s="286"/>
      <c r="SBR1096" s="286"/>
      <c r="SBS1096" s="286"/>
      <c r="SBT1096" s="286"/>
      <c r="SBU1096" s="286"/>
      <c r="SBV1096" s="286"/>
      <c r="SBW1096" s="286"/>
      <c r="SBX1096" s="286"/>
      <c r="SBY1096" s="286"/>
      <c r="SBZ1096" s="286"/>
      <c r="SCA1096" s="286"/>
      <c r="SCB1096" s="286"/>
      <c r="SCC1096" s="286"/>
      <c r="SCD1096" s="286"/>
      <c r="SCE1096" s="286"/>
      <c r="SCF1096" s="286"/>
      <c r="SCG1096" s="286"/>
      <c r="SCH1096" s="286"/>
      <c r="SCI1096" s="286"/>
      <c r="SCJ1096" s="286"/>
      <c r="SCK1096" s="286"/>
      <c r="SCL1096" s="286"/>
      <c r="SCM1096" s="286"/>
      <c r="SCN1096" s="286"/>
      <c r="SCO1096" s="286"/>
      <c r="SCP1096" s="286"/>
      <c r="SCQ1096" s="286"/>
      <c r="SCR1096" s="286"/>
      <c r="SCS1096" s="286"/>
      <c r="SCT1096" s="286"/>
      <c r="SCU1096" s="286"/>
      <c r="SCV1096" s="286"/>
      <c r="SCW1096" s="286"/>
      <c r="SCX1096" s="286"/>
      <c r="SCY1096" s="286"/>
      <c r="SCZ1096" s="286"/>
      <c r="SDA1096" s="286"/>
      <c r="SDB1096" s="286"/>
      <c r="SDC1096" s="286"/>
      <c r="SDD1096" s="286"/>
      <c r="SDE1096" s="286"/>
      <c r="SDF1096" s="286"/>
      <c r="SDG1096" s="286"/>
      <c r="SDH1096" s="286"/>
      <c r="SDI1096" s="286"/>
      <c r="SDJ1096" s="286"/>
      <c r="SDK1096" s="286"/>
      <c r="SDL1096" s="286"/>
      <c r="SDM1096" s="286"/>
      <c r="SDN1096" s="286"/>
      <c r="SDO1096" s="286"/>
      <c r="SDP1096" s="286"/>
      <c r="SDQ1096" s="286"/>
      <c r="SDR1096" s="286"/>
      <c r="SDS1096" s="286"/>
      <c r="SDT1096" s="286"/>
      <c r="SDU1096" s="286"/>
      <c r="SDV1096" s="286"/>
      <c r="SDW1096" s="286"/>
      <c r="SDX1096" s="286"/>
      <c r="SDY1096" s="286"/>
      <c r="SDZ1096" s="286"/>
      <c r="SEA1096" s="286"/>
      <c r="SEB1096" s="286"/>
      <c r="SEC1096" s="286"/>
      <c r="SED1096" s="286"/>
      <c r="SEE1096" s="286"/>
      <c r="SEF1096" s="286"/>
      <c r="SEG1096" s="286"/>
      <c r="SEH1096" s="286"/>
      <c r="SEI1096" s="286"/>
      <c r="SEJ1096" s="286"/>
      <c r="SEK1096" s="286"/>
      <c r="SEL1096" s="286"/>
      <c r="SEM1096" s="286"/>
      <c r="SEN1096" s="286"/>
      <c r="SEO1096" s="286"/>
      <c r="SEP1096" s="286"/>
      <c r="SEQ1096" s="286"/>
      <c r="SER1096" s="286"/>
      <c r="SES1096" s="286"/>
      <c r="SET1096" s="286"/>
      <c r="SEU1096" s="286"/>
      <c r="SEV1096" s="286"/>
      <c r="SEW1096" s="286"/>
      <c r="SEX1096" s="286"/>
      <c r="SEY1096" s="286"/>
      <c r="SEZ1096" s="286"/>
      <c r="SFA1096" s="286"/>
      <c r="SFB1096" s="286"/>
      <c r="SFC1096" s="286"/>
      <c r="SFD1096" s="286"/>
      <c r="SFE1096" s="286"/>
      <c r="SFF1096" s="286"/>
      <c r="SFG1096" s="286"/>
      <c r="SFH1096" s="286"/>
      <c r="SFI1096" s="286"/>
      <c r="SFJ1096" s="286"/>
      <c r="SFK1096" s="286"/>
      <c r="SFL1096" s="286"/>
      <c r="SFM1096" s="286"/>
      <c r="SFN1096" s="286"/>
      <c r="SFO1096" s="286"/>
      <c r="SFP1096" s="286"/>
      <c r="SFQ1096" s="286"/>
      <c r="SFR1096" s="286"/>
      <c r="SFS1096" s="286"/>
      <c r="SFT1096" s="286"/>
      <c r="SFU1096" s="286"/>
      <c r="SFV1096" s="286"/>
      <c r="SFW1096" s="286"/>
      <c r="SFX1096" s="286"/>
      <c r="SFY1096" s="286"/>
      <c r="SFZ1096" s="286"/>
      <c r="SGA1096" s="286"/>
      <c r="SGB1096" s="286"/>
      <c r="SGC1096" s="286"/>
      <c r="SGD1096" s="286"/>
      <c r="SGE1096" s="286"/>
      <c r="SGF1096" s="286"/>
      <c r="SGG1096" s="286"/>
      <c r="SGH1096" s="286"/>
      <c r="SGI1096" s="286"/>
      <c r="SGJ1096" s="286"/>
      <c r="SGK1096" s="286"/>
      <c r="SGL1096" s="286"/>
      <c r="SGM1096" s="286"/>
      <c r="SGN1096" s="286"/>
      <c r="SGO1096" s="286"/>
      <c r="SGP1096" s="286"/>
      <c r="SGQ1096" s="286"/>
      <c r="SGR1096" s="286"/>
      <c r="SGS1096" s="286"/>
      <c r="SGT1096" s="286"/>
      <c r="SGU1096" s="286"/>
      <c r="SGV1096" s="286"/>
      <c r="SGW1096" s="286"/>
      <c r="SGX1096" s="286"/>
      <c r="SGY1096" s="286"/>
      <c r="SGZ1096" s="286"/>
      <c r="SHA1096" s="286"/>
      <c r="SHB1096" s="286"/>
      <c r="SHC1096" s="286"/>
      <c r="SHD1096" s="286"/>
      <c r="SHE1096" s="286"/>
      <c r="SHF1096" s="286"/>
      <c r="SHG1096" s="286"/>
      <c r="SHH1096" s="286"/>
      <c r="SHI1096" s="286"/>
      <c r="SHJ1096" s="286"/>
      <c r="SHK1096" s="286"/>
      <c r="SHL1096" s="286"/>
      <c r="SHM1096" s="286"/>
      <c r="SHN1096" s="286"/>
      <c r="SHO1096" s="286"/>
      <c r="SHP1096" s="286"/>
      <c r="SHQ1096" s="286"/>
      <c r="SHR1096" s="286"/>
      <c r="SHS1096" s="286"/>
      <c r="SHT1096" s="286"/>
      <c r="SHU1096" s="286"/>
      <c r="SHV1096" s="286"/>
      <c r="SHW1096" s="286"/>
      <c r="SHX1096" s="286"/>
      <c r="SHY1096" s="286"/>
      <c r="SHZ1096" s="286"/>
      <c r="SIA1096" s="286"/>
      <c r="SIB1096" s="286"/>
      <c r="SIC1096" s="286"/>
      <c r="SID1096" s="286"/>
      <c r="SIE1096" s="286"/>
      <c r="SIF1096" s="286"/>
      <c r="SIG1096" s="286"/>
      <c r="SIH1096" s="286"/>
      <c r="SII1096" s="286"/>
      <c r="SIJ1096" s="286"/>
      <c r="SIK1096" s="286"/>
      <c r="SIL1096" s="286"/>
      <c r="SIM1096" s="286"/>
      <c r="SIN1096" s="286"/>
      <c r="SIO1096" s="286"/>
      <c r="SIP1096" s="286"/>
      <c r="SIQ1096" s="286"/>
      <c r="SIR1096" s="286"/>
      <c r="SIS1096" s="286"/>
      <c r="SIT1096" s="286"/>
      <c r="SIU1096" s="286"/>
      <c r="SIV1096" s="286"/>
      <c r="SIW1096" s="286"/>
      <c r="SIX1096" s="286"/>
      <c r="SIY1096" s="286"/>
      <c r="SIZ1096" s="286"/>
      <c r="SJA1096" s="286"/>
      <c r="SJB1096" s="286"/>
      <c r="SJC1096" s="286"/>
      <c r="SJD1096" s="286"/>
      <c r="SJE1096" s="286"/>
      <c r="SJF1096" s="286"/>
      <c r="SJG1096" s="286"/>
      <c r="SJH1096" s="286"/>
      <c r="SJI1096" s="286"/>
      <c r="SJJ1096" s="286"/>
      <c r="SJK1096" s="286"/>
      <c r="SJL1096" s="286"/>
      <c r="SJM1096" s="286"/>
      <c r="SJN1096" s="286"/>
      <c r="SJO1096" s="286"/>
      <c r="SJP1096" s="286"/>
      <c r="SJQ1096" s="286"/>
      <c r="SJR1096" s="286"/>
      <c r="SJS1096" s="286"/>
      <c r="SJT1096" s="286"/>
      <c r="SJU1096" s="286"/>
      <c r="SJV1096" s="286"/>
      <c r="SJW1096" s="286"/>
      <c r="SJX1096" s="286"/>
      <c r="SJY1096" s="286"/>
      <c r="SJZ1096" s="286"/>
      <c r="SKA1096" s="286"/>
      <c r="SKB1096" s="286"/>
      <c r="SKC1096" s="286"/>
      <c r="SKD1096" s="286"/>
      <c r="SKE1096" s="286"/>
      <c r="SKF1096" s="286"/>
      <c r="SKG1096" s="286"/>
      <c r="SKH1096" s="286"/>
      <c r="SKI1096" s="286"/>
      <c r="SKJ1096" s="286"/>
      <c r="SKK1096" s="286"/>
      <c r="SKL1096" s="286"/>
      <c r="SKM1096" s="286"/>
      <c r="SKN1096" s="286"/>
      <c r="SKO1096" s="286"/>
      <c r="SKP1096" s="286"/>
      <c r="SKQ1096" s="286"/>
      <c r="SKR1096" s="286"/>
      <c r="SKS1096" s="286"/>
      <c r="SKT1096" s="286"/>
      <c r="SKU1096" s="286"/>
      <c r="SKV1096" s="286"/>
      <c r="SKW1096" s="286"/>
      <c r="SKX1096" s="286"/>
      <c r="SKY1096" s="286"/>
      <c r="SKZ1096" s="286"/>
      <c r="SLA1096" s="286"/>
      <c r="SLB1096" s="286"/>
      <c r="SLC1096" s="286"/>
      <c r="SLD1096" s="286"/>
      <c r="SLE1096" s="286"/>
      <c r="SLF1096" s="286"/>
      <c r="SLG1096" s="286"/>
      <c r="SLH1096" s="286"/>
      <c r="SLI1096" s="286"/>
      <c r="SLJ1096" s="286"/>
      <c r="SLK1096" s="286"/>
      <c r="SLL1096" s="286"/>
      <c r="SLM1096" s="286"/>
      <c r="SLN1096" s="286"/>
      <c r="SLO1096" s="286"/>
      <c r="SLP1096" s="286"/>
      <c r="SLQ1096" s="286"/>
      <c r="SLR1096" s="286"/>
      <c r="SLS1096" s="286"/>
      <c r="SLT1096" s="286"/>
      <c r="SLU1096" s="286"/>
      <c r="SLV1096" s="286"/>
      <c r="SLW1096" s="286"/>
      <c r="SLX1096" s="286"/>
      <c r="SLY1096" s="286"/>
      <c r="SLZ1096" s="286"/>
      <c r="SMA1096" s="286"/>
      <c r="SMB1096" s="286"/>
      <c r="SMC1096" s="286"/>
      <c r="SMD1096" s="286"/>
      <c r="SME1096" s="286"/>
      <c r="SMF1096" s="286"/>
      <c r="SMG1096" s="286"/>
      <c r="SMH1096" s="286"/>
      <c r="SMI1096" s="286"/>
      <c r="SMJ1096" s="286"/>
      <c r="SMK1096" s="286"/>
      <c r="SML1096" s="286"/>
      <c r="SMM1096" s="286"/>
      <c r="SMN1096" s="286"/>
      <c r="SMO1096" s="286"/>
      <c r="SMP1096" s="286"/>
      <c r="SMQ1096" s="286"/>
      <c r="SMR1096" s="286"/>
      <c r="SMS1096" s="286"/>
      <c r="SMT1096" s="286"/>
      <c r="SMU1096" s="286"/>
      <c r="SMV1096" s="286"/>
      <c r="SMW1096" s="286"/>
      <c r="SMX1096" s="286"/>
      <c r="SMY1096" s="286"/>
      <c r="SMZ1096" s="286"/>
      <c r="SNA1096" s="286"/>
      <c r="SNB1096" s="286"/>
      <c r="SNC1096" s="286"/>
      <c r="SND1096" s="286"/>
      <c r="SNE1096" s="286"/>
      <c r="SNF1096" s="286"/>
      <c r="SNG1096" s="286"/>
      <c r="SNH1096" s="286"/>
      <c r="SNI1096" s="286"/>
      <c r="SNJ1096" s="286"/>
      <c r="SNK1096" s="286"/>
      <c r="SNL1096" s="286"/>
      <c r="SNM1096" s="286"/>
      <c r="SNN1096" s="286"/>
      <c r="SNO1096" s="286"/>
      <c r="SNP1096" s="286"/>
      <c r="SNQ1096" s="286"/>
      <c r="SNR1096" s="286"/>
      <c r="SNS1096" s="286"/>
      <c r="SNT1096" s="286"/>
      <c r="SNU1096" s="286"/>
      <c r="SNV1096" s="286"/>
      <c r="SNW1096" s="286"/>
      <c r="SNX1096" s="286"/>
      <c r="SNY1096" s="286"/>
      <c r="SNZ1096" s="286"/>
      <c r="SOA1096" s="286"/>
      <c r="SOB1096" s="286"/>
      <c r="SOC1096" s="286"/>
      <c r="SOD1096" s="286"/>
      <c r="SOE1096" s="286"/>
      <c r="SOF1096" s="286"/>
      <c r="SOG1096" s="286"/>
      <c r="SOH1096" s="286"/>
      <c r="SOI1096" s="286"/>
      <c r="SOJ1096" s="286"/>
      <c r="SOK1096" s="286"/>
      <c r="SOL1096" s="286"/>
      <c r="SOM1096" s="286"/>
      <c r="SON1096" s="286"/>
      <c r="SOO1096" s="286"/>
      <c r="SOP1096" s="286"/>
      <c r="SOQ1096" s="286"/>
      <c r="SOR1096" s="286"/>
      <c r="SOS1096" s="286"/>
      <c r="SOT1096" s="286"/>
      <c r="SOU1096" s="286"/>
      <c r="SOV1096" s="286"/>
      <c r="SOW1096" s="286"/>
      <c r="SOX1096" s="286"/>
      <c r="SOY1096" s="286"/>
      <c r="SOZ1096" s="286"/>
      <c r="SPA1096" s="286"/>
      <c r="SPB1096" s="286"/>
      <c r="SPC1096" s="286"/>
      <c r="SPD1096" s="286"/>
      <c r="SPE1096" s="286"/>
      <c r="SPF1096" s="286"/>
      <c r="SPG1096" s="286"/>
      <c r="SPH1096" s="286"/>
      <c r="SPI1096" s="286"/>
      <c r="SPJ1096" s="286"/>
      <c r="SPK1096" s="286"/>
      <c r="SPL1096" s="286"/>
      <c r="SPM1096" s="286"/>
      <c r="SPN1096" s="286"/>
      <c r="SPO1096" s="286"/>
      <c r="SPP1096" s="286"/>
      <c r="SPQ1096" s="286"/>
      <c r="SPR1096" s="286"/>
      <c r="SPS1096" s="286"/>
      <c r="SPT1096" s="286"/>
      <c r="SPU1096" s="286"/>
      <c r="SPV1096" s="286"/>
      <c r="SPW1096" s="286"/>
      <c r="SPX1096" s="286"/>
      <c r="SPY1096" s="286"/>
      <c r="SPZ1096" s="286"/>
      <c r="SQA1096" s="286"/>
      <c r="SQB1096" s="286"/>
      <c r="SQC1096" s="286"/>
      <c r="SQD1096" s="286"/>
      <c r="SQE1096" s="286"/>
      <c r="SQF1096" s="286"/>
      <c r="SQG1096" s="286"/>
      <c r="SQH1096" s="286"/>
      <c r="SQI1096" s="286"/>
      <c r="SQJ1096" s="286"/>
      <c r="SQK1096" s="286"/>
      <c r="SQL1096" s="286"/>
      <c r="SQM1096" s="286"/>
      <c r="SQN1096" s="286"/>
      <c r="SQO1096" s="286"/>
      <c r="SQP1096" s="286"/>
      <c r="SQQ1096" s="286"/>
      <c r="SQR1096" s="286"/>
      <c r="SQS1096" s="286"/>
      <c r="SQT1096" s="286"/>
      <c r="SQU1096" s="286"/>
      <c r="SQV1096" s="286"/>
      <c r="SQW1096" s="286"/>
      <c r="SQX1096" s="286"/>
      <c r="SQY1096" s="286"/>
      <c r="SQZ1096" s="286"/>
      <c r="SRA1096" s="286"/>
      <c r="SRB1096" s="286"/>
      <c r="SRC1096" s="286"/>
      <c r="SRD1096" s="286"/>
      <c r="SRE1096" s="286"/>
      <c r="SRF1096" s="286"/>
      <c r="SRG1096" s="286"/>
      <c r="SRH1096" s="286"/>
      <c r="SRI1096" s="286"/>
      <c r="SRJ1096" s="286"/>
      <c r="SRK1096" s="286"/>
      <c r="SRL1096" s="286"/>
      <c r="SRM1096" s="286"/>
      <c r="SRN1096" s="286"/>
      <c r="SRO1096" s="286"/>
      <c r="SRP1096" s="286"/>
      <c r="SRQ1096" s="286"/>
      <c r="SRR1096" s="286"/>
      <c r="SRS1096" s="286"/>
      <c r="SRT1096" s="286"/>
      <c r="SRU1096" s="286"/>
      <c r="SRV1096" s="286"/>
      <c r="SRW1096" s="286"/>
      <c r="SRX1096" s="286"/>
      <c r="SRY1096" s="286"/>
      <c r="SRZ1096" s="286"/>
      <c r="SSA1096" s="286"/>
      <c r="SSB1096" s="286"/>
      <c r="SSC1096" s="286"/>
      <c r="SSD1096" s="286"/>
      <c r="SSE1096" s="286"/>
      <c r="SSF1096" s="286"/>
      <c r="SSG1096" s="286"/>
      <c r="SSH1096" s="286"/>
      <c r="SSI1096" s="286"/>
      <c r="SSJ1096" s="286"/>
      <c r="SSK1096" s="286"/>
      <c r="SSL1096" s="286"/>
      <c r="SSM1096" s="286"/>
      <c r="SSN1096" s="286"/>
      <c r="SSO1096" s="286"/>
      <c r="SSP1096" s="286"/>
      <c r="SSQ1096" s="286"/>
      <c r="SSR1096" s="286"/>
      <c r="SSS1096" s="286"/>
      <c r="SST1096" s="286"/>
      <c r="SSU1096" s="286"/>
      <c r="SSV1096" s="286"/>
      <c r="SSW1096" s="286"/>
      <c r="SSX1096" s="286"/>
      <c r="SSY1096" s="286"/>
      <c r="SSZ1096" s="286"/>
      <c r="STA1096" s="286"/>
      <c r="STB1096" s="286"/>
      <c r="STC1096" s="286"/>
      <c r="STD1096" s="286"/>
      <c r="STE1096" s="286"/>
      <c r="STF1096" s="286"/>
      <c r="STG1096" s="286"/>
      <c r="STH1096" s="286"/>
      <c r="STI1096" s="286"/>
      <c r="STJ1096" s="286"/>
      <c r="STK1096" s="286"/>
      <c r="STL1096" s="286"/>
      <c r="STM1096" s="286"/>
      <c r="STN1096" s="286"/>
      <c r="STO1096" s="286"/>
      <c r="STP1096" s="286"/>
      <c r="STQ1096" s="286"/>
      <c r="STR1096" s="286"/>
      <c r="STS1096" s="286"/>
      <c r="STT1096" s="286"/>
      <c r="STU1096" s="286"/>
      <c r="STV1096" s="286"/>
      <c r="STW1096" s="286"/>
      <c r="STX1096" s="286"/>
      <c r="STY1096" s="286"/>
      <c r="STZ1096" s="286"/>
      <c r="SUA1096" s="286"/>
      <c r="SUB1096" s="286"/>
      <c r="SUC1096" s="286"/>
      <c r="SUD1096" s="286"/>
      <c r="SUE1096" s="286"/>
      <c r="SUF1096" s="286"/>
      <c r="SUG1096" s="286"/>
      <c r="SUH1096" s="286"/>
      <c r="SUI1096" s="286"/>
      <c r="SUJ1096" s="286"/>
      <c r="SUK1096" s="286"/>
      <c r="SUL1096" s="286"/>
      <c r="SUM1096" s="286"/>
      <c r="SUN1096" s="286"/>
      <c r="SUO1096" s="286"/>
      <c r="SUP1096" s="286"/>
      <c r="SUQ1096" s="286"/>
      <c r="SUR1096" s="286"/>
      <c r="SUS1096" s="286"/>
      <c r="SUT1096" s="286"/>
      <c r="SUU1096" s="286"/>
      <c r="SUV1096" s="286"/>
      <c r="SUW1096" s="286"/>
      <c r="SUX1096" s="286"/>
      <c r="SUY1096" s="286"/>
      <c r="SUZ1096" s="286"/>
      <c r="SVA1096" s="286"/>
      <c r="SVB1096" s="286"/>
      <c r="SVC1096" s="286"/>
      <c r="SVD1096" s="286"/>
      <c r="SVE1096" s="286"/>
      <c r="SVF1096" s="286"/>
      <c r="SVG1096" s="286"/>
      <c r="SVH1096" s="286"/>
      <c r="SVI1096" s="286"/>
      <c r="SVJ1096" s="286"/>
      <c r="SVK1096" s="286"/>
      <c r="SVL1096" s="286"/>
      <c r="SVM1096" s="286"/>
      <c r="SVN1096" s="286"/>
      <c r="SVO1096" s="286"/>
      <c r="SVP1096" s="286"/>
      <c r="SVQ1096" s="286"/>
      <c r="SVR1096" s="286"/>
      <c r="SVS1096" s="286"/>
      <c r="SVT1096" s="286"/>
      <c r="SVU1096" s="286"/>
      <c r="SVV1096" s="286"/>
      <c r="SVW1096" s="286"/>
      <c r="SVX1096" s="286"/>
      <c r="SVY1096" s="286"/>
      <c r="SVZ1096" s="286"/>
      <c r="SWA1096" s="286"/>
      <c r="SWB1096" s="286"/>
      <c r="SWC1096" s="286"/>
      <c r="SWD1096" s="286"/>
      <c r="SWE1096" s="286"/>
      <c r="SWF1096" s="286"/>
      <c r="SWG1096" s="286"/>
      <c r="SWH1096" s="286"/>
      <c r="SWI1096" s="286"/>
      <c r="SWJ1096" s="286"/>
      <c r="SWK1096" s="286"/>
      <c r="SWL1096" s="286"/>
      <c r="SWM1096" s="286"/>
      <c r="SWN1096" s="286"/>
      <c r="SWO1096" s="286"/>
      <c r="SWP1096" s="286"/>
      <c r="SWQ1096" s="286"/>
      <c r="SWR1096" s="286"/>
      <c r="SWS1096" s="286"/>
      <c r="SWT1096" s="286"/>
      <c r="SWU1096" s="286"/>
      <c r="SWV1096" s="286"/>
      <c r="SWW1096" s="286"/>
      <c r="SWX1096" s="286"/>
      <c r="SWY1096" s="286"/>
      <c r="SWZ1096" s="286"/>
      <c r="SXA1096" s="286"/>
      <c r="SXB1096" s="286"/>
      <c r="SXC1096" s="286"/>
      <c r="SXD1096" s="286"/>
      <c r="SXE1096" s="286"/>
      <c r="SXF1096" s="286"/>
      <c r="SXG1096" s="286"/>
      <c r="SXH1096" s="286"/>
      <c r="SXI1096" s="286"/>
      <c r="SXJ1096" s="286"/>
      <c r="SXK1096" s="286"/>
      <c r="SXL1096" s="286"/>
      <c r="SXM1096" s="286"/>
      <c r="SXN1096" s="286"/>
      <c r="SXO1096" s="286"/>
      <c r="SXP1096" s="286"/>
      <c r="SXQ1096" s="286"/>
      <c r="SXR1096" s="286"/>
      <c r="SXS1096" s="286"/>
      <c r="SXT1096" s="286"/>
      <c r="SXU1096" s="286"/>
      <c r="SXV1096" s="286"/>
      <c r="SXW1096" s="286"/>
      <c r="SXX1096" s="286"/>
      <c r="SXY1096" s="286"/>
      <c r="SXZ1096" s="286"/>
      <c r="SYA1096" s="286"/>
      <c r="SYB1096" s="286"/>
      <c r="SYC1096" s="286"/>
      <c r="SYD1096" s="286"/>
      <c r="SYE1096" s="286"/>
      <c r="SYF1096" s="286"/>
      <c r="SYG1096" s="286"/>
      <c r="SYH1096" s="286"/>
      <c r="SYI1096" s="286"/>
      <c r="SYJ1096" s="286"/>
      <c r="SYK1096" s="286"/>
      <c r="SYL1096" s="286"/>
      <c r="SYM1096" s="286"/>
      <c r="SYN1096" s="286"/>
      <c r="SYO1096" s="286"/>
      <c r="SYP1096" s="286"/>
      <c r="SYQ1096" s="286"/>
      <c r="SYR1096" s="286"/>
      <c r="SYS1096" s="286"/>
      <c r="SYT1096" s="286"/>
      <c r="SYU1096" s="286"/>
      <c r="SYV1096" s="286"/>
      <c r="SYW1096" s="286"/>
      <c r="SYX1096" s="286"/>
      <c r="SYY1096" s="286"/>
      <c r="SYZ1096" s="286"/>
      <c r="SZA1096" s="286"/>
      <c r="SZB1096" s="286"/>
      <c r="SZC1096" s="286"/>
      <c r="SZD1096" s="286"/>
      <c r="SZE1096" s="286"/>
      <c r="SZF1096" s="286"/>
      <c r="SZG1096" s="286"/>
      <c r="SZH1096" s="286"/>
      <c r="SZI1096" s="286"/>
      <c r="SZJ1096" s="286"/>
      <c r="SZK1096" s="286"/>
      <c r="SZL1096" s="286"/>
      <c r="SZM1096" s="286"/>
      <c r="SZN1096" s="286"/>
      <c r="SZO1096" s="286"/>
      <c r="SZP1096" s="286"/>
      <c r="SZQ1096" s="286"/>
      <c r="SZR1096" s="286"/>
      <c r="SZS1096" s="286"/>
      <c r="SZT1096" s="286"/>
      <c r="SZU1096" s="286"/>
      <c r="SZV1096" s="286"/>
      <c r="SZW1096" s="286"/>
      <c r="SZX1096" s="286"/>
      <c r="SZY1096" s="286"/>
      <c r="SZZ1096" s="286"/>
      <c r="TAA1096" s="286"/>
      <c r="TAB1096" s="286"/>
      <c r="TAC1096" s="286"/>
      <c r="TAD1096" s="286"/>
      <c r="TAE1096" s="286"/>
      <c r="TAF1096" s="286"/>
      <c r="TAG1096" s="286"/>
      <c r="TAH1096" s="286"/>
      <c r="TAI1096" s="286"/>
      <c r="TAJ1096" s="286"/>
      <c r="TAK1096" s="286"/>
      <c r="TAL1096" s="286"/>
      <c r="TAM1096" s="286"/>
      <c r="TAN1096" s="286"/>
      <c r="TAO1096" s="286"/>
      <c r="TAP1096" s="286"/>
      <c r="TAQ1096" s="286"/>
      <c r="TAR1096" s="286"/>
      <c r="TAS1096" s="286"/>
      <c r="TAT1096" s="286"/>
      <c r="TAU1096" s="286"/>
      <c r="TAV1096" s="286"/>
      <c r="TAW1096" s="286"/>
      <c r="TAX1096" s="286"/>
      <c r="TAY1096" s="286"/>
      <c r="TAZ1096" s="286"/>
      <c r="TBA1096" s="286"/>
      <c r="TBB1096" s="286"/>
      <c r="TBC1096" s="286"/>
      <c r="TBD1096" s="286"/>
      <c r="TBE1096" s="286"/>
      <c r="TBF1096" s="286"/>
      <c r="TBG1096" s="286"/>
      <c r="TBH1096" s="286"/>
      <c r="TBI1096" s="286"/>
      <c r="TBJ1096" s="286"/>
      <c r="TBK1096" s="286"/>
      <c r="TBL1096" s="286"/>
      <c r="TBM1096" s="286"/>
      <c r="TBN1096" s="286"/>
      <c r="TBO1096" s="286"/>
      <c r="TBP1096" s="286"/>
      <c r="TBQ1096" s="286"/>
      <c r="TBR1096" s="286"/>
      <c r="TBS1096" s="286"/>
      <c r="TBT1096" s="286"/>
      <c r="TBU1096" s="286"/>
      <c r="TBV1096" s="286"/>
      <c r="TBW1096" s="286"/>
      <c r="TBX1096" s="286"/>
      <c r="TBY1096" s="286"/>
      <c r="TBZ1096" s="286"/>
      <c r="TCA1096" s="286"/>
      <c r="TCB1096" s="286"/>
      <c r="TCC1096" s="286"/>
      <c r="TCD1096" s="286"/>
      <c r="TCE1096" s="286"/>
      <c r="TCF1096" s="286"/>
      <c r="TCG1096" s="286"/>
      <c r="TCH1096" s="286"/>
      <c r="TCI1096" s="286"/>
      <c r="TCJ1096" s="286"/>
      <c r="TCK1096" s="286"/>
      <c r="TCL1096" s="286"/>
      <c r="TCM1096" s="286"/>
      <c r="TCN1096" s="286"/>
      <c r="TCO1096" s="286"/>
      <c r="TCP1096" s="286"/>
      <c r="TCQ1096" s="286"/>
      <c r="TCR1096" s="286"/>
      <c r="TCS1096" s="286"/>
      <c r="TCT1096" s="286"/>
      <c r="TCU1096" s="286"/>
      <c r="TCV1096" s="286"/>
      <c r="TCW1096" s="286"/>
      <c r="TCX1096" s="286"/>
      <c r="TCY1096" s="286"/>
      <c r="TCZ1096" s="286"/>
      <c r="TDA1096" s="286"/>
      <c r="TDB1096" s="286"/>
      <c r="TDC1096" s="286"/>
      <c r="TDD1096" s="286"/>
      <c r="TDE1096" s="286"/>
      <c r="TDF1096" s="286"/>
      <c r="TDG1096" s="286"/>
      <c r="TDH1096" s="286"/>
      <c r="TDI1096" s="286"/>
      <c r="TDJ1096" s="286"/>
      <c r="TDK1096" s="286"/>
      <c r="TDL1096" s="286"/>
      <c r="TDM1096" s="286"/>
      <c r="TDN1096" s="286"/>
      <c r="TDO1096" s="286"/>
      <c r="TDP1096" s="286"/>
      <c r="TDQ1096" s="286"/>
      <c r="TDR1096" s="286"/>
      <c r="TDS1096" s="286"/>
      <c r="TDT1096" s="286"/>
      <c r="TDU1096" s="286"/>
      <c r="TDV1096" s="286"/>
      <c r="TDW1096" s="286"/>
      <c r="TDX1096" s="286"/>
      <c r="TDY1096" s="286"/>
      <c r="TDZ1096" s="286"/>
      <c r="TEA1096" s="286"/>
      <c r="TEB1096" s="286"/>
      <c r="TEC1096" s="286"/>
      <c r="TED1096" s="286"/>
      <c r="TEE1096" s="286"/>
      <c r="TEF1096" s="286"/>
      <c r="TEG1096" s="286"/>
      <c r="TEH1096" s="286"/>
      <c r="TEI1096" s="286"/>
      <c r="TEJ1096" s="286"/>
      <c r="TEK1096" s="286"/>
      <c r="TEL1096" s="286"/>
      <c r="TEM1096" s="286"/>
      <c r="TEN1096" s="286"/>
      <c r="TEO1096" s="286"/>
      <c r="TEP1096" s="286"/>
      <c r="TEQ1096" s="286"/>
      <c r="TER1096" s="286"/>
      <c r="TES1096" s="286"/>
      <c r="TET1096" s="286"/>
      <c r="TEU1096" s="286"/>
      <c r="TEV1096" s="286"/>
      <c r="TEW1096" s="286"/>
      <c r="TEX1096" s="286"/>
      <c r="TEY1096" s="286"/>
      <c r="TEZ1096" s="286"/>
      <c r="TFA1096" s="286"/>
      <c r="TFB1096" s="286"/>
      <c r="TFC1096" s="286"/>
      <c r="TFD1096" s="286"/>
      <c r="TFE1096" s="286"/>
      <c r="TFF1096" s="286"/>
      <c r="TFG1096" s="286"/>
      <c r="TFH1096" s="286"/>
      <c r="TFI1096" s="286"/>
      <c r="TFJ1096" s="286"/>
      <c r="TFK1096" s="286"/>
      <c r="TFL1096" s="286"/>
      <c r="TFM1096" s="286"/>
      <c r="TFN1096" s="286"/>
      <c r="TFO1096" s="286"/>
      <c r="TFP1096" s="286"/>
      <c r="TFQ1096" s="286"/>
      <c r="TFR1096" s="286"/>
      <c r="TFS1096" s="286"/>
      <c r="TFT1096" s="286"/>
      <c r="TFU1096" s="286"/>
      <c r="TFV1096" s="286"/>
      <c r="TFW1096" s="286"/>
      <c r="TFX1096" s="286"/>
      <c r="TFY1096" s="286"/>
      <c r="TFZ1096" s="286"/>
      <c r="TGA1096" s="286"/>
      <c r="TGB1096" s="286"/>
      <c r="TGC1096" s="286"/>
      <c r="TGD1096" s="286"/>
      <c r="TGE1096" s="286"/>
      <c r="TGF1096" s="286"/>
      <c r="TGG1096" s="286"/>
      <c r="TGH1096" s="286"/>
      <c r="TGI1096" s="286"/>
      <c r="TGJ1096" s="286"/>
      <c r="TGK1096" s="286"/>
      <c r="TGL1096" s="286"/>
      <c r="TGM1096" s="286"/>
      <c r="TGN1096" s="286"/>
      <c r="TGO1096" s="286"/>
      <c r="TGP1096" s="286"/>
      <c r="TGQ1096" s="286"/>
      <c r="TGR1096" s="286"/>
      <c r="TGS1096" s="286"/>
      <c r="TGT1096" s="286"/>
      <c r="TGU1096" s="286"/>
      <c r="TGV1096" s="286"/>
      <c r="TGW1096" s="286"/>
      <c r="TGX1096" s="286"/>
      <c r="TGY1096" s="286"/>
      <c r="TGZ1096" s="286"/>
      <c r="THA1096" s="286"/>
      <c r="THB1096" s="286"/>
      <c r="THC1096" s="286"/>
      <c r="THD1096" s="286"/>
      <c r="THE1096" s="286"/>
      <c r="THF1096" s="286"/>
      <c r="THG1096" s="286"/>
      <c r="THH1096" s="286"/>
      <c r="THI1096" s="286"/>
      <c r="THJ1096" s="286"/>
      <c r="THK1096" s="286"/>
      <c r="THL1096" s="286"/>
      <c r="THM1096" s="286"/>
      <c r="THN1096" s="286"/>
      <c r="THO1096" s="286"/>
      <c r="THP1096" s="286"/>
      <c r="THQ1096" s="286"/>
      <c r="THR1096" s="286"/>
      <c r="THS1096" s="286"/>
      <c r="THT1096" s="286"/>
      <c r="THU1096" s="286"/>
      <c r="THV1096" s="286"/>
      <c r="THW1096" s="286"/>
      <c r="THX1096" s="286"/>
      <c r="THY1096" s="286"/>
      <c r="THZ1096" s="286"/>
      <c r="TIA1096" s="286"/>
      <c r="TIB1096" s="286"/>
      <c r="TIC1096" s="286"/>
      <c r="TID1096" s="286"/>
      <c r="TIE1096" s="286"/>
      <c r="TIF1096" s="286"/>
      <c r="TIG1096" s="286"/>
      <c r="TIH1096" s="286"/>
      <c r="TII1096" s="286"/>
      <c r="TIJ1096" s="286"/>
      <c r="TIK1096" s="286"/>
      <c r="TIL1096" s="286"/>
      <c r="TIM1096" s="286"/>
      <c r="TIN1096" s="286"/>
      <c r="TIO1096" s="286"/>
      <c r="TIP1096" s="286"/>
      <c r="TIQ1096" s="286"/>
      <c r="TIR1096" s="286"/>
      <c r="TIS1096" s="286"/>
      <c r="TIT1096" s="286"/>
      <c r="TIU1096" s="286"/>
      <c r="TIV1096" s="286"/>
      <c r="TIW1096" s="286"/>
      <c r="TIX1096" s="286"/>
      <c r="TIY1096" s="286"/>
      <c r="TIZ1096" s="286"/>
      <c r="TJA1096" s="286"/>
      <c r="TJB1096" s="286"/>
      <c r="TJC1096" s="286"/>
      <c r="TJD1096" s="286"/>
      <c r="TJE1096" s="286"/>
      <c r="TJF1096" s="286"/>
      <c r="TJG1096" s="286"/>
      <c r="TJH1096" s="286"/>
      <c r="TJI1096" s="286"/>
      <c r="TJJ1096" s="286"/>
      <c r="TJK1096" s="286"/>
      <c r="TJL1096" s="286"/>
      <c r="TJM1096" s="286"/>
      <c r="TJN1096" s="286"/>
      <c r="TJO1096" s="286"/>
      <c r="TJP1096" s="286"/>
      <c r="TJQ1096" s="286"/>
      <c r="TJR1096" s="286"/>
      <c r="TJS1096" s="286"/>
      <c r="TJT1096" s="286"/>
      <c r="TJU1096" s="286"/>
      <c r="TJV1096" s="286"/>
      <c r="TJW1096" s="286"/>
      <c r="TJX1096" s="286"/>
      <c r="TJY1096" s="286"/>
      <c r="TJZ1096" s="286"/>
      <c r="TKA1096" s="286"/>
      <c r="TKB1096" s="286"/>
      <c r="TKC1096" s="286"/>
      <c r="TKD1096" s="286"/>
      <c r="TKE1096" s="286"/>
      <c r="TKF1096" s="286"/>
      <c r="TKG1096" s="286"/>
      <c r="TKH1096" s="286"/>
      <c r="TKI1096" s="286"/>
      <c r="TKJ1096" s="286"/>
      <c r="TKK1096" s="286"/>
      <c r="TKL1096" s="286"/>
      <c r="TKM1096" s="286"/>
      <c r="TKN1096" s="286"/>
      <c r="TKO1096" s="286"/>
      <c r="TKP1096" s="286"/>
      <c r="TKQ1096" s="286"/>
      <c r="TKR1096" s="286"/>
      <c r="TKS1096" s="286"/>
      <c r="TKT1096" s="286"/>
      <c r="TKU1096" s="286"/>
      <c r="TKV1096" s="286"/>
      <c r="TKW1096" s="286"/>
      <c r="TKX1096" s="286"/>
      <c r="TKY1096" s="286"/>
      <c r="TKZ1096" s="286"/>
      <c r="TLA1096" s="286"/>
      <c r="TLB1096" s="286"/>
      <c r="TLC1096" s="286"/>
      <c r="TLD1096" s="286"/>
      <c r="TLE1096" s="286"/>
      <c r="TLF1096" s="286"/>
      <c r="TLG1096" s="286"/>
      <c r="TLH1096" s="286"/>
      <c r="TLI1096" s="286"/>
      <c r="TLJ1096" s="286"/>
      <c r="TLK1096" s="286"/>
      <c r="TLL1096" s="286"/>
      <c r="TLM1096" s="286"/>
      <c r="TLN1096" s="286"/>
      <c r="TLO1096" s="286"/>
      <c r="TLP1096" s="286"/>
      <c r="TLQ1096" s="286"/>
      <c r="TLR1096" s="286"/>
      <c r="TLS1096" s="286"/>
      <c r="TLT1096" s="286"/>
      <c r="TLU1096" s="286"/>
      <c r="TLV1096" s="286"/>
      <c r="TLW1096" s="286"/>
      <c r="TLX1096" s="286"/>
      <c r="TLY1096" s="286"/>
      <c r="TLZ1096" s="286"/>
      <c r="TMA1096" s="286"/>
      <c r="TMB1096" s="286"/>
      <c r="TMC1096" s="286"/>
      <c r="TMD1096" s="286"/>
      <c r="TME1096" s="286"/>
      <c r="TMF1096" s="286"/>
      <c r="TMG1096" s="286"/>
      <c r="TMH1096" s="286"/>
      <c r="TMI1096" s="286"/>
      <c r="TMJ1096" s="286"/>
      <c r="TMK1096" s="286"/>
      <c r="TML1096" s="286"/>
      <c r="TMM1096" s="286"/>
      <c r="TMN1096" s="286"/>
      <c r="TMO1096" s="286"/>
      <c r="TMP1096" s="286"/>
      <c r="TMQ1096" s="286"/>
      <c r="TMR1096" s="286"/>
      <c r="TMS1096" s="286"/>
      <c r="TMT1096" s="286"/>
      <c r="TMU1096" s="286"/>
      <c r="TMV1096" s="286"/>
      <c r="TMW1096" s="286"/>
      <c r="TMX1096" s="286"/>
      <c r="TMY1096" s="286"/>
      <c r="TMZ1096" s="286"/>
      <c r="TNA1096" s="286"/>
      <c r="TNB1096" s="286"/>
      <c r="TNC1096" s="286"/>
      <c r="TND1096" s="286"/>
      <c r="TNE1096" s="286"/>
      <c r="TNF1096" s="286"/>
      <c r="TNG1096" s="286"/>
      <c r="TNH1096" s="286"/>
      <c r="TNI1096" s="286"/>
      <c r="TNJ1096" s="286"/>
      <c r="TNK1096" s="286"/>
      <c r="TNL1096" s="286"/>
      <c r="TNM1096" s="286"/>
      <c r="TNN1096" s="286"/>
      <c r="TNO1096" s="286"/>
      <c r="TNP1096" s="286"/>
      <c r="TNQ1096" s="286"/>
      <c r="TNR1096" s="286"/>
      <c r="TNS1096" s="286"/>
      <c r="TNT1096" s="286"/>
      <c r="TNU1096" s="286"/>
      <c r="TNV1096" s="286"/>
      <c r="TNW1096" s="286"/>
      <c r="TNX1096" s="286"/>
      <c r="TNY1096" s="286"/>
      <c r="TNZ1096" s="286"/>
      <c r="TOA1096" s="286"/>
      <c r="TOB1096" s="286"/>
      <c r="TOC1096" s="286"/>
      <c r="TOD1096" s="286"/>
      <c r="TOE1096" s="286"/>
      <c r="TOF1096" s="286"/>
      <c r="TOG1096" s="286"/>
      <c r="TOH1096" s="286"/>
      <c r="TOI1096" s="286"/>
      <c r="TOJ1096" s="286"/>
      <c r="TOK1096" s="286"/>
      <c r="TOL1096" s="286"/>
      <c r="TOM1096" s="286"/>
      <c r="TON1096" s="286"/>
      <c r="TOO1096" s="286"/>
      <c r="TOP1096" s="286"/>
      <c r="TOQ1096" s="286"/>
      <c r="TOR1096" s="286"/>
      <c r="TOS1096" s="286"/>
      <c r="TOT1096" s="286"/>
      <c r="TOU1096" s="286"/>
      <c r="TOV1096" s="286"/>
      <c r="TOW1096" s="286"/>
      <c r="TOX1096" s="286"/>
      <c r="TOY1096" s="286"/>
      <c r="TOZ1096" s="286"/>
      <c r="TPA1096" s="286"/>
      <c r="TPB1096" s="286"/>
      <c r="TPC1096" s="286"/>
      <c r="TPD1096" s="286"/>
      <c r="TPE1096" s="286"/>
      <c r="TPF1096" s="286"/>
      <c r="TPG1096" s="286"/>
      <c r="TPH1096" s="286"/>
      <c r="TPI1096" s="286"/>
      <c r="TPJ1096" s="286"/>
      <c r="TPK1096" s="286"/>
      <c r="TPL1096" s="286"/>
      <c r="TPM1096" s="286"/>
      <c r="TPN1096" s="286"/>
      <c r="TPO1096" s="286"/>
      <c r="TPP1096" s="286"/>
      <c r="TPQ1096" s="286"/>
      <c r="TPR1096" s="286"/>
      <c r="TPS1096" s="286"/>
      <c r="TPT1096" s="286"/>
      <c r="TPU1096" s="286"/>
      <c r="TPV1096" s="286"/>
      <c r="TPW1096" s="286"/>
      <c r="TPX1096" s="286"/>
      <c r="TPY1096" s="286"/>
      <c r="TPZ1096" s="286"/>
      <c r="TQA1096" s="286"/>
      <c r="TQB1096" s="286"/>
      <c r="TQC1096" s="286"/>
      <c r="TQD1096" s="286"/>
      <c r="TQE1096" s="286"/>
      <c r="TQF1096" s="286"/>
      <c r="TQG1096" s="286"/>
      <c r="TQH1096" s="286"/>
      <c r="TQI1096" s="286"/>
      <c r="TQJ1096" s="286"/>
      <c r="TQK1096" s="286"/>
      <c r="TQL1096" s="286"/>
      <c r="TQM1096" s="286"/>
      <c r="TQN1096" s="286"/>
      <c r="TQO1096" s="286"/>
      <c r="TQP1096" s="286"/>
      <c r="TQQ1096" s="286"/>
      <c r="TQR1096" s="286"/>
      <c r="TQS1096" s="286"/>
      <c r="TQT1096" s="286"/>
      <c r="TQU1096" s="286"/>
      <c r="TQV1096" s="286"/>
      <c r="TQW1096" s="286"/>
      <c r="TQX1096" s="286"/>
      <c r="TQY1096" s="286"/>
      <c r="TQZ1096" s="286"/>
      <c r="TRA1096" s="286"/>
      <c r="TRB1096" s="286"/>
      <c r="TRC1096" s="286"/>
      <c r="TRD1096" s="286"/>
      <c r="TRE1096" s="286"/>
      <c r="TRF1096" s="286"/>
      <c r="TRG1096" s="286"/>
      <c r="TRH1096" s="286"/>
      <c r="TRI1096" s="286"/>
      <c r="TRJ1096" s="286"/>
      <c r="TRK1096" s="286"/>
      <c r="TRL1096" s="286"/>
      <c r="TRM1096" s="286"/>
      <c r="TRN1096" s="286"/>
      <c r="TRO1096" s="286"/>
      <c r="TRP1096" s="286"/>
      <c r="TRQ1096" s="286"/>
      <c r="TRR1096" s="286"/>
      <c r="TRS1096" s="286"/>
      <c r="TRT1096" s="286"/>
      <c r="TRU1096" s="286"/>
      <c r="TRV1096" s="286"/>
      <c r="TRW1096" s="286"/>
      <c r="TRX1096" s="286"/>
      <c r="TRY1096" s="286"/>
      <c r="TRZ1096" s="286"/>
      <c r="TSA1096" s="286"/>
      <c r="TSB1096" s="286"/>
      <c r="TSC1096" s="286"/>
      <c r="TSD1096" s="286"/>
      <c r="TSE1096" s="286"/>
      <c r="TSF1096" s="286"/>
      <c r="TSG1096" s="286"/>
      <c r="TSH1096" s="286"/>
      <c r="TSI1096" s="286"/>
      <c r="TSJ1096" s="286"/>
      <c r="TSK1096" s="286"/>
      <c r="TSL1096" s="286"/>
      <c r="TSM1096" s="286"/>
      <c r="TSN1096" s="286"/>
      <c r="TSO1096" s="286"/>
      <c r="TSP1096" s="286"/>
      <c r="TSQ1096" s="286"/>
      <c r="TSR1096" s="286"/>
      <c r="TSS1096" s="286"/>
      <c r="TST1096" s="286"/>
      <c r="TSU1096" s="286"/>
      <c r="TSV1096" s="286"/>
      <c r="TSW1096" s="286"/>
      <c r="TSX1096" s="286"/>
      <c r="TSY1096" s="286"/>
      <c r="TSZ1096" s="286"/>
      <c r="TTA1096" s="286"/>
      <c r="TTB1096" s="286"/>
      <c r="TTC1096" s="286"/>
      <c r="TTD1096" s="286"/>
      <c r="TTE1096" s="286"/>
      <c r="TTF1096" s="286"/>
      <c r="TTG1096" s="286"/>
      <c r="TTH1096" s="286"/>
      <c r="TTI1096" s="286"/>
      <c r="TTJ1096" s="286"/>
      <c r="TTK1096" s="286"/>
      <c r="TTL1096" s="286"/>
      <c r="TTM1096" s="286"/>
      <c r="TTN1096" s="286"/>
      <c r="TTO1096" s="286"/>
      <c r="TTP1096" s="286"/>
      <c r="TTQ1096" s="286"/>
      <c r="TTR1096" s="286"/>
      <c r="TTS1096" s="286"/>
      <c r="TTT1096" s="286"/>
      <c r="TTU1096" s="286"/>
      <c r="TTV1096" s="286"/>
      <c r="TTW1096" s="286"/>
      <c r="TTX1096" s="286"/>
      <c r="TTY1096" s="286"/>
      <c r="TTZ1096" s="286"/>
      <c r="TUA1096" s="286"/>
      <c r="TUB1096" s="286"/>
      <c r="TUC1096" s="286"/>
      <c r="TUD1096" s="286"/>
      <c r="TUE1096" s="286"/>
      <c r="TUF1096" s="286"/>
      <c r="TUG1096" s="286"/>
      <c r="TUH1096" s="286"/>
      <c r="TUI1096" s="286"/>
      <c r="TUJ1096" s="286"/>
      <c r="TUK1096" s="286"/>
      <c r="TUL1096" s="286"/>
      <c r="TUM1096" s="286"/>
      <c r="TUN1096" s="286"/>
      <c r="TUO1096" s="286"/>
      <c r="TUP1096" s="286"/>
      <c r="TUQ1096" s="286"/>
      <c r="TUR1096" s="286"/>
      <c r="TUS1096" s="286"/>
      <c r="TUT1096" s="286"/>
      <c r="TUU1096" s="286"/>
      <c r="TUV1096" s="286"/>
      <c r="TUW1096" s="286"/>
      <c r="TUX1096" s="286"/>
      <c r="TUY1096" s="286"/>
      <c r="TUZ1096" s="286"/>
      <c r="TVA1096" s="286"/>
      <c r="TVB1096" s="286"/>
      <c r="TVC1096" s="286"/>
      <c r="TVD1096" s="286"/>
      <c r="TVE1096" s="286"/>
      <c r="TVF1096" s="286"/>
      <c r="TVG1096" s="286"/>
      <c r="TVH1096" s="286"/>
      <c r="TVI1096" s="286"/>
      <c r="TVJ1096" s="286"/>
      <c r="TVK1096" s="286"/>
      <c r="TVL1096" s="286"/>
      <c r="TVM1096" s="286"/>
      <c r="TVN1096" s="286"/>
      <c r="TVO1096" s="286"/>
      <c r="TVP1096" s="286"/>
      <c r="TVQ1096" s="286"/>
      <c r="TVR1096" s="286"/>
      <c r="TVS1096" s="286"/>
      <c r="TVT1096" s="286"/>
      <c r="TVU1096" s="286"/>
      <c r="TVV1096" s="286"/>
      <c r="TVW1096" s="286"/>
      <c r="TVX1096" s="286"/>
      <c r="TVY1096" s="286"/>
      <c r="TVZ1096" s="286"/>
      <c r="TWA1096" s="286"/>
      <c r="TWB1096" s="286"/>
      <c r="TWC1096" s="286"/>
      <c r="TWD1096" s="286"/>
      <c r="TWE1096" s="286"/>
      <c r="TWF1096" s="286"/>
      <c r="TWG1096" s="286"/>
      <c r="TWH1096" s="286"/>
      <c r="TWI1096" s="286"/>
      <c r="TWJ1096" s="286"/>
      <c r="TWK1096" s="286"/>
      <c r="TWL1096" s="286"/>
      <c r="TWM1096" s="286"/>
      <c r="TWN1096" s="286"/>
      <c r="TWO1096" s="286"/>
      <c r="TWP1096" s="286"/>
      <c r="TWQ1096" s="286"/>
      <c r="TWR1096" s="286"/>
      <c r="TWS1096" s="286"/>
      <c r="TWT1096" s="286"/>
      <c r="TWU1096" s="286"/>
      <c r="TWV1096" s="286"/>
      <c r="TWW1096" s="286"/>
      <c r="TWX1096" s="286"/>
      <c r="TWY1096" s="286"/>
      <c r="TWZ1096" s="286"/>
      <c r="TXA1096" s="286"/>
      <c r="TXB1096" s="286"/>
      <c r="TXC1096" s="286"/>
      <c r="TXD1096" s="286"/>
      <c r="TXE1096" s="286"/>
      <c r="TXF1096" s="286"/>
      <c r="TXG1096" s="286"/>
      <c r="TXH1096" s="286"/>
      <c r="TXI1096" s="286"/>
      <c r="TXJ1096" s="286"/>
      <c r="TXK1096" s="286"/>
      <c r="TXL1096" s="286"/>
      <c r="TXM1096" s="286"/>
      <c r="TXN1096" s="286"/>
      <c r="TXO1096" s="286"/>
      <c r="TXP1096" s="286"/>
      <c r="TXQ1096" s="286"/>
      <c r="TXR1096" s="286"/>
      <c r="TXS1096" s="286"/>
      <c r="TXT1096" s="286"/>
      <c r="TXU1096" s="286"/>
      <c r="TXV1096" s="286"/>
      <c r="TXW1096" s="286"/>
      <c r="TXX1096" s="286"/>
      <c r="TXY1096" s="286"/>
      <c r="TXZ1096" s="286"/>
      <c r="TYA1096" s="286"/>
      <c r="TYB1096" s="286"/>
      <c r="TYC1096" s="286"/>
      <c r="TYD1096" s="286"/>
      <c r="TYE1096" s="286"/>
      <c r="TYF1096" s="286"/>
      <c r="TYG1096" s="286"/>
      <c r="TYH1096" s="286"/>
      <c r="TYI1096" s="286"/>
      <c r="TYJ1096" s="286"/>
      <c r="TYK1096" s="286"/>
      <c r="TYL1096" s="286"/>
      <c r="TYM1096" s="286"/>
      <c r="TYN1096" s="286"/>
      <c r="TYO1096" s="286"/>
      <c r="TYP1096" s="286"/>
      <c r="TYQ1096" s="286"/>
      <c r="TYR1096" s="286"/>
      <c r="TYS1096" s="286"/>
      <c r="TYT1096" s="286"/>
      <c r="TYU1096" s="286"/>
      <c r="TYV1096" s="286"/>
      <c r="TYW1096" s="286"/>
      <c r="TYX1096" s="286"/>
      <c r="TYY1096" s="286"/>
      <c r="TYZ1096" s="286"/>
      <c r="TZA1096" s="286"/>
      <c r="TZB1096" s="286"/>
      <c r="TZC1096" s="286"/>
      <c r="TZD1096" s="286"/>
      <c r="TZE1096" s="286"/>
      <c r="TZF1096" s="286"/>
      <c r="TZG1096" s="286"/>
      <c r="TZH1096" s="286"/>
      <c r="TZI1096" s="286"/>
      <c r="TZJ1096" s="286"/>
      <c r="TZK1096" s="286"/>
      <c r="TZL1096" s="286"/>
      <c r="TZM1096" s="286"/>
      <c r="TZN1096" s="286"/>
      <c r="TZO1096" s="286"/>
      <c r="TZP1096" s="286"/>
      <c r="TZQ1096" s="286"/>
      <c r="TZR1096" s="286"/>
      <c r="TZS1096" s="286"/>
      <c r="TZT1096" s="286"/>
      <c r="TZU1096" s="286"/>
      <c r="TZV1096" s="286"/>
      <c r="TZW1096" s="286"/>
      <c r="TZX1096" s="286"/>
      <c r="TZY1096" s="286"/>
      <c r="TZZ1096" s="286"/>
      <c r="UAA1096" s="286"/>
      <c r="UAB1096" s="286"/>
      <c r="UAC1096" s="286"/>
      <c r="UAD1096" s="286"/>
      <c r="UAE1096" s="286"/>
      <c r="UAF1096" s="286"/>
      <c r="UAG1096" s="286"/>
      <c r="UAH1096" s="286"/>
      <c r="UAI1096" s="286"/>
      <c r="UAJ1096" s="286"/>
      <c r="UAK1096" s="286"/>
      <c r="UAL1096" s="286"/>
      <c r="UAM1096" s="286"/>
      <c r="UAN1096" s="286"/>
      <c r="UAO1096" s="286"/>
      <c r="UAP1096" s="286"/>
      <c r="UAQ1096" s="286"/>
      <c r="UAR1096" s="286"/>
      <c r="UAS1096" s="286"/>
      <c r="UAT1096" s="286"/>
      <c r="UAU1096" s="286"/>
      <c r="UAV1096" s="286"/>
      <c r="UAW1096" s="286"/>
      <c r="UAX1096" s="286"/>
      <c r="UAY1096" s="286"/>
      <c r="UAZ1096" s="286"/>
      <c r="UBA1096" s="286"/>
      <c r="UBB1096" s="286"/>
      <c r="UBC1096" s="286"/>
      <c r="UBD1096" s="286"/>
      <c r="UBE1096" s="286"/>
      <c r="UBF1096" s="286"/>
      <c r="UBG1096" s="286"/>
      <c r="UBH1096" s="286"/>
      <c r="UBI1096" s="286"/>
      <c r="UBJ1096" s="286"/>
      <c r="UBK1096" s="286"/>
      <c r="UBL1096" s="286"/>
      <c r="UBM1096" s="286"/>
      <c r="UBN1096" s="286"/>
      <c r="UBO1096" s="286"/>
      <c r="UBP1096" s="286"/>
      <c r="UBQ1096" s="286"/>
      <c r="UBR1096" s="286"/>
      <c r="UBS1096" s="286"/>
      <c r="UBT1096" s="286"/>
      <c r="UBU1096" s="286"/>
      <c r="UBV1096" s="286"/>
      <c r="UBW1096" s="286"/>
      <c r="UBX1096" s="286"/>
      <c r="UBY1096" s="286"/>
      <c r="UBZ1096" s="286"/>
      <c r="UCA1096" s="286"/>
      <c r="UCB1096" s="286"/>
      <c r="UCC1096" s="286"/>
      <c r="UCD1096" s="286"/>
      <c r="UCE1096" s="286"/>
      <c r="UCF1096" s="286"/>
      <c r="UCG1096" s="286"/>
      <c r="UCH1096" s="286"/>
      <c r="UCI1096" s="286"/>
      <c r="UCJ1096" s="286"/>
      <c r="UCK1096" s="286"/>
      <c r="UCL1096" s="286"/>
      <c r="UCM1096" s="286"/>
      <c r="UCN1096" s="286"/>
      <c r="UCO1096" s="286"/>
      <c r="UCP1096" s="286"/>
      <c r="UCQ1096" s="286"/>
      <c r="UCR1096" s="286"/>
      <c r="UCS1096" s="286"/>
      <c r="UCT1096" s="286"/>
      <c r="UCU1096" s="286"/>
      <c r="UCV1096" s="286"/>
      <c r="UCW1096" s="286"/>
      <c r="UCX1096" s="286"/>
      <c r="UCY1096" s="286"/>
      <c r="UCZ1096" s="286"/>
      <c r="UDA1096" s="286"/>
      <c r="UDB1096" s="286"/>
      <c r="UDC1096" s="286"/>
      <c r="UDD1096" s="286"/>
      <c r="UDE1096" s="286"/>
      <c r="UDF1096" s="286"/>
      <c r="UDG1096" s="286"/>
      <c r="UDH1096" s="286"/>
      <c r="UDI1096" s="286"/>
      <c r="UDJ1096" s="286"/>
      <c r="UDK1096" s="286"/>
      <c r="UDL1096" s="286"/>
      <c r="UDM1096" s="286"/>
      <c r="UDN1096" s="286"/>
      <c r="UDO1096" s="286"/>
      <c r="UDP1096" s="286"/>
      <c r="UDQ1096" s="286"/>
      <c r="UDR1096" s="286"/>
      <c r="UDS1096" s="286"/>
      <c r="UDT1096" s="286"/>
      <c r="UDU1096" s="286"/>
      <c r="UDV1096" s="286"/>
      <c r="UDW1096" s="286"/>
      <c r="UDX1096" s="286"/>
      <c r="UDY1096" s="286"/>
      <c r="UDZ1096" s="286"/>
      <c r="UEA1096" s="286"/>
      <c r="UEB1096" s="286"/>
      <c r="UEC1096" s="286"/>
      <c r="UED1096" s="286"/>
      <c r="UEE1096" s="286"/>
      <c r="UEF1096" s="286"/>
      <c r="UEG1096" s="286"/>
      <c r="UEH1096" s="286"/>
      <c r="UEI1096" s="286"/>
      <c r="UEJ1096" s="286"/>
      <c r="UEK1096" s="286"/>
      <c r="UEL1096" s="286"/>
      <c r="UEM1096" s="286"/>
      <c r="UEN1096" s="286"/>
      <c r="UEO1096" s="286"/>
      <c r="UEP1096" s="286"/>
      <c r="UEQ1096" s="286"/>
      <c r="UER1096" s="286"/>
      <c r="UES1096" s="286"/>
      <c r="UET1096" s="286"/>
      <c r="UEU1096" s="286"/>
      <c r="UEV1096" s="286"/>
      <c r="UEW1096" s="286"/>
      <c r="UEX1096" s="286"/>
      <c r="UEY1096" s="286"/>
      <c r="UEZ1096" s="286"/>
      <c r="UFA1096" s="286"/>
      <c r="UFB1096" s="286"/>
      <c r="UFC1096" s="286"/>
      <c r="UFD1096" s="286"/>
      <c r="UFE1096" s="286"/>
      <c r="UFF1096" s="286"/>
      <c r="UFG1096" s="286"/>
      <c r="UFH1096" s="286"/>
      <c r="UFI1096" s="286"/>
      <c r="UFJ1096" s="286"/>
      <c r="UFK1096" s="286"/>
      <c r="UFL1096" s="286"/>
      <c r="UFM1096" s="286"/>
      <c r="UFN1096" s="286"/>
      <c r="UFO1096" s="286"/>
      <c r="UFP1096" s="286"/>
      <c r="UFQ1096" s="286"/>
      <c r="UFR1096" s="286"/>
      <c r="UFS1096" s="286"/>
      <c r="UFT1096" s="286"/>
      <c r="UFU1096" s="286"/>
      <c r="UFV1096" s="286"/>
      <c r="UFW1096" s="286"/>
      <c r="UFX1096" s="286"/>
      <c r="UFY1096" s="286"/>
      <c r="UFZ1096" s="286"/>
      <c r="UGA1096" s="286"/>
      <c r="UGB1096" s="286"/>
      <c r="UGC1096" s="286"/>
      <c r="UGD1096" s="286"/>
      <c r="UGE1096" s="286"/>
      <c r="UGF1096" s="286"/>
      <c r="UGG1096" s="286"/>
      <c r="UGH1096" s="286"/>
      <c r="UGI1096" s="286"/>
      <c r="UGJ1096" s="286"/>
      <c r="UGK1096" s="286"/>
      <c r="UGL1096" s="286"/>
      <c r="UGM1096" s="286"/>
      <c r="UGN1096" s="286"/>
      <c r="UGO1096" s="286"/>
      <c r="UGP1096" s="286"/>
      <c r="UGQ1096" s="286"/>
      <c r="UGR1096" s="286"/>
      <c r="UGS1096" s="286"/>
      <c r="UGT1096" s="286"/>
      <c r="UGU1096" s="286"/>
      <c r="UGV1096" s="286"/>
      <c r="UGW1096" s="286"/>
      <c r="UGX1096" s="286"/>
      <c r="UGY1096" s="286"/>
      <c r="UGZ1096" s="286"/>
      <c r="UHA1096" s="286"/>
      <c r="UHB1096" s="286"/>
      <c r="UHC1096" s="286"/>
      <c r="UHD1096" s="286"/>
      <c r="UHE1096" s="286"/>
      <c r="UHF1096" s="286"/>
      <c r="UHG1096" s="286"/>
      <c r="UHH1096" s="286"/>
      <c r="UHI1096" s="286"/>
      <c r="UHJ1096" s="286"/>
      <c r="UHK1096" s="286"/>
      <c r="UHL1096" s="286"/>
      <c r="UHM1096" s="286"/>
      <c r="UHN1096" s="286"/>
      <c r="UHO1096" s="286"/>
      <c r="UHP1096" s="286"/>
      <c r="UHQ1096" s="286"/>
      <c r="UHR1096" s="286"/>
      <c r="UHS1096" s="286"/>
      <c r="UHT1096" s="286"/>
      <c r="UHU1096" s="286"/>
      <c r="UHV1096" s="286"/>
      <c r="UHW1096" s="286"/>
      <c r="UHX1096" s="286"/>
      <c r="UHY1096" s="286"/>
      <c r="UHZ1096" s="286"/>
      <c r="UIA1096" s="286"/>
      <c r="UIB1096" s="286"/>
      <c r="UIC1096" s="286"/>
      <c r="UID1096" s="286"/>
      <c r="UIE1096" s="286"/>
      <c r="UIF1096" s="286"/>
      <c r="UIG1096" s="286"/>
      <c r="UIH1096" s="286"/>
      <c r="UII1096" s="286"/>
      <c r="UIJ1096" s="286"/>
      <c r="UIK1096" s="286"/>
      <c r="UIL1096" s="286"/>
      <c r="UIM1096" s="286"/>
      <c r="UIN1096" s="286"/>
      <c r="UIO1096" s="286"/>
      <c r="UIP1096" s="286"/>
      <c r="UIQ1096" s="286"/>
      <c r="UIR1096" s="286"/>
      <c r="UIS1096" s="286"/>
      <c r="UIT1096" s="286"/>
      <c r="UIU1096" s="286"/>
      <c r="UIV1096" s="286"/>
      <c r="UIW1096" s="286"/>
      <c r="UIX1096" s="286"/>
      <c r="UIY1096" s="286"/>
      <c r="UIZ1096" s="286"/>
      <c r="UJA1096" s="286"/>
      <c r="UJB1096" s="286"/>
      <c r="UJC1096" s="286"/>
      <c r="UJD1096" s="286"/>
      <c r="UJE1096" s="286"/>
      <c r="UJF1096" s="286"/>
      <c r="UJG1096" s="286"/>
      <c r="UJH1096" s="286"/>
      <c r="UJI1096" s="286"/>
      <c r="UJJ1096" s="286"/>
      <c r="UJK1096" s="286"/>
      <c r="UJL1096" s="286"/>
      <c r="UJM1096" s="286"/>
      <c r="UJN1096" s="286"/>
      <c r="UJO1096" s="286"/>
      <c r="UJP1096" s="286"/>
      <c r="UJQ1096" s="286"/>
      <c r="UJR1096" s="286"/>
      <c r="UJS1096" s="286"/>
      <c r="UJT1096" s="286"/>
      <c r="UJU1096" s="286"/>
      <c r="UJV1096" s="286"/>
      <c r="UJW1096" s="286"/>
      <c r="UJX1096" s="286"/>
      <c r="UJY1096" s="286"/>
      <c r="UJZ1096" s="286"/>
      <c r="UKA1096" s="286"/>
      <c r="UKB1096" s="286"/>
      <c r="UKC1096" s="286"/>
      <c r="UKD1096" s="286"/>
      <c r="UKE1096" s="286"/>
      <c r="UKF1096" s="286"/>
      <c r="UKG1096" s="286"/>
      <c r="UKH1096" s="286"/>
      <c r="UKI1096" s="286"/>
      <c r="UKJ1096" s="286"/>
      <c r="UKK1096" s="286"/>
      <c r="UKL1096" s="286"/>
      <c r="UKM1096" s="286"/>
      <c r="UKN1096" s="286"/>
      <c r="UKO1096" s="286"/>
      <c r="UKP1096" s="286"/>
      <c r="UKQ1096" s="286"/>
      <c r="UKR1096" s="286"/>
      <c r="UKS1096" s="286"/>
      <c r="UKT1096" s="286"/>
      <c r="UKU1096" s="286"/>
      <c r="UKV1096" s="286"/>
      <c r="UKW1096" s="286"/>
      <c r="UKX1096" s="286"/>
      <c r="UKY1096" s="286"/>
      <c r="UKZ1096" s="286"/>
      <c r="ULA1096" s="286"/>
      <c r="ULB1096" s="286"/>
      <c r="ULC1096" s="286"/>
      <c r="ULD1096" s="286"/>
      <c r="ULE1096" s="286"/>
      <c r="ULF1096" s="286"/>
      <c r="ULG1096" s="286"/>
      <c r="ULH1096" s="286"/>
      <c r="ULI1096" s="286"/>
      <c r="ULJ1096" s="286"/>
      <c r="ULK1096" s="286"/>
      <c r="ULL1096" s="286"/>
      <c r="ULM1096" s="286"/>
      <c r="ULN1096" s="286"/>
      <c r="ULO1096" s="286"/>
      <c r="ULP1096" s="286"/>
      <c r="ULQ1096" s="286"/>
      <c r="ULR1096" s="286"/>
      <c r="ULS1096" s="286"/>
      <c r="ULT1096" s="286"/>
      <c r="ULU1096" s="286"/>
      <c r="ULV1096" s="286"/>
      <c r="ULW1096" s="286"/>
      <c r="ULX1096" s="286"/>
      <c r="ULY1096" s="286"/>
      <c r="ULZ1096" s="286"/>
      <c r="UMA1096" s="286"/>
      <c r="UMB1096" s="286"/>
      <c r="UMC1096" s="286"/>
      <c r="UMD1096" s="286"/>
      <c r="UME1096" s="286"/>
      <c r="UMF1096" s="286"/>
      <c r="UMG1096" s="286"/>
      <c r="UMH1096" s="286"/>
      <c r="UMI1096" s="286"/>
      <c r="UMJ1096" s="286"/>
      <c r="UMK1096" s="286"/>
      <c r="UML1096" s="286"/>
      <c r="UMM1096" s="286"/>
      <c r="UMN1096" s="286"/>
      <c r="UMO1096" s="286"/>
      <c r="UMP1096" s="286"/>
      <c r="UMQ1096" s="286"/>
      <c r="UMR1096" s="286"/>
      <c r="UMS1096" s="286"/>
      <c r="UMT1096" s="286"/>
      <c r="UMU1096" s="286"/>
      <c r="UMV1096" s="286"/>
      <c r="UMW1096" s="286"/>
      <c r="UMX1096" s="286"/>
      <c r="UMY1096" s="286"/>
      <c r="UMZ1096" s="286"/>
      <c r="UNA1096" s="286"/>
      <c r="UNB1096" s="286"/>
      <c r="UNC1096" s="286"/>
      <c r="UND1096" s="286"/>
      <c r="UNE1096" s="286"/>
      <c r="UNF1096" s="286"/>
      <c r="UNG1096" s="286"/>
      <c r="UNH1096" s="286"/>
      <c r="UNI1096" s="286"/>
      <c r="UNJ1096" s="286"/>
      <c r="UNK1096" s="286"/>
      <c r="UNL1096" s="286"/>
      <c r="UNM1096" s="286"/>
      <c r="UNN1096" s="286"/>
      <c r="UNO1096" s="286"/>
      <c r="UNP1096" s="286"/>
      <c r="UNQ1096" s="286"/>
      <c r="UNR1096" s="286"/>
      <c r="UNS1096" s="286"/>
      <c r="UNT1096" s="286"/>
      <c r="UNU1096" s="286"/>
      <c r="UNV1096" s="286"/>
      <c r="UNW1096" s="286"/>
      <c r="UNX1096" s="286"/>
      <c r="UNY1096" s="286"/>
      <c r="UNZ1096" s="286"/>
      <c r="UOA1096" s="286"/>
      <c r="UOB1096" s="286"/>
      <c r="UOC1096" s="286"/>
      <c r="UOD1096" s="286"/>
      <c r="UOE1096" s="286"/>
      <c r="UOF1096" s="286"/>
      <c r="UOG1096" s="286"/>
      <c r="UOH1096" s="286"/>
      <c r="UOI1096" s="286"/>
      <c r="UOJ1096" s="286"/>
      <c r="UOK1096" s="286"/>
      <c r="UOL1096" s="286"/>
      <c r="UOM1096" s="286"/>
      <c r="UON1096" s="286"/>
      <c r="UOO1096" s="286"/>
      <c r="UOP1096" s="286"/>
      <c r="UOQ1096" s="286"/>
      <c r="UOR1096" s="286"/>
      <c r="UOS1096" s="286"/>
      <c r="UOT1096" s="286"/>
      <c r="UOU1096" s="286"/>
      <c r="UOV1096" s="286"/>
      <c r="UOW1096" s="286"/>
      <c r="UOX1096" s="286"/>
      <c r="UOY1096" s="286"/>
      <c r="UOZ1096" s="286"/>
      <c r="UPA1096" s="286"/>
      <c r="UPB1096" s="286"/>
      <c r="UPC1096" s="286"/>
      <c r="UPD1096" s="286"/>
      <c r="UPE1096" s="286"/>
      <c r="UPF1096" s="286"/>
      <c r="UPG1096" s="286"/>
      <c r="UPH1096" s="286"/>
      <c r="UPI1096" s="286"/>
      <c r="UPJ1096" s="286"/>
      <c r="UPK1096" s="286"/>
      <c r="UPL1096" s="286"/>
      <c r="UPM1096" s="286"/>
      <c r="UPN1096" s="286"/>
      <c r="UPO1096" s="286"/>
      <c r="UPP1096" s="286"/>
      <c r="UPQ1096" s="286"/>
      <c r="UPR1096" s="286"/>
      <c r="UPS1096" s="286"/>
      <c r="UPT1096" s="286"/>
      <c r="UPU1096" s="286"/>
      <c r="UPV1096" s="286"/>
      <c r="UPW1096" s="286"/>
      <c r="UPX1096" s="286"/>
      <c r="UPY1096" s="286"/>
      <c r="UPZ1096" s="286"/>
      <c r="UQA1096" s="286"/>
      <c r="UQB1096" s="286"/>
      <c r="UQC1096" s="286"/>
      <c r="UQD1096" s="286"/>
      <c r="UQE1096" s="286"/>
      <c r="UQF1096" s="286"/>
      <c r="UQG1096" s="286"/>
      <c r="UQH1096" s="286"/>
      <c r="UQI1096" s="286"/>
      <c r="UQJ1096" s="286"/>
      <c r="UQK1096" s="286"/>
      <c r="UQL1096" s="286"/>
      <c r="UQM1096" s="286"/>
      <c r="UQN1096" s="286"/>
      <c r="UQO1096" s="286"/>
      <c r="UQP1096" s="286"/>
      <c r="UQQ1096" s="286"/>
      <c r="UQR1096" s="286"/>
      <c r="UQS1096" s="286"/>
      <c r="UQT1096" s="286"/>
      <c r="UQU1096" s="286"/>
      <c r="UQV1096" s="286"/>
      <c r="UQW1096" s="286"/>
      <c r="UQX1096" s="286"/>
      <c r="UQY1096" s="286"/>
      <c r="UQZ1096" s="286"/>
      <c r="URA1096" s="286"/>
      <c r="URB1096" s="286"/>
      <c r="URC1096" s="286"/>
      <c r="URD1096" s="286"/>
      <c r="URE1096" s="286"/>
      <c r="URF1096" s="286"/>
      <c r="URG1096" s="286"/>
      <c r="URH1096" s="286"/>
      <c r="URI1096" s="286"/>
      <c r="URJ1096" s="286"/>
      <c r="URK1096" s="286"/>
      <c r="URL1096" s="286"/>
      <c r="URM1096" s="286"/>
      <c r="URN1096" s="286"/>
      <c r="URO1096" s="286"/>
      <c r="URP1096" s="286"/>
      <c r="URQ1096" s="286"/>
      <c r="URR1096" s="286"/>
      <c r="URS1096" s="286"/>
      <c r="URT1096" s="286"/>
      <c r="URU1096" s="286"/>
      <c r="URV1096" s="286"/>
      <c r="URW1096" s="286"/>
      <c r="URX1096" s="286"/>
      <c r="URY1096" s="286"/>
      <c r="URZ1096" s="286"/>
      <c r="USA1096" s="286"/>
      <c r="USB1096" s="286"/>
      <c r="USC1096" s="286"/>
      <c r="USD1096" s="286"/>
      <c r="USE1096" s="286"/>
      <c r="USF1096" s="286"/>
      <c r="USG1096" s="286"/>
      <c r="USH1096" s="286"/>
      <c r="USI1096" s="286"/>
      <c r="USJ1096" s="286"/>
      <c r="USK1096" s="286"/>
      <c r="USL1096" s="286"/>
      <c r="USM1096" s="286"/>
      <c r="USN1096" s="286"/>
      <c r="USO1096" s="286"/>
      <c r="USP1096" s="286"/>
      <c r="USQ1096" s="286"/>
      <c r="USR1096" s="286"/>
      <c r="USS1096" s="286"/>
      <c r="UST1096" s="286"/>
      <c r="USU1096" s="286"/>
      <c r="USV1096" s="286"/>
      <c r="USW1096" s="286"/>
      <c r="USX1096" s="286"/>
      <c r="USY1096" s="286"/>
      <c r="USZ1096" s="286"/>
      <c r="UTA1096" s="286"/>
      <c r="UTB1096" s="286"/>
      <c r="UTC1096" s="286"/>
      <c r="UTD1096" s="286"/>
      <c r="UTE1096" s="286"/>
      <c r="UTF1096" s="286"/>
      <c r="UTG1096" s="286"/>
      <c r="UTH1096" s="286"/>
      <c r="UTI1096" s="286"/>
      <c r="UTJ1096" s="286"/>
      <c r="UTK1096" s="286"/>
      <c r="UTL1096" s="286"/>
      <c r="UTM1096" s="286"/>
      <c r="UTN1096" s="286"/>
      <c r="UTO1096" s="286"/>
      <c r="UTP1096" s="286"/>
      <c r="UTQ1096" s="286"/>
      <c r="UTR1096" s="286"/>
      <c r="UTS1096" s="286"/>
      <c r="UTT1096" s="286"/>
      <c r="UTU1096" s="286"/>
      <c r="UTV1096" s="286"/>
      <c r="UTW1096" s="286"/>
      <c r="UTX1096" s="286"/>
      <c r="UTY1096" s="286"/>
      <c r="UTZ1096" s="286"/>
      <c r="UUA1096" s="286"/>
      <c r="UUB1096" s="286"/>
      <c r="UUC1096" s="286"/>
      <c r="UUD1096" s="286"/>
      <c r="UUE1096" s="286"/>
      <c r="UUF1096" s="286"/>
      <c r="UUG1096" s="286"/>
      <c r="UUH1096" s="286"/>
      <c r="UUI1096" s="286"/>
      <c r="UUJ1096" s="286"/>
      <c r="UUK1096" s="286"/>
      <c r="UUL1096" s="286"/>
      <c r="UUM1096" s="286"/>
      <c r="UUN1096" s="286"/>
      <c r="UUO1096" s="286"/>
      <c r="UUP1096" s="286"/>
      <c r="UUQ1096" s="286"/>
      <c r="UUR1096" s="286"/>
      <c r="UUS1096" s="286"/>
      <c r="UUT1096" s="286"/>
      <c r="UUU1096" s="286"/>
      <c r="UUV1096" s="286"/>
      <c r="UUW1096" s="286"/>
      <c r="UUX1096" s="286"/>
      <c r="UUY1096" s="286"/>
      <c r="UUZ1096" s="286"/>
      <c r="UVA1096" s="286"/>
      <c r="UVB1096" s="286"/>
      <c r="UVC1096" s="286"/>
      <c r="UVD1096" s="286"/>
      <c r="UVE1096" s="286"/>
      <c r="UVF1096" s="286"/>
      <c r="UVG1096" s="286"/>
      <c r="UVH1096" s="286"/>
      <c r="UVI1096" s="286"/>
      <c r="UVJ1096" s="286"/>
      <c r="UVK1096" s="286"/>
      <c r="UVL1096" s="286"/>
      <c r="UVM1096" s="286"/>
      <c r="UVN1096" s="286"/>
      <c r="UVO1096" s="286"/>
      <c r="UVP1096" s="286"/>
      <c r="UVQ1096" s="286"/>
      <c r="UVR1096" s="286"/>
      <c r="UVS1096" s="286"/>
      <c r="UVT1096" s="286"/>
      <c r="UVU1096" s="286"/>
      <c r="UVV1096" s="286"/>
      <c r="UVW1096" s="286"/>
      <c r="UVX1096" s="286"/>
      <c r="UVY1096" s="286"/>
      <c r="UVZ1096" s="286"/>
      <c r="UWA1096" s="286"/>
      <c r="UWB1096" s="286"/>
      <c r="UWC1096" s="286"/>
      <c r="UWD1096" s="286"/>
      <c r="UWE1096" s="286"/>
      <c r="UWF1096" s="286"/>
      <c r="UWG1096" s="286"/>
      <c r="UWH1096" s="286"/>
      <c r="UWI1096" s="286"/>
      <c r="UWJ1096" s="286"/>
      <c r="UWK1096" s="286"/>
      <c r="UWL1096" s="286"/>
      <c r="UWM1096" s="286"/>
      <c r="UWN1096" s="286"/>
      <c r="UWO1096" s="286"/>
      <c r="UWP1096" s="286"/>
      <c r="UWQ1096" s="286"/>
      <c r="UWR1096" s="286"/>
      <c r="UWS1096" s="286"/>
      <c r="UWT1096" s="286"/>
      <c r="UWU1096" s="286"/>
      <c r="UWV1096" s="286"/>
      <c r="UWW1096" s="286"/>
      <c r="UWX1096" s="286"/>
      <c r="UWY1096" s="286"/>
      <c r="UWZ1096" s="286"/>
      <c r="UXA1096" s="286"/>
      <c r="UXB1096" s="286"/>
      <c r="UXC1096" s="286"/>
      <c r="UXD1096" s="286"/>
      <c r="UXE1096" s="286"/>
      <c r="UXF1096" s="286"/>
      <c r="UXG1096" s="286"/>
      <c r="UXH1096" s="286"/>
      <c r="UXI1096" s="286"/>
      <c r="UXJ1096" s="286"/>
      <c r="UXK1096" s="286"/>
      <c r="UXL1096" s="286"/>
      <c r="UXM1096" s="286"/>
      <c r="UXN1096" s="286"/>
      <c r="UXO1096" s="286"/>
      <c r="UXP1096" s="286"/>
      <c r="UXQ1096" s="286"/>
      <c r="UXR1096" s="286"/>
      <c r="UXS1096" s="286"/>
      <c r="UXT1096" s="286"/>
      <c r="UXU1096" s="286"/>
      <c r="UXV1096" s="286"/>
      <c r="UXW1096" s="286"/>
      <c r="UXX1096" s="286"/>
      <c r="UXY1096" s="286"/>
      <c r="UXZ1096" s="286"/>
      <c r="UYA1096" s="286"/>
      <c r="UYB1096" s="286"/>
      <c r="UYC1096" s="286"/>
      <c r="UYD1096" s="286"/>
      <c r="UYE1096" s="286"/>
      <c r="UYF1096" s="286"/>
      <c r="UYG1096" s="286"/>
      <c r="UYH1096" s="286"/>
      <c r="UYI1096" s="286"/>
      <c r="UYJ1096" s="286"/>
      <c r="UYK1096" s="286"/>
      <c r="UYL1096" s="286"/>
      <c r="UYM1096" s="286"/>
      <c r="UYN1096" s="286"/>
      <c r="UYO1096" s="286"/>
      <c r="UYP1096" s="286"/>
      <c r="UYQ1096" s="286"/>
      <c r="UYR1096" s="286"/>
      <c r="UYS1096" s="286"/>
      <c r="UYT1096" s="286"/>
      <c r="UYU1096" s="286"/>
      <c r="UYV1096" s="286"/>
      <c r="UYW1096" s="286"/>
      <c r="UYX1096" s="286"/>
      <c r="UYY1096" s="286"/>
      <c r="UYZ1096" s="286"/>
      <c r="UZA1096" s="286"/>
      <c r="UZB1096" s="286"/>
      <c r="UZC1096" s="286"/>
      <c r="UZD1096" s="286"/>
      <c r="UZE1096" s="286"/>
      <c r="UZF1096" s="286"/>
      <c r="UZG1096" s="286"/>
      <c r="UZH1096" s="286"/>
      <c r="UZI1096" s="286"/>
      <c r="UZJ1096" s="286"/>
      <c r="UZK1096" s="286"/>
      <c r="UZL1096" s="286"/>
      <c r="UZM1096" s="286"/>
      <c r="UZN1096" s="286"/>
      <c r="UZO1096" s="286"/>
      <c r="UZP1096" s="286"/>
      <c r="UZQ1096" s="286"/>
      <c r="UZR1096" s="286"/>
      <c r="UZS1096" s="286"/>
      <c r="UZT1096" s="286"/>
      <c r="UZU1096" s="286"/>
      <c r="UZV1096" s="286"/>
      <c r="UZW1096" s="286"/>
      <c r="UZX1096" s="286"/>
      <c r="UZY1096" s="286"/>
      <c r="UZZ1096" s="286"/>
      <c r="VAA1096" s="286"/>
      <c r="VAB1096" s="286"/>
      <c r="VAC1096" s="286"/>
      <c r="VAD1096" s="286"/>
      <c r="VAE1096" s="286"/>
      <c r="VAF1096" s="286"/>
      <c r="VAG1096" s="286"/>
      <c r="VAH1096" s="286"/>
      <c r="VAI1096" s="286"/>
      <c r="VAJ1096" s="286"/>
      <c r="VAK1096" s="286"/>
      <c r="VAL1096" s="286"/>
      <c r="VAM1096" s="286"/>
      <c r="VAN1096" s="286"/>
      <c r="VAO1096" s="286"/>
      <c r="VAP1096" s="286"/>
      <c r="VAQ1096" s="286"/>
      <c r="VAR1096" s="286"/>
      <c r="VAS1096" s="286"/>
      <c r="VAT1096" s="286"/>
      <c r="VAU1096" s="286"/>
      <c r="VAV1096" s="286"/>
      <c r="VAW1096" s="286"/>
      <c r="VAX1096" s="286"/>
      <c r="VAY1096" s="286"/>
      <c r="VAZ1096" s="286"/>
      <c r="VBA1096" s="286"/>
      <c r="VBB1096" s="286"/>
      <c r="VBC1096" s="286"/>
      <c r="VBD1096" s="286"/>
      <c r="VBE1096" s="286"/>
      <c r="VBF1096" s="286"/>
      <c r="VBG1096" s="286"/>
      <c r="VBH1096" s="286"/>
      <c r="VBI1096" s="286"/>
      <c r="VBJ1096" s="286"/>
      <c r="VBK1096" s="286"/>
      <c r="VBL1096" s="286"/>
      <c r="VBM1096" s="286"/>
      <c r="VBN1096" s="286"/>
      <c r="VBO1096" s="286"/>
      <c r="VBP1096" s="286"/>
      <c r="VBQ1096" s="286"/>
      <c r="VBR1096" s="286"/>
      <c r="VBS1096" s="286"/>
      <c r="VBT1096" s="286"/>
      <c r="VBU1096" s="286"/>
      <c r="VBV1096" s="286"/>
      <c r="VBW1096" s="286"/>
      <c r="VBX1096" s="286"/>
      <c r="VBY1096" s="286"/>
      <c r="VBZ1096" s="286"/>
      <c r="VCA1096" s="286"/>
      <c r="VCB1096" s="286"/>
      <c r="VCC1096" s="286"/>
      <c r="VCD1096" s="286"/>
      <c r="VCE1096" s="286"/>
      <c r="VCF1096" s="286"/>
      <c r="VCG1096" s="286"/>
      <c r="VCH1096" s="286"/>
      <c r="VCI1096" s="286"/>
      <c r="VCJ1096" s="286"/>
      <c r="VCK1096" s="286"/>
      <c r="VCL1096" s="286"/>
      <c r="VCM1096" s="286"/>
      <c r="VCN1096" s="286"/>
      <c r="VCO1096" s="286"/>
      <c r="VCP1096" s="286"/>
      <c r="VCQ1096" s="286"/>
      <c r="VCR1096" s="286"/>
      <c r="VCS1096" s="286"/>
      <c r="VCT1096" s="286"/>
      <c r="VCU1096" s="286"/>
      <c r="VCV1096" s="286"/>
      <c r="VCW1096" s="286"/>
      <c r="VCX1096" s="286"/>
      <c r="VCY1096" s="286"/>
      <c r="VCZ1096" s="286"/>
      <c r="VDA1096" s="286"/>
      <c r="VDB1096" s="286"/>
      <c r="VDC1096" s="286"/>
      <c r="VDD1096" s="286"/>
      <c r="VDE1096" s="286"/>
      <c r="VDF1096" s="286"/>
      <c r="VDG1096" s="286"/>
      <c r="VDH1096" s="286"/>
      <c r="VDI1096" s="286"/>
      <c r="VDJ1096" s="286"/>
      <c r="VDK1096" s="286"/>
      <c r="VDL1096" s="286"/>
      <c r="VDM1096" s="286"/>
      <c r="VDN1096" s="286"/>
      <c r="VDO1096" s="286"/>
      <c r="VDP1096" s="286"/>
      <c r="VDQ1096" s="286"/>
      <c r="VDR1096" s="286"/>
      <c r="VDS1096" s="286"/>
      <c r="VDT1096" s="286"/>
      <c r="VDU1096" s="286"/>
      <c r="VDV1096" s="286"/>
      <c r="VDW1096" s="286"/>
      <c r="VDX1096" s="286"/>
      <c r="VDY1096" s="286"/>
      <c r="VDZ1096" s="286"/>
      <c r="VEA1096" s="286"/>
      <c r="VEB1096" s="286"/>
      <c r="VEC1096" s="286"/>
      <c r="VED1096" s="286"/>
      <c r="VEE1096" s="286"/>
      <c r="VEF1096" s="286"/>
      <c r="VEG1096" s="286"/>
      <c r="VEH1096" s="286"/>
      <c r="VEI1096" s="286"/>
      <c r="VEJ1096" s="286"/>
      <c r="VEK1096" s="286"/>
      <c r="VEL1096" s="286"/>
      <c r="VEM1096" s="286"/>
      <c r="VEN1096" s="286"/>
      <c r="VEO1096" s="286"/>
      <c r="VEP1096" s="286"/>
      <c r="VEQ1096" s="286"/>
      <c r="VER1096" s="286"/>
      <c r="VES1096" s="286"/>
      <c r="VET1096" s="286"/>
      <c r="VEU1096" s="286"/>
      <c r="VEV1096" s="286"/>
      <c r="VEW1096" s="286"/>
      <c r="VEX1096" s="286"/>
      <c r="VEY1096" s="286"/>
      <c r="VEZ1096" s="286"/>
      <c r="VFA1096" s="286"/>
      <c r="VFB1096" s="286"/>
      <c r="VFC1096" s="286"/>
      <c r="VFD1096" s="286"/>
      <c r="VFE1096" s="286"/>
      <c r="VFF1096" s="286"/>
      <c r="VFG1096" s="286"/>
      <c r="VFH1096" s="286"/>
      <c r="VFI1096" s="286"/>
      <c r="VFJ1096" s="286"/>
      <c r="VFK1096" s="286"/>
      <c r="VFL1096" s="286"/>
      <c r="VFM1096" s="286"/>
      <c r="VFN1096" s="286"/>
      <c r="VFO1096" s="286"/>
      <c r="VFP1096" s="286"/>
      <c r="VFQ1096" s="286"/>
      <c r="VFR1096" s="286"/>
      <c r="VFS1096" s="286"/>
      <c r="VFT1096" s="286"/>
      <c r="VFU1096" s="286"/>
      <c r="VFV1096" s="286"/>
      <c r="VFW1096" s="286"/>
      <c r="VFX1096" s="286"/>
      <c r="VFY1096" s="286"/>
      <c r="VFZ1096" s="286"/>
      <c r="VGA1096" s="286"/>
      <c r="VGB1096" s="286"/>
      <c r="VGC1096" s="286"/>
      <c r="VGD1096" s="286"/>
      <c r="VGE1096" s="286"/>
      <c r="VGF1096" s="286"/>
      <c r="VGG1096" s="286"/>
      <c r="VGH1096" s="286"/>
      <c r="VGI1096" s="286"/>
      <c r="VGJ1096" s="286"/>
      <c r="VGK1096" s="286"/>
      <c r="VGL1096" s="286"/>
      <c r="VGM1096" s="286"/>
      <c r="VGN1096" s="286"/>
      <c r="VGO1096" s="286"/>
      <c r="VGP1096" s="286"/>
      <c r="VGQ1096" s="286"/>
      <c r="VGR1096" s="286"/>
      <c r="VGS1096" s="286"/>
      <c r="VGT1096" s="286"/>
      <c r="VGU1096" s="286"/>
      <c r="VGV1096" s="286"/>
      <c r="VGW1096" s="286"/>
      <c r="VGX1096" s="286"/>
      <c r="VGY1096" s="286"/>
      <c r="VGZ1096" s="286"/>
      <c r="VHA1096" s="286"/>
      <c r="VHB1096" s="286"/>
      <c r="VHC1096" s="286"/>
      <c r="VHD1096" s="286"/>
      <c r="VHE1096" s="286"/>
      <c r="VHF1096" s="286"/>
      <c r="VHG1096" s="286"/>
      <c r="VHH1096" s="286"/>
      <c r="VHI1096" s="286"/>
      <c r="VHJ1096" s="286"/>
      <c r="VHK1096" s="286"/>
      <c r="VHL1096" s="286"/>
      <c r="VHM1096" s="286"/>
      <c r="VHN1096" s="286"/>
      <c r="VHO1096" s="286"/>
      <c r="VHP1096" s="286"/>
      <c r="VHQ1096" s="286"/>
      <c r="VHR1096" s="286"/>
      <c r="VHS1096" s="286"/>
      <c r="VHT1096" s="286"/>
      <c r="VHU1096" s="286"/>
      <c r="VHV1096" s="286"/>
      <c r="VHW1096" s="286"/>
      <c r="VHX1096" s="286"/>
      <c r="VHY1096" s="286"/>
      <c r="VHZ1096" s="286"/>
      <c r="VIA1096" s="286"/>
      <c r="VIB1096" s="286"/>
      <c r="VIC1096" s="286"/>
      <c r="VID1096" s="286"/>
      <c r="VIE1096" s="286"/>
      <c r="VIF1096" s="286"/>
      <c r="VIG1096" s="286"/>
      <c r="VIH1096" s="286"/>
      <c r="VII1096" s="286"/>
      <c r="VIJ1096" s="286"/>
      <c r="VIK1096" s="286"/>
      <c r="VIL1096" s="286"/>
      <c r="VIM1096" s="286"/>
      <c r="VIN1096" s="286"/>
      <c r="VIO1096" s="286"/>
      <c r="VIP1096" s="286"/>
      <c r="VIQ1096" s="286"/>
      <c r="VIR1096" s="286"/>
      <c r="VIS1096" s="286"/>
      <c r="VIT1096" s="286"/>
      <c r="VIU1096" s="286"/>
      <c r="VIV1096" s="286"/>
      <c r="VIW1096" s="286"/>
      <c r="VIX1096" s="286"/>
      <c r="VIY1096" s="286"/>
      <c r="VIZ1096" s="286"/>
      <c r="VJA1096" s="286"/>
      <c r="VJB1096" s="286"/>
      <c r="VJC1096" s="286"/>
      <c r="VJD1096" s="286"/>
      <c r="VJE1096" s="286"/>
      <c r="VJF1096" s="286"/>
      <c r="VJG1096" s="286"/>
      <c r="VJH1096" s="286"/>
      <c r="VJI1096" s="286"/>
      <c r="VJJ1096" s="286"/>
      <c r="VJK1096" s="286"/>
      <c r="VJL1096" s="286"/>
      <c r="VJM1096" s="286"/>
      <c r="VJN1096" s="286"/>
      <c r="VJO1096" s="286"/>
      <c r="VJP1096" s="286"/>
      <c r="VJQ1096" s="286"/>
      <c r="VJR1096" s="286"/>
      <c r="VJS1096" s="286"/>
      <c r="VJT1096" s="286"/>
      <c r="VJU1096" s="286"/>
      <c r="VJV1096" s="286"/>
      <c r="VJW1096" s="286"/>
      <c r="VJX1096" s="286"/>
      <c r="VJY1096" s="286"/>
      <c r="VJZ1096" s="286"/>
      <c r="VKA1096" s="286"/>
      <c r="VKB1096" s="286"/>
      <c r="VKC1096" s="286"/>
      <c r="VKD1096" s="286"/>
      <c r="VKE1096" s="286"/>
      <c r="VKF1096" s="286"/>
      <c r="VKG1096" s="286"/>
      <c r="VKH1096" s="286"/>
      <c r="VKI1096" s="286"/>
      <c r="VKJ1096" s="286"/>
      <c r="VKK1096" s="286"/>
      <c r="VKL1096" s="286"/>
      <c r="VKM1096" s="286"/>
      <c r="VKN1096" s="286"/>
      <c r="VKO1096" s="286"/>
      <c r="VKP1096" s="286"/>
      <c r="VKQ1096" s="286"/>
      <c r="VKR1096" s="286"/>
      <c r="VKS1096" s="286"/>
      <c r="VKT1096" s="286"/>
      <c r="VKU1096" s="286"/>
      <c r="VKV1096" s="286"/>
      <c r="VKW1096" s="286"/>
      <c r="VKX1096" s="286"/>
      <c r="VKY1096" s="286"/>
      <c r="VKZ1096" s="286"/>
      <c r="VLA1096" s="286"/>
      <c r="VLB1096" s="286"/>
      <c r="VLC1096" s="286"/>
      <c r="VLD1096" s="286"/>
      <c r="VLE1096" s="286"/>
      <c r="VLF1096" s="286"/>
      <c r="VLG1096" s="286"/>
      <c r="VLH1096" s="286"/>
      <c r="VLI1096" s="286"/>
      <c r="VLJ1096" s="286"/>
      <c r="VLK1096" s="286"/>
      <c r="VLL1096" s="286"/>
      <c r="VLM1096" s="286"/>
      <c r="VLN1096" s="286"/>
      <c r="VLO1096" s="286"/>
      <c r="VLP1096" s="286"/>
      <c r="VLQ1096" s="286"/>
      <c r="VLR1096" s="286"/>
      <c r="VLS1096" s="286"/>
      <c r="VLT1096" s="286"/>
      <c r="VLU1096" s="286"/>
      <c r="VLV1096" s="286"/>
      <c r="VLW1096" s="286"/>
      <c r="VLX1096" s="286"/>
      <c r="VLY1096" s="286"/>
      <c r="VLZ1096" s="286"/>
      <c r="VMA1096" s="286"/>
      <c r="VMB1096" s="286"/>
      <c r="VMC1096" s="286"/>
      <c r="VMD1096" s="286"/>
      <c r="VME1096" s="286"/>
      <c r="VMF1096" s="286"/>
      <c r="VMG1096" s="286"/>
      <c r="VMH1096" s="286"/>
      <c r="VMI1096" s="286"/>
      <c r="VMJ1096" s="286"/>
      <c r="VMK1096" s="286"/>
      <c r="VML1096" s="286"/>
      <c r="VMM1096" s="286"/>
      <c r="VMN1096" s="286"/>
      <c r="VMO1096" s="286"/>
      <c r="VMP1096" s="286"/>
      <c r="VMQ1096" s="286"/>
      <c r="VMR1096" s="286"/>
      <c r="VMS1096" s="286"/>
      <c r="VMT1096" s="286"/>
      <c r="VMU1096" s="286"/>
      <c r="VMV1096" s="286"/>
      <c r="VMW1096" s="286"/>
      <c r="VMX1096" s="286"/>
      <c r="VMY1096" s="286"/>
      <c r="VMZ1096" s="286"/>
      <c r="VNA1096" s="286"/>
      <c r="VNB1096" s="286"/>
      <c r="VNC1096" s="286"/>
      <c r="VND1096" s="286"/>
      <c r="VNE1096" s="286"/>
      <c r="VNF1096" s="286"/>
      <c r="VNG1096" s="286"/>
      <c r="VNH1096" s="286"/>
      <c r="VNI1096" s="286"/>
      <c r="VNJ1096" s="286"/>
      <c r="VNK1096" s="286"/>
      <c r="VNL1096" s="286"/>
      <c r="VNM1096" s="286"/>
      <c r="VNN1096" s="286"/>
      <c r="VNO1096" s="286"/>
      <c r="VNP1096" s="286"/>
      <c r="VNQ1096" s="286"/>
      <c r="VNR1096" s="286"/>
      <c r="VNS1096" s="286"/>
      <c r="VNT1096" s="286"/>
      <c r="VNU1096" s="286"/>
      <c r="VNV1096" s="286"/>
      <c r="VNW1096" s="286"/>
      <c r="VNX1096" s="286"/>
      <c r="VNY1096" s="286"/>
      <c r="VNZ1096" s="286"/>
      <c r="VOA1096" s="286"/>
      <c r="VOB1096" s="286"/>
      <c r="VOC1096" s="286"/>
      <c r="VOD1096" s="286"/>
      <c r="VOE1096" s="286"/>
      <c r="VOF1096" s="286"/>
      <c r="VOG1096" s="286"/>
      <c r="VOH1096" s="286"/>
      <c r="VOI1096" s="286"/>
      <c r="VOJ1096" s="286"/>
      <c r="VOK1096" s="286"/>
      <c r="VOL1096" s="286"/>
      <c r="VOM1096" s="286"/>
      <c r="VON1096" s="286"/>
      <c r="VOO1096" s="286"/>
      <c r="VOP1096" s="286"/>
      <c r="VOQ1096" s="286"/>
      <c r="VOR1096" s="286"/>
      <c r="VOS1096" s="286"/>
      <c r="VOT1096" s="286"/>
      <c r="VOU1096" s="286"/>
      <c r="VOV1096" s="286"/>
      <c r="VOW1096" s="286"/>
      <c r="VOX1096" s="286"/>
      <c r="VOY1096" s="286"/>
      <c r="VOZ1096" s="286"/>
      <c r="VPA1096" s="286"/>
      <c r="VPB1096" s="286"/>
      <c r="VPC1096" s="286"/>
      <c r="VPD1096" s="286"/>
      <c r="VPE1096" s="286"/>
      <c r="VPF1096" s="286"/>
      <c r="VPG1096" s="286"/>
      <c r="VPH1096" s="286"/>
      <c r="VPI1096" s="286"/>
      <c r="VPJ1096" s="286"/>
      <c r="VPK1096" s="286"/>
      <c r="VPL1096" s="286"/>
      <c r="VPM1096" s="286"/>
      <c r="VPN1096" s="286"/>
      <c r="VPO1096" s="286"/>
      <c r="VPP1096" s="286"/>
      <c r="VPQ1096" s="286"/>
      <c r="VPR1096" s="286"/>
      <c r="VPS1096" s="286"/>
      <c r="VPT1096" s="286"/>
      <c r="VPU1096" s="286"/>
      <c r="VPV1096" s="286"/>
      <c r="VPW1096" s="286"/>
      <c r="VPX1096" s="286"/>
      <c r="VPY1096" s="286"/>
      <c r="VPZ1096" s="286"/>
      <c r="VQA1096" s="286"/>
      <c r="VQB1096" s="286"/>
      <c r="VQC1096" s="286"/>
      <c r="VQD1096" s="286"/>
      <c r="VQE1096" s="286"/>
      <c r="VQF1096" s="286"/>
      <c r="VQG1096" s="286"/>
      <c r="VQH1096" s="286"/>
      <c r="VQI1096" s="286"/>
      <c r="VQJ1096" s="286"/>
      <c r="VQK1096" s="286"/>
      <c r="VQL1096" s="286"/>
      <c r="VQM1096" s="286"/>
      <c r="VQN1096" s="286"/>
      <c r="VQO1096" s="286"/>
      <c r="VQP1096" s="286"/>
      <c r="VQQ1096" s="286"/>
      <c r="VQR1096" s="286"/>
      <c r="VQS1096" s="286"/>
      <c r="VQT1096" s="286"/>
      <c r="VQU1096" s="286"/>
      <c r="VQV1096" s="286"/>
      <c r="VQW1096" s="286"/>
      <c r="VQX1096" s="286"/>
      <c r="VQY1096" s="286"/>
      <c r="VQZ1096" s="286"/>
      <c r="VRA1096" s="286"/>
      <c r="VRB1096" s="286"/>
      <c r="VRC1096" s="286"/>
      <c r="VRD1096" s="286"/>
      <c r="VRE1096" s="286"/>
      <c r="VRF1096" s="286"/>
      <c r="VRG1096" s="286"/>
      <c r="VRH1096" s="286"/>
      <c r="VRI1096" s="286"/>
      <c r="VRJ1096" s="286"/>
      <c r="VRK1096" s="286"/>
      <c r="VRL1096" s="286"/>
      <c r="VRM1096" s="286"/>
      <c r="VRN1096" s="286"/>
      <c r="VRO1096" s="286"/>
      <c r="VRP1096" s="286"/>
      <c r="VRQ1096" s="286"/>
      <c r="VRR1096" s="286"/>
      <c r="VRS1096" s="286"/>
      <c r="VRT1096" s="286"/>
      <c r="VRU1096" s="286"/>
      <c r="VRV1096" s="286"/>
      <c r="VRW1096" s="286"/>
      <c r="VRX1096" s="286"/>
      <c r="VRY1096" s="286"/>
      <c r="VRZ1096" s="286"/>
      <c r="VSA1096" s="286"/>
      <c r="VSB1096" s="286"/>
      <c r="VSC1096" s="286"/>
      <c r="VSD1096" s="286"/>
      <c r="VSE1096" s="286"/>
      <c r="VSF1096" s="286"/>
      <c r="VSG1096" s="286"/>
      <c r="VSH1096" s="286"/>
      <c r="VSI1096" s="286"/>
      <c r="VSJ1096" s="286"/>
      <c r="VSK1096" s="286"/>
      <c r="VSL1096" s="286"/>
      <c r="VSM1096" s="286"/>
      <c r="VSN1096" s="286"/>
      <c r="VSO1096" s="286"/>
      <c r="VSP1096" s="286"/>
      <c r="VSQ1096" s="286"/>
      <c r="VSR1096" s="286"/>
      <c r="VSS1096" s="286"/>
      <c r="VST1096" s="286"/>
      <c r="VSU1096" s="286"/>
      <c r="VSV1096" s="286"/>
      <c r="VSW1096" s="286"/>
      <c r="VSX1096" s="286"/>
      <c r="VSY1096" s="286"/>
      <c r="VSZ1096" s="286"/>
      <c r="VTA1096" s="286"/>
      <c r="VTB1096" s="286"/>
      <c r="VTC1096" s="286"/>
      <c r="VTD1096" s="286"/>
      <c r="VTE1096" s="286"/>
      <c r="VTF1096" s="286"/>
      <c r="VTG1096" s="286"/>
      <c r="VTH1096" s="286"/>
      <c r="VTI1096" s="286"/>
      <c r="VTJ1096" s="286"/>
      <c r="VTK1096" s="286"/>
      <c r="VTL1096" s="286"/>
      <c r="VTM1096" s="286"/>
      <c r="VTN1096" s="286"/>
      <c r="VTO1096" s="286"/>
      <c r="VTP1096" s="286"/>
      <c r="VTQ1096" s="286"/>
      <c r="VTR1096" s="286"/>
      <c r="VTS1096" s="286"/>
      <c r="VTT1096" s="286"/>
      <c r="VTU1096" s="286"/>
      <c r="VTV1096" s="286"/>
      <c r="VTW1096" s="286"/>
      <c r="VTX1096" s="286"/>
      <c r="VTY1096" s="286"/>
      <c r="VTZ1096" s="286"/>
      <c r="VUA1096" s="286"/>
      <c r="VUB1096" s="286"/>
      <c r="VUC1096" s="286"/>
      <c r="VUD1096" s="286"/>
      <c r="VUE1096" s="286"/>
      <c r="VUF1096" s="286"/>
      <c r="VUG1096" s="286"/>
      <c r="VUH1096" s="286"/>
      <c r="VUI1096" s="286"/>
      <c r="VUJ1096" s="286"/>
      <c r="VUK1096" s="286"/>
      <c r="VUL1096" s="286"/>
      <c r="VUM1096" s="286"/>
      <c r="VUN1096" s="286"/>
      <c r="VUO1096" s="286"/>
      <c r="VUP1096" s="286"/>
      <c r="VUQ1096" s="286"/>
      <c r="VUR1096" s="286"/>
      <c r="VUS1096" s="286"/>
      <c r="VUT1096" s="286"/>
      <c r="VUU1096" s="286"/>
      <c r="VUV1096" s="286"/>
      <c r="VUW1096" s="286"/>
      <c r="VUX1096" s="286"/>
      <c r="VUY1096" s="286"/>
      <c r="VUZ1096" s="286"/>
      <c r="VVA1096" s="286"/>
      <c r="VVB1096" s="286"/>
      <c r="VVC1096" s="286"/>
      <c r="VVD1096" s="286"/>
      <c r="VVE1096" s="286"/>
      <c r="VVF1096" s="286"/>
      <c r="VVG1096" s="286"/>
      <c r="VVH1096" s="286"/>
      <c r="VVI1096" s="286"/>
      <c r="VVJ1096" s="286"/>
      <c r="VVK1096" s="286"/>
      <c r="VVL1096" s="286"/>
      <c r="VVM1096" s="286"/>
      <c r="VVN1096" s="286"/>
      <c r="VVO1096" s="286"/>
      <c r="VVP1096" s="286"/>
      <c r="VVQ1096" s="286"/>
      <c r="VVR1096" s="286"/>
      <c r="VVS1096" s="286"/>
      <c r="VVT1096" s="286"/>
      <c r="VVU1096" s="286"/>
      <c r="VVV1096" s="286"/>
      <c r="VVW1096" s="286"/>
      <c r="VVX1096" s="286"/>
      <c r="VVY1096" s="286"/>
      <c r="VVZ1096" s="286"/>
      <c r="VWA1096" s="286"/>
      <c r="VWB1096" s="286"/>
      <c r="VWC1096" s="286"/>
      <c r="VWD1096" s="286"/>
      <c r="VWE1096" s="286"/>
      <c r="VWF1096" s="286"/>
      <c r="VWG1096" s="286"/>
      <c r="VWH1096" s="286"/>
      <c r="VWI1096" s="286"/>
      <c r="VWJ1096" s="286"/>
      <c r="VWK1096" s="286"/>
      <c r="VWL1096" s="286"/>
      <c r="VWM1096" s="286"/>
      <c r="VWN1096" s="286"/>
      <c r="VWO1096" s="286"/>
      <c r="VWP1096" s="286"/>
      <c r="VWQ1096" s="286"/>
      <c r="VWR1096" s="286"/>
      <c r="VWS1096" s="286"/>
      <c r="VWT1096" s="286"/>
      <c r="VWU1096" s="286"/>
      <c r="VWV1096" s="286"/>
      <c r="VWW1096" s="286"/>
      <c r="VWX1096" s="286"/>
      <c r="VWY1096" s="286"/>
      <c r="VWZ1096" s="286"/>
      <c r="VXA1096" s="286"/>
      <c r="VXB1096" s="286"/>
      <c r="VXC1096" s="286"/>
      <c r="VXD1096" s="286"/>
      <c r="VXE1096" s="286"/>
      <c r="VXF1096" s="286"/>
      <c r="VXG1096" s="286"/>
      <c r="VXH1096" s="286"/>
      <c r="VXI1096" s="286"/>
      <c r="VXJ1096" s="286"/>
      <c r="VXK1096" s="286"/>
      <c r="VXL1096" s="286"/>
      <c r="VXM1096" s="286"/>
      <c r="VXN1096" s="286"/>
      <c r="VXO1096" s="286"/>
      <c r="VXP1096" s="286"/>
      <c r="VXQ1096" s="286"/>
      <c r="VXR1096" s="286"/>
      <c r="VXS1096" s="286"/>
      <c r="VXT1096" s="286"/>
      <c r="VXU1096" s="286"/>
      <c r="VXV1096" s="286"/>
      <c r="VXW1096" s="286"/>
      <c r="VXX1096" s="286"/>
      <c r="VXY1096" s="286"/>
      <c r="VXZ1096" s="286"/>
      <c r="VYA1096" s="286"/>
      <c r="VYB1096" s="286"/>
      <c r="VYC1096" s="286"/>
      <c r="VYD1096" s="286"/>
      <c r="VYE1096" s="286"/>
      <c r="VYF1096" s="286"/>
      <c r="VYG1096" s="286"/>
      <c r="VYH1096" s="286"/>
      <c r="VYI1096" s="286"/>
      <c r="VYJ1096" s="286"/>
      <c r="VYK1096" s="286"/>
      <c r="VYL1096" s="286"/>
      <c r="VYM1096" s="286"/>
      <c r="VYN1096" s="286"/>
      <c r="VYO1096" s="286"/>
      <c r="VYP1096" s="286"/>
      <c r="VYQ1096" s="286"/>
      <c r="VYR1096" s="286"/>
      <c r="VYS1096" s="286"/>
      <c r="VYT1096" s="286"/>
      <c r="VYU1096" s="286"/>
      <c r="VYV1096" s="286"/>
      <c r="VYW1096" s="286"/>
      <c r="VYX1096" s="286"/>
      <c r="VYY1096" s="286"/>
      <c r="VYZ1096" s="286"/>
      <c r="VZA1096" s="286"/>
      <c r="VZB1096" s="286"/>
      <c r="VZC1096" s="286"/>
      <c r="VZD1096" s="286"/>
      <c r="VZE1096" s="286"/>
      <c r="VZF1096" s="286"/>
      <c r="VZG1096" s="286"/>
      <c r="VZH1096" s="286"/>
      <c r="VZI1096" s="286"/>
      <c r="VZJ1096" s="286"/>
      <c r="VZK1096" s="286"/>
      <c r="VZL1096" s="286"/>
      <c r="VZM1096" s="286"/>
      <c r="VZN1096" s="286"/>
      <c r="VZO1096" s="286"/>
      <c r="VZP1096" s="286"/>
      <c r="VZQ1096" s="286"/>
      <c r="VZR1096" s="286"/>
      <c r="VZS1096" s="286"/>
      <c r="VZT1096" s="286"/>
      <c r="VZU1096" s="286"/>
      <c r="VZV1096" s="286"/>
      <c r="VZW1096" s="286"/>
      <c r="VZX1096" s="286"/>
      <c r="VZY1096" s="286"/>
      <c r="VZZ1096" s="286"/>
      <c r="WAA1096" s="286"/>
      <c r="WAB1096" s="286"/>
      <c r="WAC1096" s="286"/>
      <c r="WAD1096" s="286"/>
      <c r="WAE1096" s="286"/>
      <c r="WAF1096" s="286"/>
      <c r="WAG1096" s="286"/>
      <c r="WAH1096" s="286"/>
      <c r="WAI1096" s="286"/>
      <c r="WAJ1096" s="286"/>
      <c r="WAK1096" s="286"/>
      <c r="WAL1096" s="286"/>
      <c r="WAM1096" s="286"/>
      <c r="WAN1096" s="286"/>
      <c r="WAO1096" s="286"/>
      <c r="WAP1096" s="286"/>
      <c r="WAQ1096" s="286"/>
      <c r="WAR1096" s="286"/>
      <c r="WAS1096" s="286"/>
      <c r="WAT1096" s="286"/>
      <c r="WAU1096" s="286"/>
      <c r="WAV1096" s="286"/>
      <c r="WAW1096" s="286"/>
      <c r="WAX1096" s="286"/>
      <c r="WAY1096" s="286"/>
      <c r="WAZ1096" s="286"/>
      <c r="WBA1096" s="286"/>
      <c r="WBB1096" s="286"/>
      <c r="WBC1096" s="286"/>
      <c r="WBD1096" s="286"/>
      <c r="WBE1096" s="286"/>
      <c r="WBF1096" s="286"/>
      <c r="WBG1096" s="286"/>
      <c r="WBH1096" s="286"/>
      <c r="WBI1096" s="286"/>
      <c r="WBJ1096" s="286"/>
      <c r="WBK1096" s="286"/>
      <c r="WBL1096" s="286"/>
      <c r="WBM1096" s="286"/>
      <c r="WBN1096" s="286"/>
      <c r="WBO1096" s="286"/>
      <c r="WBP1096" s="286"/>
      <c r="WBQ1096" s="286"/>
      <c r="WBR1096" s="286"/>
      <c r="WBS1096" s="286"/>
      <c r="WBT1096" s="286"/>
      <c r="WBU1096" s="286"/>
      <c r="WBV1096" s="286"/>
      <c r="WBW1096" s="286"/>
      <c r="WBX1096" s="286"/>
      <c r="WBY1096" s="286"/>
      <c r="WBZ1096" s="286"/>
      <c r="WCA1096" s="286"/>
      <c r="WCB1096" s="286"/>
      <c r="WCC1096" s="286"/>
      <c r="WCD1096" s="286"/>
      <c r="WCE1096" s="286"/>
      <c r="WCF1096" s="286"/>
      <c r="WCG1096" s="286"/>
      <c r="WCH1096" s="286"/>
      <c r="WCI1096" s="286"/>
      <c r="WCJ1096" s="286"/>
      <c r="WCK1096" s="286"/>
      <c r="WCL1096" s="286"/>
      <c r="WCM1096" s="286"/>
      <c r="WCN1096" s="286"/>
      <c r="WCO1096" s="286"/>
      <c r="WCP1096" s="286"/>
      <c r="WCQ1096" s="286"/>
      <c r="WCR1096" s="286"/>
      <c r="WCS1096" s="286"/>
      <c r="WCT1096" s="286"/>
      <c r="WCU1096" s="286"/>
      <c r="WCV1096" s="286"/>
      <c r="WCW1096" s="286"/>
      <c r="WCX1096" s="286"/>
      <c r="WCY1096" s="286"/>
      <c r="WCZ1096" s="286"/>
      <c r="WDA1096" s="286"/>
      <c r="WDB1096" s="286"/>
      <c r="WDC1096" s="286"/>
      <c r="WDD1096" s="286"/>
      <c r="WDE1096" s="286"/>
      <c r="WDF1096" s="286"/>
      <c r="WDG1096" s="286"/>
      <c r="WDH1096" s="286"/>
      <c r="WDI1096" s="286"/>
      <c r="WDJ1096" s="286"/>
      <c r="WDK1096" s="286"/>
      <c r="WDL1096" s="286"/>
      <c r="WDM1096" s="286"/>
      <c r="WDN1096" s="286"/>
      <c r="WDO1096" s="286"/>
      <c r="WDP1096" s="286"/>
      <c r="WDQ1096" s="286"/>
      <c r="WDR1096" s="286"/>
      <c r="WDS1096" s="286"/>
      <c r="WDT1096" s="286"/>
      <c r="WDU1096" s="286"/>
      <c r="WDV1096" s="286"/>
      <c r="WDW1096" s="286"/>
      <c r="WDX1096" s="286"/>
      <c r="WDY1096" s="286"/>
      <c r="WDZ1096" s="286"/>
      <c r="WEA1096" s="286"/>
      <c r="WEB1096" s="286"/>
      <c r="WEC1096" s="286"/>
      <c r="WED1096" s="286"/>
      <c r="WEE1096" s="286"/>
      <c r="WEF1096" s="286"/>
      <c r="WEG1096" s="286"/>
      <c r="WEH1096" s="286"/>
      <c r="WEI1096" s="286"/>
      <c r="WEJ1096" s="286"/>
      <c r="WEK1096" s="286"/>
      <c r="WEL1096" s="286"/>
      <c r="WEM1096" s="286"/>
      <c r="WEN1096" s="286"/>
      <c r="WEO1096" s="286"/>
      <c r="WEP1096" s="286"/>
      <c r="WEQ1096" s="286"/>
      <c r="WER1096" s="286"/>
      <c r="WES1096" s="286"/>
      <c r="WET1096" s="286"/>
      <c r="WEU1096" s="286"/>
      <c r="WEV1096" s="286"/>
      <c r="WEW1096" s="286"/>
      <c r="WEX1096" s="286"/>
      <c r="WEY1096" s="286"/>
      <c r="WEZ1096" s="286"/>
      <c r="WFA1096" s="286"/>
      <c r="WFB1096" s="286"/>
      <c r="WFC1096" s="286"/>
      <c r="WFD1096" s="286"/>
      <c r="WFE1096" s="286"/>
      <c r="WFF1096" s="286"/>
      <c r="WFG1096" s="286"/>
      <c r="WFH1096" s="286"/>
      <c r="WFI1096" s="286"/>
      <c r="WFJ1096" s="286"/>
      <c r="WFK1096" s="286"/>
      <c r="WFL1096" s="286"/>
      <c r="WFM1096" s="286"/>
      <c r="WFN1096" s="286"/>
      <c r="WFO1096" s="286"/>
      <c r="WFP1096" s="286"/>
      <c r="WFQ1096" s="286"/>
      <c r="WFR1096" s="286"/>
      <c r="WFS1096" s="286"/>
      <c r="WFT1096" s="286"/>
      <c r="WFU1096" s="286"/>
      <c r="WFV1096" s="286"/>
      <c r="WFW1096" s="286"/>
      <c r="WFX1096" s="286"/>
      <c r="WFY1096" s="286"/>
      <c r="WFZ1096" s="286"/>
      <c r="WGA1096" s="286"/>
      <c r="WGB1096" s="286"/>
      <c r="WGC1096" s="286"/>
      <c r="WGD1096" s="286"/>
      <c r="WGE1096" s="286"/>
      <c r="WGF1096" s="286"/>
      <c r="WGG1096" s="286"/>
      <c r="WGH1096" s="286"/>
      <c r="WGI1096" s="286"/>
      <c r="WGJ1096" s="286"/>
      <c r="WGK1096" s="286"/>
      <c r="WGL1096" s="286"/>
      <c r="WGM1096" s="286"/>
      <c r="WGN1096" s="286"/>
      <c r="WGO1096" s="286"/>
      <c r="WGP1096" s="286"/>
      <c r="WGQ1096" s="286"/>
      <c r="WGR1096" s="286"/>
      <c r="WGS1096" s="286"/>
      <c r="WGT1096" s="286"/>
      <c r="WGU1096" s="286"/>
      <c r="WGV1096" s="286"/>
      <c r="WGW1096" s="286"/>
      <c r="WGX1096" s="286"/>
      <c r="WGY1096" s="286"/>
      <c r="WGZ1096" s="286"/>
      <c r="WHA1096" s="286"/>
      <c r="WHB1096" s="286"/>
      <c r="WHC1096" s="286"/>
      <c r="WHD1096" s="286"/>
      <c r="WHE1096" s="286"/>
      <c r="WHF1096" s="286"/>
      <c r="WHG1096" s="286"/>
      <c r="WHH1096" s="286"/>
      <c r="WHI1096" s="286"/>
      <c r="WHJ1096" s="286"/>
      <c r="WHK1096" s="286"/>
      <c r="WHL1096" s="286"/>
      <c r="WHM1096" s="286"/>
      <c r="WHN1096" s="286"/>
      <c r="WHO1096" s="286"/>
      <c r="WHP1096" s="286"/>
      <c r="WHQ1096" s="286"/>
      <c r="WHR1096" s="286"/>
      <c r="WHS1096" s="286"/>
      <c r="WHT1096" s="286"/>
      <c r="WHU1096" s="286"/>
      <c r="WHV1096" s="286"/>
      <c r="WHW1096" s="286"/>
      <c r="WHX1096" s="286"/>
      <c r="WHY1096" s="286"/>
      <c r="WHZ1096" s="286"/>
      <c r="WIA1096" s="286"/>
      <c r="WIB1096" s="286"/>
      <c r="WIC1096" s="286"/>
      <c r="WID1096" s="286"/>
      <c r="WIE1096" s="286"/>
      <c r="WIF1096" s="286"/>
      <c r="WIG1096" s="286"/>
      <c r="WIH1096" s="286"/>
      <c r="WII1096" s="286"/>
      <c r="WIJ1096" s="286"/>
      <c r="WIK1096" s="286"/>
      <c r="WIL1096" s="286"/>
      <c r="WIM1096" s="286"/>
      <c r="WIN1096" s="286"/>
      <c r="WIO1096" s="286"/>
      <c r="WIP1096" s="286"/>
      <c r="WIQ1096" s="286"/>
      <c r="WIR1096" s="286"/>
      <c r="WIS1096" s="286"/>
      <c r="WIT1096" s="286"/>
      <c r="WIU1096" s="286"/>
      <c r="WIV1096" s="286"/>
      <c r="WIW1096" s="286"/>
      <c r="WIX1096" s="286"/>
      <c r="WIY1096" s="286"/>
      <c r="WIZ1096" s="286"/>
      <c r="WJA1096" s="286"/>
      <c r="WJB1096" s="286"/>
      <c r="WJC1096" s="286"/>
      <c r="WJD1096" s="286"/>
      <c r="WJE1096" s="286"/>
      <c r="WJF1096" s="286"/>
      <c r="WJG1096" s="286"/>
      <c r="WJH1096" s="286"/>
      <c r="WJI1096" s="286"/>
      <c r="WJJ1096" s="286"/>
      <c r="WJK1096" s="286"/>
      <c r="WJL1096" s="286"/>
      <c r="WJM1096" s="286"/>
      <c r="WJN1096" s="286"/>
      <c r="WJO1096" s="286"/>
      <c r="WJP1096" s="286"/>
      <c r="WJQ1096" s="286"/>
      <c r="WJR1096" s="286"/>
      <c r="WJS1096" s="286"/>
      <c r="WJT1096" s="286"/>
      <c r="WJU1096" s="286"/>
      <c r="WJV1096" s="286"/>
      <c r="WJW1096" s="286"/>
      <c r="WJX1096" s="286"/>
      <c r="WJY1096" s="286"/>
      <c r="WJZ1096" s="286"/>
      <c r="WKA1096" s="286"/>
      <c r="WKB1096" s="286"/>
      <c r="WKC1096" s="286"/>
      <c r="WKD1096" s="286"/>
      <c r="WKE1096" s="286"/>
      <c r="WKF1096" s="286"/>
      <c r="WKG1096" s="286"/>
      <c r="WKH1096" s="286"/>
      <c r="WKI1096" s="286"/>
      <c r="WKJ1096" s="286"/>
      <c r="WKK1096" s="286"/>
      <c r="WKL1096" s="286"/>
      <c r="WKM1096" s="286"/>
      <c r="WKN1096" s="286"/>
      <c r="WKO1096" s="286"/>
      <c r="WKP1096" s="286"/>
      <c r="WKQ1096" s="286"/>
      <c r="WKR1096" s="286"/>
      <c r="WKS1096" s="286"/>
      <c r="WKT1096" s="286"/>
      <c r="WKU1096" s="286"/>
      <c r="WKV1096" s="286"/>
      <c r="WKW1096" s="286"/>
      <c r="WKX1096" s="286"/>
      <c r="WKY1096" s="286"/>
      <c r="WKZ1096" s="286"/>
      <c r="WLA1096" s="286"/>
      <c r="WLB1096" s="286"/>
      <c r="WLC1096" s="286"/>
      <c r="WLD1096" s="286"/>
      <c r="WLE1096" s="286"/>
      <c r="WLF1096" s="286"/>
      <c r="WLG1096" s="286"/>
      <c r="WLH1096" s="286"/>
      <c r="WLI1096" s="286"/>
      <c r="WLJ1096" s="286"/>
      <c r="WLK1096" s="286"/>
      <c r="WLL1096" s="286"/>
      <c r="WLM1096" s="286"/>
      <c r="WLN1096" s="286"/>
      <c r="WLO1096" s="286"/>
      <c r="WLP1096" s="286"/>
      <c r="WLQ1096" s="286"/>
      <c r="WLR1096" s="286"/>
      <c r="WLS1096" s="286"/>
      <c r="WLT1096" s="286"/>
      <c r="WLU1096" s="286"/>
      <c r="WLV1096" s="286"/>
      <c r="WLW1096" s="286"/>
      <c r="WLX1096" s="286"/>
      <c r="WLY1096" s="286"/>
      <c r="WLZ1096" s="286"/>
      <c r="WMA1096" s="286"/>
      <c r="WMB1096" s="286"/>
      <c r="WMC1096" s="286"/>
      <c r="WMD1096" s="286"/>
      <c r="WME1096" s="286"/>
      <c r="WMF1096" s="286"/>
      <c r="WMG1096" s="286"/>
      <c r="WMH1096" s="286"/>
      <c r="WMI1096" s="286"/>
      <c r="WMJ1096" s="286"/>
      <c r="WMK1096" s="286"/>
      <c r="WML1096" s="286"/>
      <c r="WMM1096" s="286"/>
      <c r="WMN1096" s="286"/>
      <c r="WMO1096" s="286"/>
      <c r="WMP1096" s="286"/>
      <c r="WMQ1096" s="286"/>
      <c r="WMR1096" s="286"/>
      <c r="WMS1096" s="286"/>
      <c r="WMT1096" s="286"/>
      <c r="WMU1096" s="286"/>
      <c r="WMV1096" s="286"/>
      <c r="WMW1096" s="286"/>
      <c r="WMX1096" s="286"/>
      <c r="WMY1096" s="286"/>
      <c r="WMZ1096" s="286"/>
      <c r="WNA1096" s="286"/>
      <c r="WNB1096" s="286"/>
      <c r="WNC1096" s="286"/>
      <c r="WND1096" s="286"/>
      <c r="WNE1096" s="286"/>
      <c r="WNF1096" s="286"/>
      <c r="WNG1096" s="286"/>
      <c r="WNH1096" s="286"/>
      <c r="WNI1096" s="286"/>
      <c r="WNJ1096" s="286"/>
      <c r="WNK1096" s="286"/>
      <c r="WNL1096" s="286"/>
      <c r="WNM1096" s="286"/>
      <c r="WNN1096" s="286"/>
      <c r="WNO1096" s="286"/>
      <c r="WNP1096" s="286"/>
      <c r="WNQ1096" s="286"/>
      <c r="WNR1096" s="286"/>
      <c r="WNS1096" s="286"/>
      <c r="WNT1096" s="286"/>
      <c r="WNU1096" s="286"/>
      <c r="WNV1096" s="286"/>
      <c r="WNW1096" s="286"/>
      <c r="WNX1096" s="286"/>
      <c r="WNY1096" s="286"/>
      <c r="WNZ1096" s="286"/>
      <c r="WOA1096" s="286"/>
      <c r="WOB1096" s="286"/>
      <c r="WOC1096" s="286"/>
      <c r="WOD1096" s="286"/>
      <c r="WOE1096" s="286"/>
      <c r="WOF1096" s="286"/>
      <c r="WOG1096" s="286"/>
      <c r="WOH1096" s="286"/>
      <c r="WOI1096" s="286"/>
      <c r="WOJ1096" s="286"/>
      <c r="WOK1096" s="286"/>
      <c r="WOL1096" s="286"/>
      <c r="WOM1096" s="286"/>
      <c r="WON1096" s="286"/>
      <c r="WOO1096" s="286"/>
      <c r="WOP1096" s="286"/>
      <c r="WOQ1096" s="286"/>
      <c r="WOR1096" s="286"/>
      <c r="WOS1096" s="286"/>
      <c r="WOT1096" s="286"/>
      <c r="WOU1096" s="286"/>
      <c r="WOV1096" s="286"/>
      <c r="WOW1096" s="286"/>
      <c r="WOX1096" s="286"/>
      <c r="WOY1096" s="286"/>
      <c r="WOZ1096" s="286"/>
      <c r="WPA1096" s="286"/>
      <c r="WPB1096" s="286"/>
      <c r="WPC1096" s="286"/>
      <c r="WPD1096" s="286"/>
      <c r="WPE1096" s="286"/>
      <c r="WPF1096" s="286"/>
      <c r="WPG1096" s="286"/>
      <c r="WPH1096" s="286"/>
      <c r="WPI1096" s="286"/>
      <c r="WPJ1096" s="286"/>
      <c r="WPK1096" s="286"/>
      <c r="WPL1096" s="286"/>
      <c r="WPM1096" s="286"/>
      <c r="WPN1096" s="286"/>
      <c r="WPO1096" s="286"/>
      <c r="WPP1096" s="286"/>
      <c r="WPQ1096" s="286"/>
      <c r="WPR1096" s="286"/>
      <c r="WPS1096" s="286"/>
      <c r="WPT1096" s="286"/>
      <c r="WPU1096" s="286"/>
      <c r="WPV1096" s="286"/>
      <c r="WPW1096" s="286"/>
      <c r="WPX1096" s="286"/>
      <c r="WPY1096" s="286"/>
      <c r="WPZ1096" s="286"/>
      <c r="WQA1096" s="286"/>
      <c r="WQB1096" s="286"/>
      <c r="WQC1096" s="286"/>
      <c r="WQD1096" s="286"/>
      <c r="WQE1096" s="286"/>
      <c r="WQF1096" s="286"/>
      <c r="WQG1096" s="286"/>
      <c r="WQH1096" s="286"/>
      <c r="WQI1096" s="286"/>
      <c r="WQJ1096" s="286"/>
      <c r="WQK1096" s="286"/>
      <c r="WQL1096" s="286"/>
      <c r="WQM1096" s="286"/>
      <c r="WQN1096" s="286"/>
      <c r="WQO1096" s="286"/>
      <c r="WQP1096" s="286"/>
      <c r="WQQ1096" s="286"/>
      <c r="WQR1096" s="286"/>
      <c r="WQS1096" s="286"/>
      <c r="WQT1096" s="286"/>
      <c r="WQU1096" s="286"/>
      <c r="WQV1096" s="286"/>
      <c r="WQW1096" s="286"/>
      <c r="WQX1096" s="286"/>
      <c r="WQY1096" s="286"/>
      <c r="WQZ1096" s="286"/>
      <c r="WRA1096" s="286"/>
      <c r="WRB1096" s="286"/>
      <c r="WRC1096" s="286"/>
      <c r="WRD1096" s="286"/>
      <c r="WRE1096" s="286"/>
      <c r="WRF1096" s="286"/>
      <c r="WRG1096" s="286"/>
      <c r="WRH1096" s="286"/>
      <c r="WRI1096" s="286"/>
      <c r="WRJ1096" s="286"/>
      <c r="WRK1096" s="286"/>
      <c r="WRL1096" s="286"/>
      <c r="WRM1096" s="286"/>
      <c r="WRN1096" s="286"/>
      <c r="WRO1096" s="286"/>
      <c r="WRP1096" s="286"/>
      <c r="WRQ1096" s="286"/>
      <c r="WRR1096" s="286"/>
      <c r="WRS1096" s="286"/>
      <c r="WRT1096" s="286"/>
      <c r="WRU1096" s="286"/>
      <c r="WRV1096" s="286"/>
      <c r="WRW1096" s="286"/>
      <c r="WRX1096" s="286"/>
      <c r="WRY1096" s="286"/>
      <c r="WRZ1096" s="286"/>
      <c r="WSA1096" s="286"/>
      <c r="WSB1096" s="286"/>
      <c r="WSC1096" s="286"/>
      <c r="WSD1096" s="286"/>
      <c r="WSE1096" s="286"/>
      <c r="WSF1096" s="286"/>
      <c r="WSG1096" s="286"/>
      <c r="WSH1096" s="286"/>
      <c r="WSI1096" s="286"/>
      <c r="WSJ1096" s="286"/>
      <c r="WSK1096" s="286"/>
      <c r="WSL1096" s="286"/>
      <c r="WSM1096" s="286"/>
      <c r="WSN1096" s="286"/>
      <c r="WSO1096" s="286"/>
      <c r="WSP1096" s="286"/>
      <c r="WSQ1096" s="286"/>
      <c r="WSR1096" s="286"/>
      <c r="WSS1096" s="286"/>
      <c r="WST1096" s="286"/>
      <c r="WSU1096" s="286"/>
      <c r="WSV1096" s="286"/>
      <c r="WSW1096" s="286"/>
      <c r="WSX1096" s="286"/>
      <c r="WSY1096" s="286"/>
      <c r="WSZ1096" s="286"/>
      <c r="WTA1096" s="286"/>
      <c r="WTB1096" s="286"/>
      <c r="WTC1096" s="286"/>
      <c r="WTD1096" s="286"/>
      <c r="WTE1096" s="286"/>
      <c r="WTF1096" s="286"/>
      <c r="WTG1096" s="286"/>
      <c r="WTH1096" s="286"/>
      <c r="WTI1096" s="286"/>
      <c r="WTJ1096" s="286"/>
      <c r="WTK1096" s="286"/>
      <c r="WTL1096" s="286"/>
      <c r="WTM1096" s="286"/>
      <c r="WTN1096" s="286"/>
      <c r="WTO1096" s="286"/>
      <c r="WTP1096" s="286"/>
      <c r="WTQ1096" s="286"/>
      <c r="WTR1096" s="286"/>
      <c r="WTS1096" s="286"/>
      <c r="WTT1096" s="286"/>
      <c r="WTU1096" s="286"/>
      <c r="WTV1096" s="286"/>
      <c r="WTW1096" s="286"/>
      <c r="WTX1096" s="286"/>
      <c r="WTY1096" s="286"/>
      <c r="WTZ1096" s="286"/>
      <c r="WUA1096" s="286"/>
      <c r="WUB1096" s="286"/>
      <c r="WUC1096" s="286"/>
      <c r="WUD1096" s="286"/>
      <c r="WUE1096" s="286"/>
      <c r="WUF1096" s="286"/>
      <c r="WUG1096" s="286"/>
      <c r="WUH1096" s="286"/>
      <c r="WUI1096" s="286"/>
      <c r="WUJ1096" s="286"/>
      <c r="WUK1096" s="286"/>
      <c r="WUL1096" s="286"/>
      <c r="WUM1096" s="286"/>
      <c r="WUN1096" s="286"/>
      <c r="WUO1096" s="286"/>
      <c r="WUP1096" s="286"/>
      <c r="WUQ1096" s="286"/>
      <c r="WUR1096" s="286"/>
      <c r="WUS1096" s="286"/>
      <c r="WUT1096" s="286"/>
      <c r="WUU1096" s="286"/>
      <c r="WUV1096" s="286"/>
      <c r="WUW1096" s="286"/>
      <c r="WUX1096" s="286"/>
      <c r="WUY1096" s="286"/>
      <c r="WUZ1096" s="286"/>
      <c r="WVA1096" s="286"/>
      <c r="WVB1096" s="286"/>
      <c r="WVC1096" s="286"/>
      <c r="WVD1096" s="286"/>
      <c r="WVE1096" s="286"/>
      <c r="WVF1096" s="286"/>
      <c r="WVG1096" s="286"/>
      <c r="WVH1096" s="286"/>
      <c r="WVI1096" s="286"/>
      <c r="WVJ1096" s="286"/>
      <c r="WVK1096" s="286"/>
      <c r="WVL1096" s="286"/>
      <c r="WVM1096" s="286"/>
      <c r="WVN1096" s="286"/>
      <c r="WVO1096" s="286"/>
      <c r="WVP1096" s="286"/>
      <c r="WVQ1096" s="286"/>
      <c r="WVR1096" s="286"/>
      <c r="WVS1096" s="286"/>
      <c r="WVT1096" s="286"/>
      <c r="WVU1096" s="286"/>
      <c r="WVV1096" s="286"/>
      <c r="WVW1096" s="286"/>
      <c r="WVX1096" s="286"/>
      <c r="WVY1096" s="286"/>
      <c r="WVZ1096" s="286"/>
      <c r="WWA1096" s="286"/>
      <c r="WWB1096" s="286"/>
      <c r="WWC1096" s="286"/>
      <c r="WWD1096" s="286"/>
      <c r="WWE1096" s="286"/>
      <c r="WWF1096" s="286"/>
      <c r="WWG1096" s="286"/>
      <c r="WWH1096" s="286"/>
      <c r="WWI1096" s="286"/>
      <c r="WWJ1096" s="286"/>
      <c r="WWK1096" s="286"/>
      <c r="WWL1096" s="286"/>
      <c r="WWM1096" s="286"/>
      <c r="WWN1096" s="286"/>
      <c r="WWO1096" s="286"/>
      <c r="WWP1096" s="286"/>
      <c r="WWQ1096" s="286"/>
      <c r="WWR1096" s="286"/>
      <c r="WWS1096" s="286"/>
      <c r="WWT1096" s="286"/>
      <c r="WWU1096" s="286"/>
      <c r="WWV1096" s="286"/>
      <c r="WWW1096" s="286"/>
      <c r="WWX1096" s="286"/>
      <c r="WWY1096" s="286"/>
      <c r="WWZ1096" s="286"/>
      <c r="WXA1096" s="286"/>
      <c r="WXB1096" s="286"/>
      <c r="WXC1096" s="286"/>
      <c r="WXD1096" s="286"/>
      <c r="WXE1096" s="286"/>
      <c r="WXF1096" s="286"/>
      <c r="WXG1096" s="286"/>
      <c r="WXH1096" s="286"/>
      <c r="WXI1096" s="286"/>
      <c r="WXJ1096" s="286"/>
      <c r="WXK1096" s="286"/>
      <c r="WXL1096" s="286"/>
      <c r="WXM1096" s="286"/>
      <c r="WXN1096" s="286"/>
      <c r="WXO1096" s="286"/>
      <c r="WXP1096" s="286"/>
      <c r="WXQ1096" s="286"/>
      <c r="WXR1096" s="286"/>
      <c r="WXS1096" s="286"/>
      <c r="WXT1096" s="286"/>
      <c r="WXU1096" s="286"/>
      <c r="WXV1096" s="286"/>
      <c r="WXW1096" s="286"/>
      <c r="WXX1096" s="286"/>
      <c r="WXY1096" s="286"/>
      <c r="WXZ1096" s="286"/>
      <c r="WYA1096" s="286"/>
      <c r="WYB1096" s="286"/>
      <c r="WYC1096" s="286"/>
      <c r="WYD1096" s="286"/>
      <c r="WYE1096" s="286"/>
      <c r="WYF1096" s="286"/>
      <c r="WYG1096" s="286"/>
      <c r="WYH1096" s="286"/>
      <c r="WYI1096" s="286"/>
      <c r="WYJ1096" s="286"/>
      <c r="WYK1096" s="286"/>
      <c r="WYL1096" s="286"/>
      <c r="WYM1096" s="286"/>
      <c r="WYN1096" s="286"/>
      <c r="WYO1096" s="286"/>
      <c r="WYP1096" s="286"/>
      <c r="WYQ1096" s="286"/>
      <c r="WYR1096" s="286"/>
      <c r="WYS1096" s="286"/>
      <c r="WYT1096" s="286"/>
      <c r="WYU1096" s="286"/>
      <c r="WYV1096" s="286"/>
      <c r="WYW1096" s="286"/>
      <c r="WYX1096" s="286"/>
      <c r="WYY1096" s="286"/>
      <c r="WYZ1096" s="286"/>
      <c r="WZA1096" s="286"/>
      <c r="WZB1096" s="286"/>
      <c r="WZC1096" s="286"/>
      <c r="WZD1096" s="286"/>
      <c r="WZE1096" s="286"/>
      <c r="WZF1096" s="286"/>
      <c r="WZG1096" s="286"/>
      <c r="WZH1096" s="286"/>
      <c r="WZI1096" s="286"/>
      <c r="WZJ1096" s="286"/>
      <c r="WZK1096" s="286"/>
      <c r="WZL1096" s="286"/>
      <c r="WZM1096" s="286"/>
      <c r="WZN1096" s="286"/>
      <c r="WZO1096" s="286"/>
      <c r="WZP1096" s="286"/>
      <c r="WZQ1096" s="286"/>
      <c r="WZR1096" s="286"/>
      <c r="WZS1096" s="286"/>
      <c r="WZT1096" s="286"/>
      <c r="WZU1096" s="286"/>
      <c r="WZV1096" s="286"/>
      <c r="WZW1096" s="286"/>
      <c r="WZX1096" s="286"/>
      <c r="WZY1096" s="286"/>
      <c r="WZZ1096" s="286"/>
      <c r="XAA1096" s="286"/>
      <c r="XAB1096" s="286"/>
      <c r="XAC1096" s="286"/>
      <c r="XAD1096" s="286"/>
      <c r="XAE1096" s="286"/>
      <c r="XAF1096" s="286"/>
      <c r="XAG1096" s="286"/>
      <c r="XAH1096" s="286"/>
      <c r="XAI1096" s="286"/>
      <c r="XAJ1096" s="286"/>
      <c r="XAK1096" s="286"/>
      <c r="XAL1096" s="286"/>
      <c r="XAM1096" s="286"/>
      <c r="XAN1096" s="286"/>
      <c r="XAO1096" s="286"/>
      <c r="XAP1096" s="286"/>
      <c r="XAQ1096" s="286"/>
      <c r="XAR1096" s="286"/>
      <c r="XAS1096" s="286"/>
      <c r="XAT1096" s="286"/>
      <c r="XAU1096" s="286"/>
      <c r="XAV1096" s="286"/>
      <c r="XAW1096" s="286"/>
      <c r="XAX1096" s="286"/>
      <c r="XAY1096" s="286"/>
      <c r="XAZ1096" s="286"/>
      <c r="XBA1096" s="286"/>
      <c r="XBB1096" s="286"/>
      <c r="XBC1096" s="286"/>
      <c r="XBD1096" s="286"/>
      <c r="XBE1096" s="286"/>
      <c r="XBF1096" s="286"/>
      <c r="XBG1096" s="286"/>
      <c r="XBH1096" s="286"/>
      <c r="XBI1096" s="286"/>
      <c r="XBJ1096" s="286"/>
      <c r="XBK1096" s="286"/>
      <c r="XBL1096" s="286"/>
      <c r="XBM1096" s="286"/>
      <c r="XBN1096" s="286"/>
      <c r="XBO1096" s="286"/>
      <c r="XBP1096" s="286"/>
      <c r="XBQ1096" s="286"/>
      <c r="XBR1096" s="286"/>
      <c r="XBS1096" s="286"/>
      <c r="XBT1096" s="286"/>
      <c r="XBU1096" s="286"/>
      <c r="XBV1096" s="286"/>
      <c r="XBW1096" s="286"/>
      <c r="XBX1096" s="286"/>
      <c r="XBY1096" s="286"/>
      <c r="XBZ1096" s="286"/>
      <c r="XCA1096" s="286"/>
      <c r="XCB1096" s="286"/>
      <c r="XCC1096" s="286"/>
      <c r="XCD1096" s="286"/>
      <c r="XCE1096" s="286"/>
      <c r="XCF1096" s="286"/>
      <c r="XCG1096" s="286"/>
      <c r="XCH1096" s="286"/>
      <c r="XCI1096" s="286"/>
      <c r="XCJ1096" s="286"/>
      <c r="XCK1096" s="286"/>
      <c r="XCL1096" s="286"/>
      <c r="XCM1096" s="286"/>
      <c r="XCN1096" s="286"/>
      <c r="XCO1096" s="286"/>
      <c r="XCP1096" s="286"/>
      <c r="XCQ1096" s="286"/>
      <c r="XCR1096" s="286"/>
      <c r="XCS1096" s="286"/>
      <c r="XCT1096" s="286"/>
      <c r="XCU1096" s="286"/>
      <c r="XCV1096" s="286"/>
      <c r="XCW1096" s="286"/>
      <c r="XCX1096" s="286"/>
      <c r="XCY1096" s="286"/>
      <c r="XCZ1096" s="286"/>
      <c r="XDA1096" s="286"/>
      <c r="XDB1096" s="286"/>
      <c r="XDC1096" s="286"/>
      <c r="XDD1096" s="286"/>
      <c r="XDE1096" s="286"/>
      <c r="XDF1096" s="286"/>
      <c r="XDG1096" s="286"/>
      <c r="XDH1096" s="286"/>
      <c r="XDI1096" s="286"/>
      <c r="XDJ1096" s="286"/>
      <c r="XDK1096" s="286"/>
      <c r="XDL1096" s="286"/>
      <c r="XDM1096" s="286"/>
      <c r="XDN1096" s="286"/>
      <c r="XDO1096" s="286"/>
      <c r="XDP1096" s="286"/>
      <c r="XDQ1096" s="286"/>
      <c r="XDR1096" s="286"/>
      <c r="XDS1096" s="286"/>
      <c r="XDT1096" s="286"/>
      <c r="XDU1096" s="286"/>
      <c r="XDV1096" s="286"/>
      <c r="XDW1096" s="286"/>
      <c r="XDX1096" s="286"/>
      <c r="XDY1096" s="286"/>
      <c r="XDZ1096" s="286"/>
      <c r="XEA1096" s="286"/>
      <c r="XEB1096" s="286"/>
      <c r="XEC1096" s="286"/>
      <c r="XED1096" s="286"/>
      <c r="XEE1096" s="286"/>
      <c r="XEF1096" s="286"/>
      <c r="XEG1096" s="286"/>
      <c r="XEH1096" s="286"/>
      <c r="XEI1096" s="286"/>
      <c r="XEJ1096" s="286"/>
      <c r="XEK1096" s="286"/>
      <c r="XEL1096" s="286"/>
      <c r="XEM1096" s="286"/>
      <c r="XEN1096" s="286"/>
      <c r="XEO1096" s="286"/>
      <c r="XEP1096" s="286"/>
      <c r="XEQ1096" s="286"/>
      <c r="XER1096" s="286"/>
      <c r="XES1096" s="286"/>
      <c r="XET1096" s="286"/>
      <c r="XEU1096" s="286"/>
      <c r="XEV1096" s="286"/>
      <c r="XEW1096" s="286"/>
      <c r="XEX1096" s="286"/>
      <c r="XEY1096" s="286"/>
      <c r="XEZ1096" s="286"/>
      <c r="XFA1096" s="286"/>
      <c r="XFB1096" s="286"/>
      <c r="XFC1096" s="286"/>
    </row>
    <row r="1097" spans="1:16383" ht="15.75" hidden="1" customHeight="1">
      <c r="A1097" s="203">
        <v>46238</v>
      </c>
      <c r="B1097" s="203" t="s">
        <v>323</v>
      </c>
      <c r="C1097" s="705" t="s">
        <v>2940</v>
      </c>
      <c r="D1097" s="203">
        <v>46241</v>
      </c>
      <c r="E1097" s="203" t="s">
        <v>82</v>
      </c>
      <c r="F1097" s="203">
        <v>46240</v>
      </c>
      <c r="G1097" s="555" t="s">
        <v>2494</v>
      </c>
    </row>
    <row r="1098" spans="1:16383" ht="15.75" hidden="1" customHeight="1">
      <c r="A1098" s="203">
        <v>46239</v>
      </c>
      <c r="B1098" s="203" t="s">
        <v>74</v>
      </c>
      <c r="C1098" s="705" t="s">
        <v>2941</v>
      </c>
      <c r="D1098" s="203">
        <v>46245</v>
      </c>
      <c r="E1098" s="203" t="s">
        <v>783</v>
      </c>
      <c r="F1098" s="203">
        <v>46239</v>
      </c>
      <c r="G1098" s="555" t="s">
        <v>2499</v>
      </c>
    </row>
    <row r="1099" spans="1:16383" ht="15.75" hidden="1" customHeight="1">
      <c r="A1099" s="659">
        <v>46241</v>
      </c>
      <c r="B1099" s="8" t="s">
        <v>359</v>
      </c>
      <c r="C1099" s="707" t="s">
        <v>2942</v>
      </c>
      <c r="D1099" s="495">
        <v>46245</v>
      </c>
      <c r="E1099" s="203" t="s">
        <v>783</v>
      </c>
      <c r="F1099" s="286">
        <v>46241</v>
      </c>
      <c r="G1099" s="475" t="s">
        <v>2494</v>
      </c>
    </row>
    <row r="1100" spans="1:16383" ht="15.75" hidden="1" customHeight="1">
      <c r="A1100" s="203">
        <v>46245</v>
      </c>
      <c r="B1100" s="436" t="s">
        <v>1164</v>
      </c>
      <c r="C1100" s="785" t="s">
        <v>2943</v>
      </c>
      <c r="D1100" s="436">
        <v>46251</v>
      </c>
      <c r="E1100" s="440" t="s">
        <v>783</v>
      </c>
      <c r="F1100" s="436">
        <v>46251</v>
      </c>
      <c r="G1100" s="610" t="s">
        <v>2740</v>
      </c>
    </row>
    <row r="1101" spans="1:16383" ht="15.75" hidden="1" customHeight="1">
      <c r="A1101" s="645">
        <v>46247</v>
      </c>
      <c r="B1101" s="203" t="s">
        <v>435</v>
      </c>
      <c r="C1101" s="705" t="s">
        <v>2944</v>
      </c>
      <c r="D1101" s="203">
        <v>46254</v>
      </c>
      <c r="E1101" s="203" t="s">
        <v>783</v>
      </c>
      <c r="F1101" s="203">
        <v>46254</v>
      </c>
      <c r="G1101" s="784" t="s">
        <v>2666</v>
      </c>
    </row>
    <row r="1102" spans="1:16383" ht="15.75" hidden="1" customHeight="1">
      <c r="A1102" s="645">
        <v>46247</v>
      </c>
      <c r="B1102" s="203" t="s">
        <v>435</v>
      </c>
      <c r="C1102" s="705" t="s">
        <v>2945</v>
      </c>
      <c r="D1102" s="203">
        <v>46254</v>
      </c>
      <c r="E1102" s="203" t="s">
        <v>783</v>
      </c>
      <c r="F1102" s="203">
        <v>46254</v>
      </c>
      <c r="G1102" s="784" t="s">
        <v>2666</v>
      </c>
    </row>
    <row r="1103" spans="1:16383" ht="15.75" hidden="1" customHeight="1">
      <c r="A1103" s="203">
        <v>46248</v>
      </c>
      <c r="B1103" s="386" t="s">
        <v>2460</v>
      </c>
      <c r="C1103" s="788" t="s">
        <v>2946</v>
      </c>
      <c r="D1103" s="386">
        <v>46253</v>
      </c>
      <c r="E1103" s="440" t="s">
        <v>783</v>
      </c>
      <c r="F1103" s="386">
        <v>46253</v>
      </c>
      <c r="G1103" s="789" t="s">
        <v>1402</v>
      </c>
    </row>
    <row r="1104" spans="1:16383" ht="15.75" hidden="1" customHeight="1">
      <c r="A1104" s="203">
        <v>46248</v>
      </c>
      <c r="B1104" s="203" t="s">
        <v>237</v>
      </c>
      <c r="C1104" s="705" t="s">
        <v>2947</v>
      </c>
      <c r="D1104" s="645">
        <v>46253</v>
      </c>
      <c r="E1104" s="440" t="s">
        <v>783</v>
      </c>
      <c r="F1104" s="780">
        <v>46253</v>
      </c>
      <c r="G1104" s="784" t="s">
        <v>2948</v>
      </c>
    </row>
    <row r="1105" spans="1:7" ht="15.75" hidden="1" customHeight="1">
      <c r="A1105" s="203">
        <v>46248</v>
      </c>
      <c r="B1105" s="436" t="s">
        <v>237</v>
      </c>
      <c r="C1105" s="785" t="s">
        <v>2949</v>
      </c>
      <c r="D1105" s="782">
        <v>46253</v>
      </c>
      <c r="E1105" s="786" t="s">
        <v>82</v>
      </c>
      <c r="F1105" s="783">
        <v>46251</v>
      </c>
      <c r="G1105" s="436" t="s">
        <v>2499</v>
      </c>
    </row>
    <row r="1106" spans="1:7" ht="15.75" hidden="1" customHeight="1">
      <c r="A1106" s="645">
        <v>46252</v>
      </c>
      <c r="B1106" s="203" t="s">
        <v>2460</v>
      </c>
      <c r="C1106" s="705" t="s">
        <v>2950</v>
      </c>
      <c r="D1106" s="645">
        <v>46259</v>
      </c>
      <c r="E1106" s="203" t="s">
        <v>783</v>
      </c>
      <c r="F1106" s="26">
        <v>46260</v>
      </c>
      <c r="G1106" s="152" t="s">
        <v>2517</v>
      </c>
    </row>
    <row r="1107" spans="1:7" ht="15.75" hidden="1" customHeight="1">
      <c r="A1107" s="782">
        <v>46252</v>
      </c>
      <c r="B1107" s="203" t="s">
        <v>2460</v>
      </c>
      <c r="C1107" s="781" t="s">
        <v>2951</v>
      </c>
      <c r="D1107" s="645">
        <v>46259</v>
      </c>
      <c r="E1107" s="203" t="s">
        <v>783</v>
      </c>
      <c r="F1107" s="26">
        <v>46260</v>
      </c>
      <c r="G1107" s="152" t="s">
        <v>2517</v>
      </c>
    </row>
    <row r="1108" spans="1:7" ht="15.75" hidden="1" customHeight="1">
      <c r="A1108" s="203">
        <v>46252</v>
      </c>
      <c r="B1108" s="386" t="s">
        <v>1343</v>
      </c>
      <c r="C1108" s="790" t="s">
        <v>2952</v>
      </c>
      <c r="D1108" s="386">
        <v>46252</v>
      </c>
      <c r="E1108" s="440" t="s">
        <v>783</v>
      </c>
      <c r="F1108" s="386">
        <v>46252</v>
      </c>
      <c r="G1108" s="492" t="s">
        <v>2740</v>
      </c>
    </row>
    <row r="1109" spans="1:7" ht="15.75" hidden="1" customHeight="1">
      <c r="A1109" s="203">
        <v>46252</v>
      </c>
      <c r="B1109" s="436" t="s">
        <v>1343</v>
      </c>
      <c r="C1109" s="787" t="s">
        <v>2953</v>
      </c>
      <c r="D1109" s="436">
        <v>46252</v>
      </c>
      <c r="E1109" s="440" t="s">
        <v>783</v>
      </c>
      <c r="F1109" s="436">
        <v>46252</v>
      </c>
      <c r="G1109" s="610" t="s">
        <v>2740</v>
      </c>
    </row>
    <row r="1110" spans="1:7" ht="15.75" hidden="1" customHeight="1">
      <c r="A1110" s="645">
        <v>46252</v>
      </c>
      <c r="B1110" s="203" t="s">
        <v>2460</v>
      </c>
      <c r="C1110" s="781" t="s">
        <v>2954</v>
      </c>
      <c r="D1110" s="645">
        <v>46259</v>
      </c>
      <c r="E1110" s="203" t="s">
        <v>783</v>
      </c>
      <c r="F1110" s="26">
        <v>46260</v>
      </c>
      <c r="G1110" s="152" t="s">
        <v>2517</v>
      </c>
    </row>
    <row r="1111" spans="1:7" ht="15.75" hidden="1" customHeight="1">
      <c r="A1111" s="645">
        <v>46252</v>
      </c>
      <c r="B1111" s="203" t="s">
        <v>2460</v>
      </c>
      <c r="C1111" s="781" t="s">
        <v>2955</v>
      </c>
      <c r="D1111" s="645">
        <v>46259</v>
      </c>
      <c r="E1111" s="203" t="s">
        <v>783</v>
      </c>
      <c r="F1111" s="26">
        <v>46260</v>
      </c>
      <c r="G1111" s="152" t="s">
        <v>2517</v>
      </c>
    </row>
    <row r="1112" spans="1:7" ht="15.75" hidden="1" customHeight="1">
      <c r="A1112" s="645">
        <v>46253</v>
      </c>
      <c r="B1112" s="203" t="s">
        <v>74</v>
      </c>
      <c r="C1112" s="781" t="s">
        <v>2956</v>
      </c>
      <c r="D1112" s="203">
        <v>46254</v>
      </c>
      <c r="E1112" s="440" t="s">
        <v>783</v>
      </c>
      <c r="F1112" s="286">
        <v>46254</v>
      </c>
      <c r="G1112" s="475" t="s">
        <v>2740</v>
      </c>
    </row>
    <row r="1113" spans="1:7" ht="15.75" hidden="1" customHeight="1">
      <c r="A1113" s="645">
        <v>46260</v>
      </c>
      <c r="B1113" s="203" t="s">
        <v>320</v>
      </c>
      <c r="C1113" s="781" t="s">
        <v>2957</v>
      </c>
      <c r="D1113" s="645">
        <v>46260</v>
      </c>
      <c r="E1113" s="203" t="s">
        <v>783</v>
      </c>
      <c r="F1113" s="26">
        <v>46260</v>
      </c>
      <c r="G1113" s="152" t="s">
        <v>2517</v>
      </c>
    </row>
    <row r="1114" spans="1:7" ht="15.75" hidden="1" customHeight="1">
      <c r="A1114" s="645">
        <v>46260</v>
      </c>
      <c r="B1114" s="203" t="s">
        <v>320</v>
      </c>
      <c r="C1114" s="781" t="s">
        <v>2958</v>
      </c>
      <c r="D1114" s="645">
        <v>46260</v>
      </c>
      <c r="E1114" s="203" t="s">
        <v>783</v>
      </c>
      <c r="F1114" s="26">
        <v>46260</v>
      </c>
      <c r="G1114" s="152" t="s">
        <v>2517</v>
      </c>
    </row>
    <row r="1115" spans="1:7" ht="15.75" hidden="1" customHeight="1">
      <c r="A1115" s="645">
        <v>46262</v>
      </c>
      <c r="B1115" s="203" t="s">
        <v>237</v>
      </c>
      <c r="C1115" s="781" t="s">
        <v>2959</v>
      </c>
      <c r="D1115" s="645">
        <v>46266</v>
      </c>
      <c r="E1115" s="203" t="s">
        <v>783</v>
      </c>
      <c r="F1115" s="26">
        <v>46266</v>
      </c>
      <c r="G1115" s="152" t="s">
        <v>2494</v>
      </c>
    </row>
    <row r="1116" spans="1:7" ht="15.75" hidden="1" customHeight="1">
      <c r="A1116" s="645">
        <v>46267</v>
      </c>
      <c r="B1116" s="203" t="s">
        <v>417</v>
      </c>
      <c r="C1116" s="781" t="s">
        <v>2535</v>
      </c>
      <c r="D1116" s="645">
        <v>46267</v>
      </c>
      <c r="E1116" s="203" t="s">
        <v>783</v>
      </c>
      <c r="F1116" s="26">
        <v>46267</v>
      </c>
      <c r="G1116" s="152" t="s">
        <v>1402</v>
      </c>
    </row>
    <row r="1117" spans="1:7" ht="15.75" hidden="1" customHeight="1">
      <c r="A1117" s="645">
        <v>46267</v>
      </c>
      <c r="B1117" s="203" t="s">
        <v>417</v>
      </c>
      <c r="C1117" s="781" t="s">
        <v>2960</v>
      </c>
      <c r="D1117" s="645">
        <v>46271</v>
      </c>
      <c r="E1117" s="203" t="s">
        <v>783</v>
      </c>
      <c r="F1117" s="26">
        <v>46271</v>
      </c>
      <c r="G1117" s="152" t="s">
        <v>1402</v>
      </c>
    </row>
    <row r="1118" spans="1:7" ht="15.75" hidden="1" customHeight="1">
      <c r="A1118" s="645">
        <v>46267</v>
      </c>
      <c r="B1118" s="203" t="s">
        <v>412</v>
      </c>
      <c r="C1118" s="781" t="s">
        <v>2961</v>
      </c>
      <c r="D1118" s="645">
        <v>46269</v>
      </c>
      <c r="E1118" s="203" t="s">
        <v>783</v>
      </c>
      <c r="F1118" s="26">
        <v>46269</v>
      </c>
      <c r="G1118" s="152" t="s">
        <v>2494</v>
      </c>
    </row>
    <row r="1119" spans="1:7" ht="15.75" customHeight="1">
      <c r="A1119" s="645">
        <v>46269</v>
      </c>
      <c r="B1119" s="203" t="s">
        <v>435</v>
      </c>
      <c r="C1119" s="781" t="s">
        <v>2962</v>
      </c>
      <c r="D1119" s="645">
        <v>46279</v>
      </c>
      <c r="E1119" s="203" t="s">
        <v>822</v>
      </c>
      <c r="F1119" s="26"/>
      <c r="G1119" s="152"/>
    </row>
    <row r="1120" spans="1:7" ht="15.75" customHeight="1">
      <c r="A1120" s="645">
        <v>46275</v>
      </c>
      <c r="B1120" s="203" t="s">
        <v>364</v>
      </c>
      <c r="C1120" s="781" t="s">
        <v>2963</v>
      </c>
      <c r="D1120" s="645">
        <v>46282</v>
      </c>
      <c r="E1120" s="203" t="s">
        <v>822</v>
      </c>
      <c r="F1120" s="26"/>
      <c r="G1120" s="152"/>
    </row>
    <row r="1121" spans="1:7" ht="15.75" customHeight="1">
      <c r="A1121" s="645">
        <v>46274</v>
      </c>
      <c r="B1121" s="203" t="s">
        <v>237</v>
      </c>
      <c r="C1121" s="781" t="s">
        <v>2964</v>
      </c>
      <c r="D1121" s="645">
        <v>46276</v>
      </c>
      <c r="E1121" s="203" t="s">
        <v>822</v>
      </c>
      <c r="F1121" s="26"/>
      <c r="G1121" s="152"/>
    </row>
    <row r="1122" spans="1:7" ht="15.75" customHeight="1">
      <c r="E1122" s="440"/>
    </row>
    <row r="1123" spans="1:7" ht="15.75" customHeight="1">
      <c r="E1123" s="440"/>
    </row>
    <row r="1124" spans="1:7" ht="15.75" customHeight="1">
      <c r="E1124" s="440"/>
    </row>
    <row r="1125" spans="1:7" ht="15.75" customHeight="1">
      <c r="E1125" s="440"/>
    </row>
    <row r="1126" spans="1:7" ht="15.75" customHeight="1">
      <c r="E1126" s="440"/>
    </row>
    <row r="1127" spans="1:7" ht="15.75" customHeight="1">
      <c r="E1127" s="440"/>
    </row>
    <row r="1128" spans="1:7" ht="15.75" customHeight="1">
      <c r="E1128" s="440"/>
    </row>
    <row r="1129" spans="1:7" ht="15.75" customHeight="1">
      <c r="E1129" s="440"/>
    </row>
    <row r="1130" spans="1:7" ht="15.75" customHeight="1">
      <c r="E1130" s="440"/>
    </row>
    <row r="1131" spans="1:7" ht="15.75" customHeight="1">
      <c r="E1131" s="440"/>
    </row>
    <row r="1132" spans="1:7" ht="15.75" customHeight="1">
      <c r="E1132" s="440"/>
    </row>
    <row r="1133" spans="1:7" ht="15.75" customHeight="1">
      <c r="E1133" s="440"/>
    </row>
    <row r="1134" spans="1:7" ht="15.75" customHeight="1">
      <c r="E1134" s="440"/>
    </row>
    <row r="1135" spans="1:7" ht="15.75" customHeight="1">
      <c r="E1135" s="440"/>
    </row>
    <row r="1136" spans="1:7" ht="15.75" customHeight="1">
      <c r="E1136" s="440"/>
    </row>
    <row r="1137" spans="5:5" ht="15.75" customHeight="1">
      <c r="E1137" s="440"/>
    </row>
    <row r="1138" spans="5:5" ht="15.75" customHeight="1">
      <c r="E1138" s="440"/>
    </row>
    <row r="1139" spans="5:5" ht="15.75" customHeight="1">
      <c r="E1139" s="440"/>
    </row>
    <row r="1140" spans="5:5" ht="15.75" customHeight="1">
      <c r="E1140" s="440"/>
    </row>
    <row r="1141" spans="5:5" ht="15.75" customHeight="1">
      <c r="E1141" s="440"/>
    </row>
    <row r="1142" spans="5:5" ht="15.75" customHeight="1">
      <c r="E1142" s="440"/>
    </row>
    <row r="1143" spans="5:5" ht="15.75" customHeight="1">
      <c r="E1143" s="440"/>
    </row>
    <row r="1144" spans="5:5" ht="15.75" customHeight="1">
      <c r="E1144" s="440"/>
    </row>
    <row r="1145" spans="5:5" ht="15.75" customHeight="1">
      <c r="E1145" s="440"/>
    </row>
    <row r="1146" spans="5:5" ht="15.75" customHeight="1">
      <c r="E1146" s="440"/>
    </row>
    <row r="1147" spans="5:5" ht="15.75" customHeight="1">
      <c r="E1147" s="440"/>
    </row>
    <row r="1148" spans="5:5" ht="15.75" customHeight="1">
      <c r="E1148" s="440"/>
    </row>
    <row r="1149" spans="5:5" ht="15.75" customHeight="1">
      <c r="E1149" s="440"/>
    </row>
    <row r="1150" spans="5:5" ht="15.75" customHeight="1">
      <c r="E1150" s="440"/>
    </row>
    <row r="1151" spans="5:5" ht="15.75" customHeight="1">
      <c r="E1151" s="440"/>
    </row>
    <row r="1152" spans="5:5" ht="15.75" customHeight="1">
      <c r="E1152" s="440"/>
    </row>
    <row r="1153" spans="5:5" ht="15.75" customHeight="1">
      <c r="E1153" s="440"/>
    </row>
    <row r="1154" spans="5:5" ht="15.75" customHeight="1">
      <c r="E1154" s="440"/>
    </row>
    <row r="1155" spans="5:5" ht="15.75" customHeight="1">
      <c r="E1155" s="440"/>
    </row>
    <row r="1156" spans="5:5" ht="15.75" customHeight="1">
      <c r="E1156" s="440"/>
    </row>
    <row r="1157" spans="5:5" ht="15.75" customHeight="1">
      <c r="E1157" s="440"/>
    </row>
    <row r="1158" spans="5:5" ht="15.75" customHeight="1">
      <c r="E1158" s="440"/>
    </row>
    <row r="1159" spans="5:5" ht="15.75" customHeight="1">
      <c r="E1159" s="440"/>
    </row>
    <row r="1160" spans="5:5" ht="15.75" customHeight="1">
      <c r="E1160" s="440"/>
    </row>
    <row r="1161" spans="5:5" ht="15.75" customHeight="1">
      <c r="E1161" s="440"/>
    </row>
    <row r="1162" spans="5:5" ht="15.75" customHeight="1">
      <c r="E1162" s="440"/>
    </row>
    <row r="1163" spans="5:5" ht="15.75" customHeight="1">
      <c r="E1163" s="440"/>
    </row>
    <row r="1164" spans="5:5" ht="15.75" customHeight="1">
      <c r="E1164" s="440"/>
    </row>
    <row r="1165" spans="5:5" ht="15.75" customHeight="1">
      <c r="E1165" s="440"/>
    </row>
    <row r="1166" spans="5:5" ht="15.75" customHeight="1">
      <c r="E1166" s="440"/>
    </row>
    <row r="1167" spans="5:5" ht="15.75" customHeight="1">
      <c r="E1167" s="440"/>
    </row>
    <row r="1168" spans="5:5" ht="15.75" customHeight="1">
      <c r="E1168" s="440"/>
    </row>
    <row r="1169" spans="5:5" ht="15.75" customHeight="1">
      <c r="E1169" s="440"/>
    </row>
    <row r="1170" spans="5:5" ht="15.75" customHeight="1">
      <c r="E1170" s="440"/>
    </row>
    <row r="1171" spans="5:5" ht="15.75" customHeight="1">
      <c r="E1171" s="440"/>
    </row>
    <row r="1172" spans="5:5" ht="15.75" customHeight="1">
      <c r="E1172" s="440"/>
    </row>
    <row r="1173" spans="5:5" ht="15.75" customHeight="1">
      <c r="E1173" s="440"/>
    </row>
    <row r="1174" spans="5:5" ht="15.75" customHeight="1">
      <c r="E1174" s="440"/>
    </row>
    <row r="1175" spans="5:5" ht="15.75" customHeight="1">
      <c r="E1175" s="440"/>
    </row>
    <row r="1176" spans="5:5" ht="15.75" customHeight="1">
      <c r="E1176" s="440"/>
    </row>
    <row r="1177" spans="5:5" ht="15.75" customHeight="1">
      <c r="E1177" s="440"/>
    </row>
    <row r="1178" spans="5:5" ht="15.75" customHeight="1">
      <c r="E1178" s="440"/>
    </row>
    <row r="1179" spans="5:5" ht="15.75" customHeight="1">
      <c r="E1179" s="440"/>
    </row>
    <row r="1180" spans="5:5" ht="15.75" customHeight="1">
      <c r="E1180" s="440"/>
    </row>
    <row r="1181" spans="5:5" ht="15.75" customHeight="1">
      <c r="E1181" s="440"/>
    </row>
    <row r="1182" spans="5:5" ht="15.75" customHeight="1">
      <c r="E1182" s="440"/>
    </row>
    <row r="1183" spans="5:5" ht="15.75" customHeight="1">
      <c r="E1183" s="440"/>
    </row>
    <row r="1184" spans="5:5" ht="15.75" customHeight="1">
      <c r="E1184" s="440"/>
    </row>
    <row r="1185" spans="5:5" ht="15.75" customHeight="1">
      <c r="E1185" s="440"/>
    </row>
    <row r="1186" spans="5:5" ht="15.75" customHeight="1">
      <c r="E1186" s="440"/>
    </row>
    <row r="1187" spans="5:5" ht="15.75" customHeight="1">
      <c r="E1187" s="440"/>
    </row>
    <row r="1188" spans="5:5" ht="15.75" customHeight="1">
      <c r="E1188" s="440"/>
    </row>
    <row r="1189" spans="5:5" ht="15.75" customHeight="1">
      <c r="E1189" s="440"/>
    </row>
    <row r="1190" spans="5:5" ht="15.75" customHeight="1">
      <c r="E1190" s="440"/>
    </row>
    <row r="1191" spans="5:5" ht="15.75" customHeight="1">
      <c r="E1191" s="440"/>
    </row>
    <row r="1192" spans="5:5" ht="15.75" customHeight="1">
      <c r="E1192" s="440"/>
    </row>
    <row r="1193" spans="5:5" ht="15.75" customHeight="1">
      <c r="E1193" s="440"/>
    </row>
    <row r="1194" spans="5:5" ht="15.75" customHeight="1">
      <c r="E1194" s="440"/>
    </row>
    <row r="1195" spans="5:5" ht="15.75" customHeight="1">
      <c r="E1195" s="440"/>
    </row>
    <row r="1196" spans="5:5" ht="15.75" customHeight="1">
      <c r="E1196" s="440"/>
    </row>
    <row r="1197" spans="5:5" ht="15.75" customHeight="1">
      <c r="E1197" s="440"/>
    </row>
    <row r="1198" spans="5:5" ht="15.75" customHeight="1">
      <c r="E1198" s="440"/>
    </row>
    <row r="1199" spans="5:5" ht="15.75" customHeight="1">
      <c r="E1199" s="440"/>
    </row>
    <row r="1200" spans="5:5" ht="15.75" customHeight="1">
      <c r="E1200" s="440"/>
    </row>
    <row r="1201" spans="5:5" ht="15.75" customHeight="1">
      <c r="E1201" s="440"/>
    </row>
    <row r="1202" spans="5:5" ht="15.75" customHeight="1">
      <c r="E1202" s="440"/>
    </row>
    <row r="1203" spans="5:5" ht="15.75" customHeight="1">
      <c r="E1203" s="440"/>
    </row>
    <row r="1204" spans="5:5" ht="15.75" customHeight="1">
      <c r="E1204" s="440"/>
    </row>
    <row r="1205" spans="5:5" ht="15.75" customHeight="1">
      <c r="E1205" s="440"/>
    </row>
    <row r="1206" spans="5:5" ht="15.75" customHeight="1">
      <c r="E1206" s="440"/>
    </row>
    <row r="1207" spans="5:5" ht="15.75" customHeight="1">
      <c r="E1207" s="440"/>
    </row>
    <row r="1208" spans="5:5" ht="15.75" customHeight="1">
      <c r="E1208" s="440"/>
    </row>
    <row r="1209" spans="5:5" ht="15.75" customHeight="1">
      <c r="E1209" s="440"/>
    </row>
    <row r="1210" spans="5:5" ht="15.75" customHeight="1">
      <c r="E1210" s="440"/>
    </row>
    <row r="1211" spans="5:5" ht="15.75" customHeight="1">
      <c r="E1211" s="440"/>
    </row>
    <row r="1212" spans="5:5" ht="15.75" customHeight="1">
      <c r="E1212" s="440"/>
    </row>
    <row r="1213" spans="5:5" ht="15.75" customHeight="1">
      <c r="E1213" s="440"/>
    </row>
    <row r="1214" spans="5:5" ht="15.75" customHeight="1">
      <c r="E1214" s="440"/>
    </row>
    <row r="1215" spans="5:5" ht="15.75" customHeight="1">
      <c r="E1215" s="440"/>
    </row>
    <row r="1216" spans="5:5" ht="15.75" customHeight="1">
      <c r="E1216" s="440"/>
    </row>
    <row r="1217" spans="5:5" ht="15.75" customHeight="1">
      <c r="E1217" s="440"/>
    </row>
    <row r="1218" spans="5:5" ht="15.75" customHeight="1">
      <c r="E1218" s="440"/>
    </row>
    <row r="1219" spans="5:5" ht="15.75" customHeight="1">
      <c r="E1219" s="440"/>
    </row>
    <row r="1220" spans="5:5" ht="15.75" customHeight="1">
      <c r="E1220" s="440"/>
    </row>
    <row r="1221" spans="5:5" ht="15.75" customHeight="1">
      <c r="E1221" s="440"/>
    </row>
    <row r="1222" spans="5:5" ht="15.75" customHeight="1">
      <c r="E1222" s="440"/>
    </row>
    <row r="1223" spans="5:5" ht="15.75" customHeight="1">
      <c r="E1223" s="440"/>
    </row>
    <row r="1224" spans="5:5" ht="15.75" customHeight="1">
      <c r="E1224" s="440"/>
    </row>
    <row r="1225" spans="5:5" ht="15.75" customHeight="1">
      <c r="E1225" s="440"/>
    </row>
    <row r="1226" spans="5:5" ht="15.75" customHeight="1">
      <c r="E1226" s="440"/>
    </row>
    <row r="1227" spans="5:5" ht="15.75" customHeight="1">
      <c r="E1227" s="440"/>
    </row>
    <row r="1228" spans="5:5" ht="15.75" customHeight="1">
      <c r="E1228" s="440"/>
    </row>
    <row r="1229" spans="5:5" ht="15.75" customHeight="1">
      <c r="E1229" s="440"/>
    </row>
    <row r="1230" spans="5:5" ht="15.75" customHeight="1">
      <c r="E1230" s="440"/>
    </row>
    <row r="1231" spans="5:5" ht="15.75" customHeight="1">
      <c r="E1231" s="440"/>
    </row>
    <row r="1232" spans="5:5" ht="15.75" customHeight="1">
      <c r="E1232" s="440"/>
    </row>
    <row r="1233" spans="5:5" ht="15.75" customHeight="1">
      <c r="E1233" s="440"/>
    </row>
    <row r="1234" spans="5:5" ht="15.75" customHeight="1">
      <c r="E1234" s="440"/>
    </row>
    <row r="1235" spans="5:5" ht="15.75" customHeight="1">
      <c r="E1235" s="440"/>
    </row>
    <row r="1236" spans="5:5" ht="15.75" customHeight="1">
      <c r="E1236" s="440"/>
    </row>
    <row r="1237" spans="5:5" ht="15.75" customHeight="1">
      <c r="E1237" s="440"/>
    </row>
    <row r="1238" spans="5:5" ht="15.75" customHeight="1">
      <c r="E1238" s="440"/>
    </row>
    <row r="1239" spans="5:5" ht="15.75" customHeight="1">
      <c r="E1239" s="440"/>
    </row>
    <row r="1240" spans="5:5" ht="15.75" customHeight="1">
      <c r="E1240" s="440"/>
    </row>
    <row r="1241" spans="5:5" ht="15.75" customHeight="1">
      <c r="E1241" s="440"/>
    </row>
    <row r="1242" spans="5:5" ht="15.75" customHeight="1">
      <c r="E1242" s="440"/>
    </row>
    <row r="1243" spans="5:5" ht="15.75" customHeight="1">
      <c r="E1243" s="440"/>
    </row>
    <row r="1244" spans="5:5" ht="15.75" customHeight="1">
      <c r="E1244" s="440"/>
    </row>
    <row r="1245" spans="5:5" ht="15.75" customHeight="1">
      <c r="E1245" s="440"/>
    </row>
    <row r="1246" spans="5:5" ht="15.75" customHeight="1">
      <c r="E1246" s="440"/>
    </row>
    <row r="1247" spans="5:5" ht="15.75" customHeight="1">
      <c r="E1247" s="440"/>
    </row>
    <row r="1248" spans="5:5" ht="15.75" customHeight="1">
      <c r="E1248" s="440"/>
    </row>
    <row r="1249" spans="5:5" ht="15.75" customHeight="1">
      <c r="E1249" s="440"/>
    </row>
    <row r="1250" spans="5:5" ht="15.75" customHeight="1">
      <c r="E1250" s="440"/>
    </row>
    <row r="1251" spans="5:5" ht="15.75" customHeight="1">
      <c r="E1251" s="440"/>
    </row>
    <row r="1252" spans="5:5" ht="15.75" customHeight="1">
      <c r="E1252" s="440"/>
    </row>
    <row r="1253" spans="5:5" ht="15.75" customHeight="1">
      <c r="E1253" s="440"/>
    </row>
    <row r="1254" spans="5:5" ht="15.75" customHeight="1">
      <c r="E1254" s="440"/>
    </row>
    <row r="1255" spans="5:5" ht="15.75" customHeight="1">
      <c r="E1255" s="440"/>
    </row>
    <row r="1256" spans="5:5" ht="15.75" customHeight="1">
      <c r="E1256" s="440"/>
    </row>
    <row r="1257" spans="5:5" ht="15.75" customHeight="1">
      <c r="E1257" s="440"/>
    </row>
    <row r="1258" spans="5:5" ht="15.75" customHeight="1">
      <c r="E1258" s="440"/>
    </row>
    <row r="1259" spans="5:5" ht="15.75" customHeight="1">
      <c r="E1259" s="440"/>
    </row>
    <row r="1260" spans="5:5" ht="15.75" customHeight="1">
      <c r="E1260" s="440"/>
    </row>
    <row r="1261" spans="5:5" ht="15.75" customHeight="1">
      <c r="E1261" s="440"/>
    </row>
    <row r="1262" spans="5:5" ht="15.75" customHeight="1">
      <c r="E1262" s="440"/>
    </row>
    <row r="1263" spans="5:5" ht="15.75" customHeight="1">
      <c r="E1263" s="440"/>
    </row>
    <row r="1264" spans="5:5" ht="15.75" customHeight="1">
      <c r="E1264" s="440"/>
    </row>
    <row r="1265" spans="5:5" ht="15.75" customHeight="1">
      <c r="E1265" s="440"/>
    </row>
    <row r="1266" spans="5:5" ht="15.75" customHeight="1">
      <c r="E1266" s="440"/>
    </row>
    <row r="1267" spans="5:5" ht="15.75" customHeight="1">
      <c r="E1267" s="440"/>
    </row>
    <row r="1268" spans="5:5" ht="15.75" customHeight="1">
      <c r="E1268" s="440"/>
    </row>
    <row r="1269" spans="5:5" ht="15.75" customHeight="1">
      <c r="E1269" s="440"/>
    </row>
    <row r="1270" spans="5:5" ht="15.75" customHeight="1">
      <c r="E1270" s="440"/>
    </row>
    <row r="1271" spans="5:5" ht="15.75" customHeight="1">
      <c r="E1271" s="440"/>
    </row>
    <row r="1272" spans="5:5" ht="15.75" customHeight="1">
      <c r="E1272" s="440"/>
    </row>
    <row r="1273" spans="5:5" ht="15.75" customHeight="1">
      <c r="E1273" s="440"/>
    </row>
    <row r="1274" spans="5:5" ht="15.75" customHeight="1">
      <c r="E1274" s="440"/>
    </row>
    <row r="1275" spans="5:5" ht="15.75" customHeight="1">
      <c r="E1275" s="440"/>
    </row>
    <row r="1276" spans="5:5" ht="15.75" customHeight="1">
      <c r="E1276" s="440"/>
    </row>
    <row r="1277" spans="5:5" ht="15.75" customHeight="1">
      <c r="E1277" s="440"/>
    </row>
    <row r="1278" spans="5:5" ht="15.75" customHeight="1">
      <c r="E1278" s="440"/>
    </row>
    <row r="1279" spans="5:5" ht="15.75" customHeight="1">
      <c r="E1279" s="440"/>
    </row>
    <row r="1280" spans="5:5" ht="15.75" customHeight="1">
      <c r="E1280" s="440"/>
    </row>
    <row r="1281" spans="5:5" ht="15.75" customHeight="1">
      <c r="E1281" s="440"/>
    </row>
    <row r="1282" spans="5:5" ht="15.75" customHeight="1">
      <c r="E1282" s="440"/>
    </row>
    <row r="1283" spans="5:5" ht="15.75" customHeight="1">
      <c r="E1283" s="440"/>
    </row>
    <row r="1284" spans="5:5" ht="15.75" customHeight="1">
      <c r="E1284" s="440"/>
    </row>
    <row r="1285" spans="5:5" ht="15.75" customHeight="1">
      <c r="E1285" s="440"/>
    </row>
    <row r="1286" spans="5:5" ht="15.75" customHeight="1">
      <c r="E1286" s="440"/>
    </row>
    <row r="1287" spans="5:5" ht="15.75" customHeight="1">
      <c r="E1287" s="440"/>
    </row>
    <row r="1288" spans="5:5" ht="15.75" customHeight="1">
      <c r="E1288" s="440"/>
    </row>
    <row r="1289" spans="5:5" ht="15.75" customHeight="1">
      <c r="E1289" s="440"/>
    </row>
    <row r="1290" spans="5:5" ht="15.75" customHeight="1">
      <c r="E1290" s="440"/>
    </row>
    <row r="1291" spans="5:5" ht="15.75" customHeight="1">
      <c r="E1291" s="440"/>
    </row>
    <row r="1292" spans="5:5" ht="15.75" customHeight="1">
      <c r="E1292" s="440"/>
    </row>
    <row r="1293" spans="5:5" ht="15.75" customHeight="1">
      <c r="E1293" s="440"/>
    </row>
    <row r="1294" spans="5:5" ht="15.75" customHeight="1">
      <c r="E1294" s="440"/>
    </row>
    <row r="1295" spans="5:5" ht="15.75" customHeight="1">
      <c r="E1295" s="440"/>
    </row>
    <row r="1296" spans="5:5" ht="15.75" customHeight="1">
      <c r="E1296" s="440"/>
    </row>
    <row r="1297" spans="5:5" ht="15.75" customHeight="1">
      <c r="E1297" s="440"/>
    </row>
    <row r="1298" spans="5:5" ht="15.75" customHeight="1">
      <c r="E1298" s="440"/>
    </row>
    <row r="1299" spans="5:5" ht="15.75" customHeight="1">
      <c r="E1299" s="440"/>
    </row>
    <row r="1300" spans="5:5" ht="15.75" customHeight="1">
      <c r="E1300" s="440"/>
    </row>
  </sheetData>
  <autoFilter ref="A5:XFC1119" xr:uid="{AB8FAAE2-8203-4769-8390-8FD80FEB0CB4}">
    <filterColumn colId="4">
      <filters>
        <filter val="Open"/>
      </filters>
    </filterColumn>
  </autoFilter>
  <sortState xmlns:xlrd2="http://schemas.microsoft.com/office/spreadsheetml/2017/richdata2" ref="A917:XFC964">
    <sortCondition ref="B917:B964"/>
    <sortCondition ref="G917:G964"/>
  </sortState>
  <dataValidations count="4">
    <dataValidation type="list" allowBlank="1" showInputMessage="1" showErrorMessage="1" sqref="E1052 E1056:E1057 E1061:E1065 E1068:E1076" xr:uid="{1EF07E74-2B48-4D09-A0FE-DAE46CAFCE0A}">
      <formula1>#REF!</formula1>
    </dataValidation>
    <dataValidation type="list" allowBlank="1" showInputMessage="1" showErrorMessage="1" sqref="E1077" xr:uid="{CEA52506-120D-458D-8BA7-DCBBC266A35D}">
      <formula1>"open, complete"</formula1>
    </dataValidation>
    <dataValidation type="list" allowBlank="1" showInputMessage="1" showErrorMessage="1" sqref="E1078:E1079" xr:uid="{D9196724-0EA0-4DF8-AD7B-BC93FD3CF3CD}">
      <formula1>$Z$1078:$Z$1080</formula1>
    </dataValidation>
    <dataValidation allowBlank="1" showInputMessage="1" showErrorMessage="1" sqref="E1080:E1300 E1066:E1067" xr:uid="{7E73B00D-720C-4F94-8410-D056F68BC021}"/>
  </dataValidations>
  <hyperlinks>
    <hyperlink ref="C54" r:id="rId1" xr:uid="{6B683E1D-2493-4227-82B9-A676E68122B3}"/>
    <hyperlink ref="C55" r:id="rId2" display="ssue #1028 - EQUIPMENT IN SER" xr:uid="{8295A0AD-FDA9-41BB-BD69-2067D4112AE4}"/>
    <hyperlink ref="C66" r:id="rId3" xr:uid="{32D4C8EE-1AFE-43BC-A685-FD2B265BB5D1}"/>
    <hyperlink ref="C64" r:id="rId4" xr:uid="{FDC5368C-D39F-47B1-BB72-3C90A208397A}"/>
    <hyperlink ref="C63" r:id="rId5" xr:uid="{6815B8FC-CF23-47E4-BA85-0898B898B331}"/>
    <hyperlink ref="C62" r:id="rId6" xr:uid="{EA602322-2C35-4DAC-80FC-FA743C74407A}"/>
    <hyperlink ref="C2" r:id="rId7" display="FOLLOW PAGE GUIDELINES!!!" xr:uid="{FE03D0FB-D710-4AA3-BB6D-7F58D2E6B021}"/>
    <hyperlink ref="C4" r:id="rId8" xr:uid="{670B26BD-7A9C-46FA-A21A-5B9F82318798}"/>
    <hyperlink ref="C392" r:id="rId9" xr:uid="{1F352BCE-AC35-4066-8E8E-745A369036E5}"/>
    <hyperlink ref="C431" r:id="rId10" xr:uid="{2CF8D2FA-5E34-44F6-ABC0-CD7C10D77B8A}"/>
    <hyperlink ref="C439" r:id="rId11" xr:uid="{9F3674B8-1DA1-4B51-8E4D-F5B625148BAD}"/>
    <hyperlink ref="C471" r:id="rId12" xr:uid="{9FB46732-0C83-45EE-ACF9-B123A7808540}"/>
    <hyperlink ref="C492" r:id="rId13" xr:uid="{6F864E72-9829-4CD8-9906-D6AA72878DF8}"/>
    <hyperlink ref="C507" r:id="rId14" xr:uid="{63A87B38-4B54-4DD9-A636-7EB82489B0A4}"/>
    <hyperlink ref="C618" r:id="rId15" xr:uid="{26D39DA8-BAC1-4A22-923D-D5F0C59713D6}"/>
    <hyperlink ref="C719" r:id="rId16" xr:uid="{F9DB6404-36D7-425B-BA6A-14FB1A6AE84B}"/>
    <hyperlink ref="C744" r:id="rId17" xr:uid="{CBC5607A-44C7-46A3-AE17-0ED7862E15FD}"/>
    <hyperlink ref="G823" r:id="rId18" xr:uid="{0D9345CC-3B5F-4E05-8DAB-3C841FCCAE9A}"/>
    <hyperlink ref="G832" r:id="rId19" xr:uid="{EF7C1185-EA19-4350-8896-D56B8941C83C}"/>
    <hyperlink ref="C819" r:id="rId20" display=" FTY02_27 50 19-3 Revision 3 Cell DAS Design" xr:uid="{C1040D04-3E94-45C6-91F8-292308AEB3A5}"/>
    <hyperlink ref="C820" r:id="rId21" display="FTY02_27 50 19-8 Revision 1 FTY02 DAS Benchmark Study - RF Benchmark" xr:uid="{C025F57D-F2F9-48B1-AA95-C0E0ADF268E8}"/>
    <hyperlink ref="C852" r:id="rId22" display=" FTY02_27 08 20-5 Revision 1 Admin &amp; Colo 1 - Test Reports - Package 1" xr:uid="{29F4A779-5870-4325-9E0C-B25D7490C07C}"/>
    <hyperlink ref="C853" r:id="rId23" display=" FTY02_27 08 20-8 Revision 0 ADMIN &amp; COLO 1 - Test Reports Package 2" xr:uid="{D662EA72-A417-4331-ABC2-DBA20A31A652}"/>
    <hyperlink ref="C1096" r:id="rId24" xr:uid="{14DBACD0-8161-4650-8E63-C305C860D6C8}"/>
  </hyperlinks>
  <pageMargins left="0.7" right="0.7" top="0.75" bottom="0.75" header="0.3" footer="0.3"/>
  <pageSetup orientation="landscape" r:id="rId2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AED9C8-9971-4C97-B6A2-7759C9730602}">
  <dimension ref="A1:P9"/>
  <sheetViews>
    <sheetView workbookViewId="0">
      <selection activeCell="D10" sqref="D10"/>
    </sheetView>
  </sheetViews>
  <sheetFormatPr defaultRowHeight="14.45"/>
  <cols>
    <col min="1" max="2" width="11.85546875" customWidth="1"/>
    <col min="3" max="3" width="10.85546875" customWidth="1"/>
    <col min="4" max="8" width="12.140625" customWidth="1"/>
    <col min="9" max="9" width="41" customWidth="1"/>
    <col min="11" max="12" width="11.5703125" customWidth="1"/>
    <col min="13" max="13" width="13.28515625" customWidth="1"/>
    <col min="15" max="16" width="11.7109375" customWidth="1"/>
  </cols>
  <sheetData>
    <row r="1" spans="1:16" s="650" customFormat="1" ht="28.9">
      <c r="A1" s="755" t="s">
        <v>1354</v>
      </c>
      <c r="B1" s="756" t="s">
        <v>2965</v>
      </c>
      <c r="C1" s="757" t="s">
        <v>1358</v>
      </c>
      <c r="D1" s="648" t="s">
        <v>1355</v>
      </c>
      <c r="E1" s="648" t="s">
        <v>2966</v>
      </c>
      <c r="F1" s="648" t="s">
        <v>1041</v>
      </c>
      <c r="G1" s="648" t="s">
        <v>2967</v>
      </c>
      <c r="H1" s="648" t="s">
        <v>2968</v>
      </c>
      <c r="I1" s="649" t="s">
        <v>769</v>
      </c>
    </row>
    <row r="2" spans="1:16">
      <c r="A2" s="1"/>
      <c r="B2" s="1"/>
      <c r="D2" s="749" t="s">
        <v>320</v>
      </c>
      <c r="E2" s="750">
        <v>78748</v>
      </c>
      <c r="F2" s="750">
        <f t="shared" ref="F2:F5" si="0">H2+I2</f>
        <v>78748</v>
      </c>
      <c r="G2" s="751">
        <f t="shared" ref="G2:G6" si="1">IFERROR((K2/F2),0)</f>
        <v>0.99161883476405754</v>
      </c>
      <c r="H2" s="752">
        <v>73548</v>
      </c>
      <c r="I2" s="752">
        <v>5200</v>
      </c>
      <c r="J2" s="752">
        <v>0</v>
      </c>
      <c r="K2" s="752">
        <v>78088</v>
      </c>
      <c r="L2" s="753">
        <v>46158</v>
      </c>
      <c r="M2" s="752">
        <f t="shared" ref="M2:M6" si="2">F2-K2</f>
        <v>660</v>
      </c>
      <c r="N2" s="754"/>
      <c r="O2" s="752">
        <v>23381</v>
      </c>
      <c r="P2" s="752">
        <f t="shared" ref="P2:P9" si="3">K2-O2</f>
        <v>54707</v>
      </c>
    </row>
    <row r="3" spans="1:16">
      <c r="D3" t="s">
        <v>918</v>
      </c>
      <c r="E3" s="750">
        <v>140124</v>
      </c>
      <c r="F3" s="750">
        <f t="shared" si="0"/>
        <v>140124</v>
      </c>
      <c r="G3" s="751">
        <f t="shared" si="1"/>
        <v>0.99305615026690641</v>
      </c>
      <c r="H3" s="758">
        <v>140124</v>
      </c>
      <c r="I3" s="758">
        <v>0</v>
      </c>
      <c r="J3" s="758">
        <v>0</v>
      </c>
      <c r="K3" s="758">
        <v>139151</v>
      </c>
      <c r="L3" s="759">
        <v>46159</v>
      </c>
      <c r="M3" s="758">
        <f t="shared" si="2"/>
        <v>973</v>
      </c>
      <c r="N3" s="754" t="s">
        <v>2969</v>
      </c>
      <c r="O3" s="758">
        <v>127801</v>
      </c>
      <c r="P3" s="758">
        <f t="shared" si="3"/>
        <v>11350</v>
      </c>
    </row>
    <row r="4" spans="1:16">
      <c r="D4" s="749" t="s">
        <v>714</v>
      </c>
      <c r="E4" s="750">
        <v>97200</v>
      </c>
      <c r="F4" s="750">
        <f t="shared" si="0"/>
        <v>38546</v>
      </c>
      <c r="G4" s="751">
        <f t="shared" si="1"/>
        <v>1.0246977637108909</v>
      </c>
      <c r="H4" s="760">
        <v>38546</v>
      </c>
      <c r="I4" s="760">
        <v>0</v>
      </c>
      <c r="J4" s="752">
        <v>0</v>
      </c>
      <c r="K4" s="760">
        <v>39498</v>
      </c>
      <c r="L4" s="761">
        <v>45986</v>
      </c>
      <c r="M4" s="758">
        <f t="shared" si="2"/>
        <v>-952</v>
      </c>
      <c r="N4" s="754" t="s">
        <v>2970</v>
      </c>
      <c r="O4" s="758">
        <v>37001</v>
      </c>
      <c r="P4" s="758">
        <f t="shared" si="3"/>
        <v>2497</v>
      </c>
    </row>
    <row r="5" spans="1:16">
      <c r="D5" t="s">
        <v>1302</v>
      </c>
      <c r="E5" s="750">
        <f>45460+5842+45490</f>
        <v>96792</v>
      </c>
      <c r="F5" s="750">
        <f t="shared" si="0"/>
        <v>45460</v>
      </c>
      <c r="G5" s="751">
        <f t="shared" si="1"/>
        <v>0.92877254729432468</v>
      </c>
      <c r="H5" s="752">
        <v>40860</v>
      </c>
      <c r="I5" s="752">
        <v>4600</v>
      </c>
      <c r="J5" s="752">
        <v>0</v>
      </c>
      <c r="K5" s="762">
        <v>42222</v>
      </c>
      <c r="L5" s="759">
        <v>46167</v>
      </c>
      <c r="M5" s="758">
        <f t="shared" si="2"/>
        <v>3238</v>
      </c>
      <c r="N5" s="754"/>
      <c r="O5" s="758">
        <v>41314</v>
      </c>
      <c r="P5" s="758">
        <f t="shared" si="3"/>
        <v>908</v>
      </c>
    </row>
    <row r="6" spans="1:16">
      <c r="D6" s="763" t="s">
        <v>254</v>
      </c>
      <c r="E6" s="750">
        <v>67106</v>
      </c>
      <c r="F6" s="750">
        <f>H6+I6</f>
        <v>33553</v>
      </c>
      <c r="G6" s="751">
        <f t="shared" si="1"/>
        <v>0.89303490000894103</v>
      </c>
      <c r="H6" s="752">
        <v>33553</v>
      </c>
      <c r="I6" s="752">
        <v>0</v>
      </c>
      <c r="J6" s="752">
        <v>0</v>
      </c>
      <c r="K6" s="752">
        <v>29964</v>
      </c>
      <c r="L6" s="759">
        <v>46142</v>
      </c>
      <c r="M6" s="758">
        <f t="shared" si="2"/>
        <v>3589</v>
      </c>
      <c r="N6" s="764"/>
      <c r="O6" s="752">
        <v>7037</v>
      </c>
      <c r="P6" s="752">
        <f t="shared" si="3"/>
        <v>22927</v>
      </c>
    </row>
    <row r="7" spans="1:16">
      <c r="D7" s="763" t="s">
        <v>2971</v>
      </c>
      <c r="E7" s="750">
        <v>116306</v>
      </c>
      <c r="F7" s="750">
        <v>116306</v>
      </c>
      <c r="G7" s="751">
        <f>IFERROR((K7/F7),0)</f>
        <v>0.85382946709542074</v>
      </c>
      <c r="H7" s="752">
        <v>116306</v>
      </c>
      <c r="I7" s="752">
        <v>0</v>
      </c>
      <c r="J7" s="752">
        <f>1193.89+1636.6</f>
        <v>2830.49</v>
      </c>
      <c r="K7" s="752">
        <v>99305.49</v>
      </c>
      <c r="L7" s="759">
        <v>46155</v>
      </c>
      <c r="M7" s="758">
        <f>F7-K7</f>
        <v>17000.509999999995</v>
      </c>
      <c r="N7" s="764"/>
      <c r="O7" s="752">
        <v>45173</v>
      </c>
      <c r="P7" s="752">
        <f t="shared" si="3"/>
        <v>54132.490000000005</v>
      </c>
    </row>
    <row r="8" spans="1:16">
      <c r="D8" s="749" t="s">
        <v>289</v>
      </c>
      <c r="E8" s="750">
        <v>77045.5</v>
      </c>
      <c r="F8" s="750">
        <f t="shared" ref="F8:F9" si="4">H8+I8</f>
        <v>79645.5</v>
      </c>
      <c r="G8" s="751">
        <f t="shared" ref="G8:G9" si="5">IFERROR((K8/F8),0)</f>
        <v>0.88639031709261662</v>
      </c>
      <c r="H8" s="765">
        <f>38522.75+38522.75</f>
        <v>77045.5</v>
      </c>
      <c r="I8" s="758">
        <v>2600</v>
      </c>
      <c r="J8" s="758">
        <v>0</v>
      </c>
      <c r="K8" s="758">
        <v>70597</v>
      </c>
      <c r="L8" s="759">
        <v>46168</v>
      </c>
      <c r="M8" s="758">
        <f t="shared" ref="M8:M9" si="6">F8-K8</f>
        <v>9048.5</v>
      </c>
      <c r="N8" s="766"/>
      <c r="O8" s="758">
        <v>38590</v>
      </c>
      <c r="P8" s="758">
        <f t="shared" si="3"/>
        <v>32007</v>
      </c>
    </row>
    <row r="9" spans="1:16">
      <c r="D9" t="s">
        <v>334</v>
      </c>
      <c r="E9" s="750">
        <v>83536</v>
      </c>
      <c r="F9" s="750">
        <f t="shared" si="4"/>
        <v>41768</v>
      </c>
      <c r="G9" s="751">
        <f t="shared" si="5"/>
        <v>0.92391304347826086</v>
      </c>
      <c r="H9" s="752">
        <v>41768</v>
      </c>
      <c r="I9" s="752">
        <v>0</v>
      </c>
      <c r="J9" s="752">
        <v>0</v>
      </c>
      <c r="K9" s="752">
        <v>38590</v>
      </c>
      <c r="L9" s="753">
        <v>45763</v>
      </c>
      <c r="M9" s="752">
        <f t="shared" si="6"/>
        <v>3178</v>
      </c>
      <c r="N9" s="754"/>
      <c r="O9" s="758">
        <v>38590</v>
      </c>
      <c r="P9" s="758">
        <f t="shared" si="3"/>
        <v>0</v>
      </c>
    </row>
  </sheetData>
  <conditionalFormatting sqref="M2:M9">
    <cfRule type="cellIs" dxfId="3" priority="1" operator="lessThan">
      <formula>1000</formula>
    </cfRule>
  </conditionalFormatting>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EDA188-89F0-46E7-8482-8316557FA2D8}">
  <dimension ref="A1:N28"/>
  <sheetViews>
    <sheetView topLeftCell="A8" workbookViewId="0">
      <selection activeCell="A30" sqref="A30"/>
    </sheetView>
  </sheetViews>
  <sheetFormatPr defaultRowHeight="15" customHeight="1"/>
  <cols>
    <col min="1" max="1" width="16.28515625" customWidth="1"/>
    <col min="2" max="2" width="12.42578125" customWidth="1"/>
    <col min="3" max="3" width="48.5703125" customWidth="1"/>
    <col min="4" max="4" width="67.140625" style="101" customWidth="1"/>
    <col min="5" max="5" width="12.7109375" style="210" customWidth="1"/>
    <col min="6" max="6" width="24.42578125" style="214" customWidth="1"/>
    <col min="7" max="7" width="15.85546875" style="67" customWidth="1"/>
    <col min="8" max="8" width="16.7109375" customWidth="1"/>
    <col min="9" max="9" width="13.7109375" customWidth="1"/>
    <col min="10" max="10" width="23.28515625" bestFit="1" customWidth="1"/>
    <col min="11" max="11" width="27.140625" bestFit="1" customWidth="1"/>
    <col min="12" max="12" width="21" bestFit="1" customWidth="1"/>
    <col min="13" max="13" width="27.85546875" bestFit="1" customWidth="1"/>
  </cols>
  <sheetData>
    <row r="1" spans="1:14" ht="14.45">
      <c r="A1" s="9" t="s">
        <v>1355</v>
      </c>
      <c r="B1" s="9" t="s">
        <v>2972</v>
      </c>
      <c r="C1" s="9" t="s">
        <v>2973</v>
      </c>
      <c r="D1" s="103" t="s">
        <v>774</v>
      </c>
      <c r="E1" s="209" t="s">
        <v>2974</v>
      </c>
      <c r="F1" s="213" t="s">
        <v>2975</v>
      </c>
      <c r="G1" s="63" t="s">
        <v>2976</v>
      </c>
      <c r="H1" s="9" t="s">
        <v>2977</v>
      </c>
      <c r="I1" s="9" t="s">
        <v>2978</v>
      </c>
      <c r="J1" s="9" t="s">
        <v>2979</v>
      </c>
      <c r="K1" s="9" t="s">
        <v>2980</v>
      </c>
      <c r="L1" s="9" t="s">
        <v>2981</v>
      </c>
      <c r="M1" s="9" t="s">
        <v>2982</v>
      </c>
      <c r="N1" s="9"/>
    </row>
    <row r="2" spans="1:14" ht="28.9">
      <c r="A2" t="s">
        <v>2460</v>
      </c>
      <c r="C2" t="s">
        <v>2983</v>
      </c>
      <c r="D2" s="101" t="s">
        <v>2984</v>
      </c>
      <c r="G2" s="67" t="s">
        <v>2985</v>
      </c>
      <c r="H2" t="s">
        <v>2986</v>
      </c>
    </row>
    <row r="3" spans="1:14" ht="14.45">
      <c r="A3" t="s">
        <v>1391</v>
      </c>
      <c r="G3" s="67" t="s">
        <v>2987</v>
      </c>
      <c r="H3" t="s">
        <v>844</v>
      </c>
      <c r="M3" t="s">
        <v>2988</v>
      </c>
    </row>
    <row r="4" spans="1:14" ht="14.45">
      <c r="A4" t="s">
        <v>281</v>
      </c>
      <c r="D4" s="101" t="s">
        <v>2989</v>
      </c>
    </row>
    <row r="5" spans="1:14" ht="28.9">
      <c r="A5" t="s">
        <v>946</v>
      </c>
      <c r="D5" s="101" t="s">
        <v>2990</v>
      </c>
      <c r="G5" s="67" t="s">
        <v>2991</v>
      </c>
      <c r="H5" t="s">
        <v>844</v>
      </c>
    </row>
    <row r="6" spans="1:14" ht="14.45">
      <c r="A6" t="s">
        <v>1198</v>
      </c>
      <c r="D6" s="101" t="s">
        <v>2989</v>
      </c>
    </row>
    <row r="7" spans="1:14" ht="14.45">
      <c r="A7" t="s">
        <v>309</v>
      </c>
      <c r="D7" s="101" t="s">
        <v>2992</v>
      </c>
      <c r="G7" s="67" t="s">
        <v>2993</v>
      </c>
      <c r="H7" t="s">
        <v>2994</v>
      </c>
    </row>
    <row r="8" spans="1:14" ht="28.9">
      <c r="A8" t="s">
        <v>1314</v>
      </c>
      <c r="C8" s="4" t="s">
        <v>2995</v>
      </c>
      <c r="D8" s="101" t="s">
        <v>2996</v>
      </c>
    </row>
    <row r="9" spans="1:14" ht="28.9">
      <c r="A9" t="s">
        <v>330</v>
      </c>
      <c r="C9" s="4" t="s">
        <v>2997</v>
      </c>
      <c r="D9" s="101" t="s">
        <v>2998</v>
      </c>
      <c r="G9" s="67">
        <v>45807</v>
      </c>
      <c r="H9" t="s">
        <v>843</v>
      </c>
    </row>
    <row r="10" spans="1:14" ht="28.9">
      <c r="A10" t="s">
        <v>2999</v>
      </c>
      <c r="C10" s="4" t="s">
        <v>2997</v>
      </c>
      <c r="D10" s="101" t="s">
        <v>3000</v>
      </c>
      <c r="G10" s="67">
        <v>45888</v>
      </c>
      <c r="H10" t="s">
        <v>844</v>
      </c>
    </row>
    <row r="11" spans="1:14" ht="14.45">
      <c r="A11" t="s">
        <v>339</v>
      </c>
      <c r="C11" s="100" t="s">
        <v>3001</v>
      </c>
      <c r="D11" s="102" t="s">
        <v>3002</v>
      </c>
      <c r="E11" s="211"/>
      <c r="F11" s="215"/>
    </row>
    <row r="12" spans="1:14" ht="43.15">
      <c r="A12" t="s">
        <v>343</v>
      </c>
      <c r="C12" s="100" t="s">
        <v>3001</v>
      </c>
      <c r="D12" s="102" t="s">
        <v>3003</v>
      </c>
      <c r="E12" s="211"/>
      <c r="F12" s="215"/>
    </row>
    <row r="13" spans="1:14" ht="14.45">
      <c r="A13" t="s">
        <v>352</v>
      </c>
      <c r="C13" s="100" t="s">
        <v>3004</v>
      </c>
      <c r="D13" s="102" t="s">
        <v>3005</v>
      </c>
      <c r="E13" s="211"/>
      <c r="F13" s="215"/>
      <c r="G13" s="67" t="s">
        <v>268</v>
      </c>
    </row>
    <row r="14" spans="1:14" ht="14.45">
      <c r="A14" t="s">
        <v>714</v>
      </c>
      <c r="D14" t="s">
        <v>3006</v>
      </c>
      <c r="E14" s="212"/>
      <c r="F14" s="216"/>
      <c r="G14" s="67" t="s">
        <v>3007</v>
      </c>
      <c r="H14" t="s">
        <v>3008</v>
      </c>
    </row>
    <row r="15" spans="1:14" ht="14.45">
      <c r="A15" t="s">
        <v>724</v>
      </c>
      <c r="D15" t="s">
        <v>3006</v>
      </c>
      <c r="E15" s="212"/>
      <c r="F15" s="216"/>
    </row>
    <row r="16" spans="1:14" ht="14.45">
      <c r="A16" t="s">
        <v>363</v>
      </c>
      <c r="D16" t="s">
        <v>3009</v>
      </c>
      <c r="E16" s="212"/>
      <c r="F16" s="216"/>
    </row>
    <row r="17" spans="1:13" ht="14.45">
      <c r="A17" t="s">
        <v>364</v>
      </c>
      <c r="D17" t="s">
        <v>3009</v>
      </c>
      <c r="E17" s="212"/>
      <c r="F17" s="216"/>
      <c r="G17" s="67" t="s">
        <v>3010</v>
      </c>
      <c r="H17" t="s">
        <v>2986</v>
      </c>
      <c r="M17" t="s">
        <v>2988</v>
      </c>
    </row>
    <row r="18" spans="1:13" ht="14.45">
      <c r="A18" t="s">
        <v>1384</v>
      </c>
      <c r="D18" t="s">
        <v>3009</v>
      </c>
      <c r="E18" s="212"/>
      <c r="F18" s="216"/>
    </row>
    <row r="19" spans="1:13" ht="14.45">
      <c r="A19" t="s">
        <v>3011</v>
      </c>
      <c r="D19" t="s">
        <v>3012</v>
      </c>
      <c r="E19" s="212"/>
      <c r="F19" s="216"/>
    </row>
    <row r="20" spans="1:13" ht="14.45">
      <c r="A20" t="s">
        <v>74</v>
      </c>
      <c r="D20" s="101" t="s">
        <v>3013</v>
      </c>
    </row>
    <row r="21" spans="1:13" ht="14.45">
      <c r="A21" t="s">
        <v>3014</v>
      </c>
      <c r="D21" s="101" t="s">
        <v>3015</v>
      </c>
    </row>
    <row r="22" spans="1:13" ht="15" customHeight="1">
      <c r="A22" t="s">
        <v>320</v>
      </c>
      <c r="B22" s="1">
        <v>45945</v>
      </c>
      <c r="D22" s="101" t="s">
        <v>3016</v>
      </c>
    </row>
    <row r="23" spans="1:13" ht="15" customHeight="1">
      <c r="A23" t="s">
        <v>1314</v>
      </c>
      <c r="B23" s="262">
        <v>45967</v>
      </c>
      <c r="D23" s="101" t="s">
        <v>3017</v>
      </c>
      <c r="E23" s="210" t="s">
        <v>3018</v>
      </c>
    </row>
    <row r="24" spans="1:13" ht="15" customHeight="1">
      <c r="A24" t="s">
        <v>330</v>
      </c>
      <c r="B24" s="262">
        <v>45967</v>
      </c>
      <c r="D24" s="101" t="s">
        <v>3017</v>
      </c>
      <c r="E24" s="210" t="s">
        <v>3018</v>
      </c>
    </row>
    <row r="25" spans="1:13" ht="15" customHeight="1">
      <c r="A25" t="s">
        <v>796</v>
      </c>
      <c r="B25" s="262">
        <v>45967</v>
      </c>
      <c r="D25" s="263" t="s">
        <v>3019</v>
      </c>
    </row>
    <row r="26" spans="1:13" ht="15" customHeight="1">
      <c r="A26" t="s">
        <v>435</v>
      </c>
      <c r="B26" s="262">
        <v>45967</v>
      </c>
      <c r="D26" s="263" t="s">
        <v>3020</v>
      </c>
    </row>
    <row r="27" spans="1:13" ht="15" customHeight="1">
      <c r="A27" t="s">
        <v>3021</v>
      </c>
      <c r="D27" s="101" t="s">
        <v>3022</v>
      </c>
    </row>
    <row r="28" spans="1:13" ht="15" customHeight="1">
      <c r="A28" t="s">
        <v>74</v>
      </c>
      <c r="B28" t="s">
        <v>3023</v>
      </c>
      <c r="D28" s="101" t="s">
        <v>3024</v>
      </c>
    </row>
  </sheetData>
  <sortState xmlns:xlrd2="http://schemas.microsoft.com/office/spreadsheetml/2017/richdata2" ref="A4:G18">
    <sortCondition ref="A4:A18"/>
  </sortState>
  <hyperlinks>
    <hyperlink ref="C11" r:id="rId1" xr:uid="{78E26412-5404-4BB2-AE6C-062E07233749}"/>
    <hyperlink ref="C12" r:id="rId2" xr:uid="{6C415A46-6125-436A-A167-AA2FC3627F45}"/>
    <hyperlink ref="C13" r:id="rId3" xr:uid="{B129358B-A380-4EEA-AD18-56117C9D1432}"/>
  </hyperlinks>
  <pageMargins left="0.7" right="0.7" top="0.75" bottom="0.75" header="0.3" footer="0.3"/>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1C0CCA-C397-4B54-A905-C302D7B0758A}">
  <dimension ref="A1:P47"/>
  <sheetViews>
    <sheetView workbookViewId="0">
      <pane xSplit="1" topLeftCell="F1" activePane="topRight" state="frozen"/>
      <selection pane="topRight" activeCell="N41" sqref="M41:N41"/>
    </sheetView>
  </sheetViews>
  <sheetFormatPr defaultColWidth="9.140625" defaultRowHeight="15" customHeight="1"/>
  <cols>
    <col min="1" max="2" width="9.140625" style="542" customWidth="1"/>
    <col min="3" max="3" width="12.42578125" style="542" customWidth="1"/>
    <col min="4" max="4" width="31.7109375" style="542" customWidth="1"/>
    <col min="5" max="5" width="62.28515625" style="542" customWidth="1"/>
    <col min="6" max="6" width="15.85546875" style="542" customWidth="1"/>
    <col min="7" max="7" width="15.7109375" style="557" customWidth="1"/>
    <col min="8" max="8" width="13.7109375" style="542" customWidth="1"/>
    <col min="9" max="9" width="12.140625" style="542" customWidth="1"/>
    <col min="10" max="10" width="16.28515625" style="566" customWidth="1"/>
    <col min="11" max="11" width="12.7109375" style="566" customWidth="1"/>
    <col min="12" max="12" width="9.85546875" style="542" customWidth="1"/>
    <col min="13" max="13" width="11.5703125" style="675" customWidth="1"/>
    <col min="14" max="15" width="14.28515625" style="558" customWidth="1"/>
    <col min="16" max="16" width="82.7109375" style="542" customWidth="1"/>
    <col min="17" max="17" width="9.140625" style="542"/>
    <col min="18" max="18" width="13.42578125" style="542" customWidth="1"/>
    <col min="19" max="16384" width="9.140625" style="542"/>
  </cols>
  <sheetData>
    <row r="1" spans="1:16" ht="15.6">
      <c r="A1" s="537" t="s">
        <v>1174</v>
      </c>
      <c r="B1" s="538">
        <f>25000+25000+25000</f>
        <v>75000</v>
      </c>
      <c r="C1" s="538"/>
      <c r="D1" s="537" t="s">
        <v>3025</v>
      </c>
      <c r="E1" s="539">
        <f>SUM(G4:G95)</f>
        <v>48250</v>
      </c>
      <c r="F1" s="539"/>
      <c r="G1" s="540" t="s">
        <v>3026</v>
      </c>
      <c r="H1" s="541">
        <f>B1-E1</f>
        <v>26750</v>
      </c>
      <c r="J1" s="564" t="s">
        <v>3027</v>
      </c>
      <c r="K1" s="532">
        <f>SUM(J4:J68)</f>
        <v>48400</v>
      </c>
    </row>
    <row r="3" spans="1:16" ht="31.15">
      <c r="A3" s="543" t="s">
        <v>1355</v>
      </c>
      <c r="B3" s="859" t="s">
        <v>3028</v>
      </c>
      <c r="C3" s="859"/>
      <c r="D3" s="859"/>
      <c r="E3" s="859"/>
      <c r="F3" s="637"/>
      <c r="G3" s="544" t="s">
        <v>3029</v>
      </c>
      <c r="H3" s="545" t="s">
        <v>3030</v>
      </c>
      <c r="I3" s="545" t="s">
        <v>1038</v>
      </c>
      <c r="J3" s="565" t="s">
        <v>3031</v>
      </c>
      <c r="K3" s="565" t="s">
        <v>2967</v>
      </c>
      <c r="L3" s="545" t="s">
        <v>3032</v>
      </c>
      <c r="M3" s="676" t="s">
        <v>3033</v>
      </c>
      <c r="N3" s="559" t="s">
        <v>3034</v>
      </c>
      <c r="O3" s="559" t="s">
        <v>3035</v>
      </c>
      <c r="P3" s="562" t="s">
        <v>774</v>
      </c>
    </row>
    <row r="4" spans="1:16" ht="15" customHeight="1">
      <c r="A4" s="546" t="s">
        <v>3036</v>
      </c>
      <c r="B4" s="858" t="s">
        <v>993</v>
      </c>
      <c r="C4" s="858"/>
      <c r="D4" s="858"/>
      <c r="E4" s="858"/>
      <c r="F4" s="638"/>
      <c r="G4" s="547">
        <v>400</v>
      </c>
      <c r="H4" s="548" t="s">
        <v>2988</v>
      </c>
      <c r="I4" s="548" t="s">
        <v>2988</v>
      </c>
      <c r="J4" s="532">
        <v>400</v>
      </c>
      <c r="K4" s="532">
        <f>G4-J4</f>
        <v>0</v>
      </c>
      <c r="L4" s="532" t="s">
        <v>2988</v>
      </c>
      <c r="M4" s="677">
        <v>45809</v>
      </c>
      <c r="N4" s="560">
        <v>176399</v>
      </c>
      <c r="O4" s="560"/>
      <c r="P4" s="549"/>
    </row>
    <row r="5" spans="1:16" ht="15" customHeight="1">
      <c r="A5" s="546" t="s">
        <v>3037</v>
      </c>
      <c r="B5" s="858" t="s">
        <v>3038</v>
      </c>
      <c r="C5" s="858"/>
      <c r="D5" s="858"/>
      <c r="E5" s="858"/>
      <c r="F5" s="638"/>
      <c r="G5" s="547">
        <v>900</v>
      </c>
      <c r="H5" s="548" t="s">
        <v>2988</v>
      </c>
      <c r="I5" s="548" t="s">
        <v>2988</v>
      </c>
      <c r="J5" s="532">
        <v>900</v>
      </c>
      <c r="K5" s="532">
        <f t="shared" ref="K5:K9" si="0">G5-J5</f>
        <v>0</v>
      </c>
      <c r="L5" s="532" t="s">
        <v>2988</v>
      </c>
      <c r="M5" s="677">
        <v>45839</v>
      </c>
      <c r="N5" s="560">
        <v>178716</v>
      </c>
      <c r="O5" s="560"/>
      <c r="P5" s="549"/>
    </row>
    <row r="6" spans="1:16" ht="15" customHeight="1">
      <c r="A6" s="546" t="s">
        <v>3039</v>
      </c>
      <c r="B6" s="858" t="s">
        <v>3040</v>
      </c>
      <c r="C6" s="858"/>
      <c r="D6" s="858"/>
      <c r="E6" s="858"/>
      <c r="F6" s="638"/>
      <c r="G6" s="547">
        <v>650</v>
      </c>
      <c r="H6" s="548" t="s">
        <v>2988</v>
      </c>
      <c r="I6" s="548" t="s">
        <v>2988</v>
      </c>
      <c r="J6" s="532">
        <v>650</v>
      </c>
      <c r="K6" s="532">
        <f t="shared" si="0"/>
        <v>0</v>
      </c>
      <c r="L6" s="532" t="s">
        <v>2988</v>
      </c>
      <c r="M6" s="677">
        <v>45839</v>
      </c>
      <c r="N6" s="560">
        <v>180730</v>
      </c>
      <c r="O6" s="560"/>
      <c r="P6" s="549"/>
    </row>
    <row r="7" spans="1:16" ht="15" customHeight="1">
      <c r="A7" s="546" t="s">
        <v>3041</v>
      </c>
      <c r="B7" s="858" t="s">
        <v>3042</v>
      </c>
      <c r="C7" s="858"/>
      <c r="D7" s="858"/>
      <c r="E7" s="858"/>
      <c r="F7" s="638"/>
      <c r="G7" s="547">
        <v>650</v>
      </c>
      <c r="H7" s="548" t="s">
        <v>2988</v>
      </c>
      <c r="I7" s="548" t="s">
        <v>2988</v>
      </c>
      <c r="J7" s="532">
        <v>650</v>
      </c>
      <c r="K7" s="532">
        <f t="shared" si="0"/>
        <v>0</v>
      </c>
      <c r="L7" s="532" t="s">
        <v>2988</v>
      </c>
      <c r="M7" s="677">
        <v>45839</v>
      </c>
      <c r="N7" s="560">
        <v>180730</v>
      </c>
      <c r="O7" s="560"/>
      <c r="P7" s="549" t="s">
        <v>963</v>
      </c>
    </row>
    <row r="8" spans="1:16" ht="15" customHeight="1">
      <c r="A8" s="546" t="s">
        <v>951</v>
      </c>
      <c r="B8" s="860" t="s">
        <v>3043</v>
      </c>
      <c r="C8" s="860"/>
      <c r="D8" s="860"/>
      <c r="E8" s="860"/>
      <c r="F8" s="639"/>
      <c r="G8" s="547">
        <v>350</v>
      </c>
      <c r="H8" s="548" t="s">
        <v>2988</v>
      </c>
      <c r="I8" s="548" t="s">
        <v>2988</v>
      </c>
      <c r="J8" s="532">
        <v>350</v>
      </c>
      <c r="K8" s="532">
        <f t="shared" si="0"/>
        <v>0</v>
      </c>
      <c r="L8" s="532" t="s">
        <v>2988</v>
      </c>
      <c r="M8" s="677">
        <v>45839</v>
      </c>
      <c r="N8" s="560">
        <v>181437</v>
      </c>
      <c r="O8" s="560"/>
      <c r="P8" s="549"/>
    </row>
    <row r="9" spans="1:16" ht="15" customHeight="1">
      <c r="A9" s="546" t="s">
        <v>1198</v>
      </c>
      <c r="B9" s="860" t="s">
        <v>3043</v>
      </c>
      <c r="C9" s="860"/>
      <c r="D9" s="860"/>
      <c r="E9" s="860"/>
      <c r="F9" s="639"/>
      <c r="G9" s="547">
        <v>350</v>
      </c>
      <c r="H9" s="548" t="s">
        <v>2988</v>
      </c>
      <c r="I9" s="548" t="s">
        <v>2988</v>
      </c>
      <c r="J9" s="532">
        <v>350</v>
      </c>
      <c r="K9" s="532">
        <f t="shared" si="0"/>
        <v>0</v>
      </c>
      <c r="L9" s="532" t="s">
        <v>2988</v>
      </c>
      <c r="M9" s="677">
        <v>45839</v>
      </c>
      <c r="N9" s="560">
        <v>181437</v>
      </c>
      <c r="O9" s="560"/>
      <c r="P9" s="549"/>
    </row>
    <row r="10" spans="1:16" ht="15" customHeight="1">
      <c r="A10" s="546" t="s">
        <v>3044</v>
      </c>
      <c r="B10" s="858" t="s">
        <v>3045</v>
      </c>
      <c r="C10" s="858"/>
      <c r="D10" s="858"/>
      <c r="E10" s="858"/>
      <c r="F10" s="638"/>
      <c r="G10" s="547">
        <v>650</v>
      </c>
      <c r="H10" s="548" t="s">
        <v>2988</v>
      </c>
      <c r="I10" s="548" t="s">
        <v>2988</v>
      </c>
      <c r="J10" s="532">
        <v>650</v>
      </c>
      <c r="K10" s="532">
        <f t="shared" ref="K10:K18" si="1">G10-J10</f>
        <v>0</v>
      </c>
      <c r="L10" s="532" t="s">
        <v>2988</v>
      </c>
      <c r="M10" s="677">
        <v>45809</v>
      </c>
      <c r="N10" s="560">
        <v>176399</v>
      </c>
      <c r="O10" s="560"/>
      <c r="P10" s="549"/>
    </row>
    <row r="11" spans="1:16" ht="15" customHeight="1">
      <c r="A11" s="546" t="s">
        <v>3046</v>
      </c>
      <c r="B11" s="858" t="s">
        <v>3047</v>
      </c>
      <c r="C11" s="858"/>
      <c r="D11" s="858"/>
      <c r="E11" s="858"/>
      <c r="F11" s="638"/>
      <c r="G11" s="547">
        <v>650</v>
      </c>
      <c r="H11" s="548" t="s">
        <v>2988</v>
      </c>
      <c r="I11" s="548" t="s">
        <v>2988</v>
      </c>
      <c r="J11" s="532">
        <v>650</v>
      </c>
      <c r="K11" s="532">
        <f t="shared" si="1"/>
        <v>0</v>
      </c>
      <c r="L11" s="532" t="s">
        <v>2988</v>
      </c>
      <c r="M11" s="677">
        <v>45901</v>
      </c>
      <c r="N11" s="560">
        <v>187434</v>
      </c>
      <c r="O11" s="560"/>
      <c r="P11" s="549" t="s">
        <v>3048</v>
      </c>
    </row>
    <row r="12" spans="1:16" ht="15" customHeight="1">
      <c r="A12" s="546" t="s">
        <v>1087</v>
      </c>
      <c r="B12" s="858" t="s">
        <v>3049</v>
      </c>
      <c r="C12" s="858"/>
      <c r="D12" s="858"/>
      <c r="E12" s="858"/>
      <c r="F12" s="638"/>
      <c r="G12" s="547">
        <v>350</v>
      </c>
      <c r="H12" s="548" t="s">
        <v>2988</v>
      </c>
      <c r="I12" s="548" t="s">
        <v>2988</v>
      </c>
      <c r="J12" s="532">
        <v>350</v>
      </c>
      <c r="K12" s="532">
        <f t="shared" si="1"/>
        <v>0</v>
      </c>
      <c r="L12" s="532" t="s">
        <v>2988</v>
      </c>
      <c r="M12" s="677">
        <v>45839</v>
      </c>
      <c r="N12" s="560">
        <v>180730</v>
      </c>
      <c r="O12" s="560"/>
      <c r="P12" s="549"/>
    </row>
    <row r="13" spans="1:16" ht="15" customHeight="1">
      <c r="A13" s="546" t="s">
        <v>521</v>
      </c>
      <c r="B13" s="858" t="s">
        <v>3050</v>
      </c>
      <c r="C13" s="858"/>
      <c r="D13" s="858"/>
      <c r="E13" s="858"/>
      <c r="F13" s="638"/>
      <c r="G13" s="547">
        <v>2100</v>
      </c>
      <c r="H13" s="548" t="s">
        <v>2988</v>
      </c>
      <c r="I13" s="548" t="s">
        <v>2988</v>
      </c>
      <c r="J13" s="532">
        <v>2100</v>
      </c>
      <c r="K13" s="532">
        <f t="shared" si="1"/>
        <v>0</v>
      </c>
      <c r="L13" s="532" t="s">
        <v>2988</v>
      </c>
      <c r="M13" s="677">
        <v>45839</v>
      </c>
      <c r="N13" s="560">
        <v>184126</v>
      </c>
      <c r="O13" s="560"/>
      <c r="P13" s="549" t="s">
        <v>3051</v>
      </c>
    </row>
    <row r="14" spans="1:16" s="531" customFormat="1" ht="15" customHeight="1">
      <c r="A14" s="546" t="s">
        <v>359</v>
      </c>
      <c r="B14" s="858" t="s">
        <v>3052</v>
      </c>
      <c r="C14" s="858"/>
      <c r="D14" s="858"/>
      <c r="E14" s="858"/>
      <c r="F14" s="638"/>
      <c r="G14" s="550">
        <v>375</v>
      </c>
      <c r="H14" s="529" t="s">
        <v>2988</v>
      </c>
      <c r="I14" s="529" t="s">
        <v>2988</v>
      </c>
      <c r="J14" s="530">
        <v>375</v>
      </c>
      <c r="K14" s="530">
        <f t="shared" si="1"/>
        <v>0</v>
      </c>
      <c r="L14" s="530" t="s">
        <v>2988</v>
      </c>
      <c r="M14" s="677">
        <v>45870</v>
      </c>
      <c r="N14" s="560">
        <v>184126</v>
      </c>
      <c r="O14" s="560"/>
      <c r="P14" s="549"/>
    </row>
    <row r="15" spans="1:16" s="531" customFormat="1" ht="15" customHeight="1">
      <c r="A15" s="546" t="s">
        <v>179</v>
      </c>
      <c r="B15" s="858" t="s">
        <v>3053</v>
      </c>
      <c r="C15" s="858"/>
      <c r="D15" s="858"/>
      <c r="E15" s="858"/>
      <c r="F15" s="638"/>
      <c r="G15" s="550">
        <v>375</v>
      </c>
      <c r="H15" s="529" t="s">
        <v>2988</v>
      </c>
      <c r="I15" s="529" t="s">
        <v>2988</v>
      </c>
      <c r="J15" s="530">
        <v>375</v>
      </c>
      <c r="K15" s="530">
        <f t="shared" si="1"/>
        <v>0</v>
      </c>
      <c r="L15" s="530" t="s">
        <v>2988</v>
      </c>
      <c r="M15" s="677">
        <v>45839</v>
      </c>
      <c r="N15" s="560">
        <v>184126</v>
      </c>
      <c r="O15" s="560"/>
      <c r="P15" s="549" t="s">
        <v>3054</v>
      </c>
    </row>
    <row r="16" spans="1:16" ht="15" customHeight="1">
      <c r="A16" s="546" t="s">
        <v>614</v>
      </c>
      <c r="B16" s="858" t="s">
        <v>3055</v>
      </c>
      <c r="C16" s="858"/>
      <c r="D16" s="858"/>
      <c r="E16" s="858"/>
      <c r="F16" s="638"/>
      <c r="G16" s="547">
        <v>1500</v>
      </c>
      <c r="H16" s="529" t="s">
        <v>2988</v>
      </c>
      <c r="I16" s="548" t="s">
        <v>2988</v>
      </c>
      <c r="J16" s="532">
        <v>1500</v>
      </c>
      <c r="K16" s="532">
        <f t="shared" si="1"/>
        <v>0</v>
      </c>
      <c r="L16" s="532" t="s">
        <v>2988</v>
      </c>
      <c r="M16" s="677">
        <v>45839</v>
      </c>
      <c r="N16" s="560">
        <v>187432</v>
      </c>
      <c r="O16" s="560"/>
      <c r="P16" s="549" t="s">
        <v>3056</v>
      </c>
    </row>
    <row r="17" spans="1:16" ht="15" customHeight="1">
      <c r="A17" s="546" t="s">
        <v>343</v>
      </c>
      <c r="B17" s="858" t="s">
        <v>3057</v>
      </c>
      <c r="C17" s="858"/>
      <c r="D17" s="858"/>
      <c r="E17" s="858"/>
      <c r="F17" s="638"/>
      <c r="G17" s="547">
        <v>375</v>
      </c>
      <c r="H17" s="529" t="s">
        <v>2988</v>
      </c>
      <c r="I17" s="548" t="s">
        <v>2988</v>
      </c>
      <c r="J17" s="532">
        <v>375</v>
      </c>
      <c r="K17" s="532">
        <f t="shared" si="1"/>
        <v>0</v>
      </c>
      <c r="L17" s="532" t="s">
        <v>2988</v>
      </c>
      <c r="M17" s="677">
        <v>45809</v>
      </c>
      <c r="N17" s="560">
        <v>184126</v>
      </c>
      <c r="O17" s="560"/>
      <c r="P17" s="549"/>
    </row>
    <row r="18" spans="1:16" ht="15" customHeight="1">
      <c r="A18" s="546" t="s">
        <v>3058</v>
      </c>
      <c r="B18" s="858" t="s">
        <v>3059</v>
      </c>
      <c r="C18" s="858"/>
      <c r="D18" s="858"/>
      <c r="E18" s="858"/>
      <c r="F18" s="638"/>
      <c r="G18" s="547">
        <v>2000</v>
      </c>
      <c r="H18" s="529" t="s">
        <v>2988</v>
      </c>
      <c r="I18" s="548" t="s">
        <v>2988</v>
      </c>
      <c r="J18" s="532">
        <v>2000</v>
      </c>
      <c r="K18" s="532">
        <f t="shared" si="1"/>
        <v>0</v>
      </c>
      <c r="L18" s="532" t="s">
        <v>2988</v>
      </c>
      <c r="M18" s="677">
        <v>45870</v>
      </c>
      <c r="N18" s="560">
        <v>187433</v>
      </c>
      <c r="O18" s="560"/>
      <c r="P18" s="549" t="s">
        <v>3060</v>
      </c>
    </row>
    <row r="19" spans="1:16" ht="15" customHeight="1">
      <c r="A19" s="546" t="s">
        <v>343</v>
      </c>
      <c r="B19" s="858" t="s">
        <v>3061</v>
      </c>
      <c r="C19" s="858"/>
      <c r="D19" s="858"/>
      <c r="E19" s="858"/>
      <c r="F19" s="638"/>
      <c r="G19" s="547">
        <v>700</v>
      </c>
      <c r="H19" s="529" t="s">
        <v>2988</v>
      </c>
      <c r="I19" s="548" t="s">
        <v>2988</v>
      </c>
      <c r="J19" s="532">
        <v>700</v>
      </c>
      <c r="K19" s="532">
        <f t="shared" ref="K19:K25" si="2">G19-J19</f>
        <v>0</v>
      </c>
      <c r="L19" s="532" t="s">
        <v>2988</v>
      </c>
      <c r="M19" s="677">
        <v>45870</v>
      </c>
      <c r="N19" s="560">
        <v>212237</v>
      </c>
      <c r="O19" s="560"/>
      <c r="P19" s="563" t="s">
        <v>3062</v>
      </c>
    </row>
    <row r="20" spans="1:16" ht="15" customHeight="1">
      <c r="A20" s="546" t="s">
        <v>359</v>
      </c>
      <c r="B20" s="858" t="s">
        <v>3063</v>
      </c>
      <c r="C20" s="858"/>
      <c r="D20" s="858"/>
      <c r="E20" s="858"/>
      <c r="F20" s="638"/>
      <c r="G20" s="547">
        <v>0</v>
      </c>
      <c r="H20" s="529" t="s">
        <v>2988</v>
      </c>
      <c r="I20" s="548" t="s">
        <v>3064</v>
      </c>
      <c r="J20" s="532">
        <v>0</v>
      </c>
      <c r="K20" s="532">
        <v>0</v>
      </c>
      <c r="L20" s="532" t="s">
        <v>2988</v>
      </c>
      <c r="M20" s="678" t="s">
        <v>3065</v>
      </c>
      <c r="N20" s="348" t="s">
        <v>3065</v>
      </c>
      <c r="O20" s="348"/>
      <c r="P20" s="563" t="s">
        <v>3066</v>
      </c>
    </row>
    <row r="21" spans="1:16" ht="15" customHeight="1">
      <c r="A21" s="546" t="s">
        <v>178</v>
      </c>
      <c r="B21" s="858" t="s">
        <v>3067</v>
      </c>
      <c r="C21" s="858"/>
      <c r="D21" s="858"/>
      <c r="E21" s="858"/>
      <c r="F21" s="638"/>
      <c r="G21" s="547">
        <v>2600</v>
      </c>
      <c r="H21" s="529" t="s">
        <v>2988</v>
      </c>
      <c r="I21" s="548" t="s">
        <v>2988</v>
      </c>
      <c r="J21" s="532">
        <v>2600</v>
      </c>
      <c r="K21" s="532">
        <v>0</v>
      </c>
      <c r="L21" s="532" t="s">
        <v>2988</v>
      </c>
      <c r="M21" s="677">
        <v>45901</v>
      </c>
      <c r="N21" s="560"/>
      <c r="O21" s="560"/>
      <c r="P21" s="549" t="s">
        <v>3068</v>
      </c>
    </row>
    <row r="22" spans="1:16" ht="15" customHeight="1">
      <c r="A22" s="546" t="s">
        <v>435</v>
      </c>
      <c r="B22" s="858" t="s">
        <v>3069</v>
      </c>
      <c r="C22" s="858"/>
      <c r="D22" s="858"/>
      <c r="E22" s="858"/>
      <c r="F22" s="638"/>
      <c r="G22" s="547">
        <v>500</v>
      </c>
      <c r="H22" s="529" t="s">
        <v>672</v>
      </c>
      <c r="I22" s="548" t="s">
        <v>2988</v>
      </c>
      <c r="J22" s="532">
        <v>650</v>
      </c>
      <c r="K22" s="532">
        <f t="shared" si="2"/>
        <v>-150</v>
      </c>
      <c r="L22" s="532" t="s">
        <v>2988</v>
      </c>
      <c r="M22" s="677">
        <v>45931</v>
      </c>
      <c r="N22" s="560">
        <v>201632</v>
      </c>
      <c r="O22" s="560"/>
      <c r="P22" s="549" t="s">
        <v>3070</v>
      </c>
    </row>
    <row r="23" spans="1:16" ht="15" customHeight="1">
      <c r="A23" s="546" t="s">
        <v>521</v>
      </c>
      <c r="B23" s="858" t="s">
        <v>3071</v>
      </c>
      <c r="C23" s="858"/>
      <c r="D23" s="858"/>
      <c r="E23" s="858"/>
      <c r="F23" s="638"/>
      <c r="G23" s="547">
        <v>650</v>
      </c>
      <c r="H23" s="529" t="s">
        <v>2988</v>
      </c>
      <c r="I23" s="548" t="s">
        <v>2988</v>
      </c>
      <c r="J23" s="532">
        <v>650</v>
      </c>
      <c r="K23" s="532">
        <f t="shared" si="2"/>
        <v>0</v>
      </c>
      <c r="L23" s="532" t="s">
        <v>2988</v>
      </c>
      <c r="M23" s="677">
        <v>45931</v>
      </c>
      <c r="N23" s="560">
        <v>203713</v>
      </c>
      <c r="O23" s="560"/>
      <c r="P23" s="549" t="s">
        <v>3072</v>
      </c>
    </row>
    <row r="24" spans="1:16" ht="15" customHeight="1">
      <c r="A24" s="546" t="s">
        <v>521</v>
      </c>
      <c r="B24" s="858" t="s">
        <v>3073</v>
      </c>
      <c r="C24" s="858"/>
      <c r="D24" s="858"/>
      <c r="E24" s="858"/>
      <c r="F24" s="638"/>
      <c r="G24" s="547">
        <v>1300</v>
      </c>
      <c r="H24" s="529" t="s">
        <v>2988</v>
      </c>
      <c r="I24" s="548" t="s">
        <v>2988</v>
      </c>
      <c r="J24" s="532">
        <v>1300</v>
      </c>
      <c r="K24" s="532">
        <f t="shared" si="2"/>
        <v>0</v>
      </c>
      <c r="L24" s="532" t="s">
        <v>2988</v>
      </c>
      <c r="M24" s="677">
        <v>45931</v>
      </c>
      <c r="N24" s="560">
        <v>201629</v>
      </c>
      <c r="O24" s="560"/>
      <c r="P24" s="549"/>
    </row>
    <row r="25" spans="1:16" s="531" customFormat="1" ht="15" customHeight="1">
      <c r="A25" s="546" t="s">
        <v>2645</v>
      </c>
      <c r="B25" s="858" t="s">
        <v>3074</v>
      </c>
      <c r="C25" s="858"/>
      <c r="D25" s="858"/>
      <c r="E25" s="858"/>
      <c r="F25" s="638"/>
      <c r="G25" s="550">
        <v>2800</v>
      </c>
      <c r="H25" s="529" t="s">
        <v>2988</v>
      </c>
      <c r="I25" s="529" t="s">
        <v>2988</v>
      </c>
      <c r="J25" s="530">
        <v>2800</v>
      </c>
      <c r="K25" s="532">
        <f t="shared" si="2"/>
        <v>0</v>
      </c>
      <c r="L25" s="530" t="s">
        <v>2988</v>
      </c>
      <c r="M25" s="677">
        <v>45962</v>
      </c>
      <c r="N25" s="561">
        <v>212233</v>
      </c>
      <c r="O25" s="561"/>
      <c r="P25" s="549"/>
    </row>
    <row r="26" spans="1:16" ht="15" customHeight="1">
      <c r="A26" s="546" t="s">
        <v>269</v>
      </c>
      <c r="B26" s="861" t="s">
        <v>3075</v>
      </c>
      <c r="C26" s="861"/>
      <c r="D26" s="861"/>
      <c r="E26" s="861"/>
      <c r="F26" s="640"/>
      <c r="G26" s="550">
        <v>1300</v>
      </c>
      <c r="H26" s="529" t="s">
        <v>2988</v>
      </c>
      <c r="I26" s="529" t="s">
        <v>2988</v>
      </c>
      <c r="J26" s="687">
        <v>1300</v>
      </c>
      <c r="K26" s="530">
        <v>0</v>
      </c>
      <c r="L26" s="530" t="s">
        <v>2988</v>
      </c>
      <c r="M26" s="677">
        <v>45992</v>
      </c>
      <c r="N26" s="561">
        <v>228337</v>
      </c>
      <c r="O26" s="561"/>
      <c r="P26" s="549" t="s">
        <v>3076</v>
      </c>
    </row>
    <row r="27" spans="1:16" ht="15" customHeight="1">
      <c r="A27" s="552" t="s">
        <v>276</v>
      </c>
      <c r="B27" s="861" t="s">
        <v>3075</v>
      </c>
      <c r="C27" s="861"/>
      <c r="D27" s="861"/>
      <c r="E27" s="861"/>
      <c r="F27" s="641"/>
      <c r="G27" s="553">
        <v>1300</v>
      </c>
      <c r="H27" s="529" t="s">
        <v>2988</v>
      </c>
      <c r="I27" s="529" t="s">
        <v>2988</v>
      </c>
      <c r="J27" s="687">
        <v>1300</v>
      </c>
      <c r="K27" s="530">
        <v>0</v>
      </c>
      <c r="L27" s="530" t="s">
        <v>2988</v>
      </c>
      <c r="M27" s="677">
        <v>45992</v>
      </c>
      <c r="N27" s="568">
        <v>228340</v>
      </c>
      <c r="O27" s="568"/>
      <c r="P27" s="569" t="s">
        <v>3076</v>
      </c>
    </row>
    <row r="28" spans="1:16" ht="15" customHeight="1">
      <c r="A28" s="546" t="s">
        <v>269</v>
      </c>
      <c r="B28" s="861" t="s">
        <v>3077</v>
      </c>
      <c r="C28" s="861"/>
      <c r="D28" s="861"/>
      <c r="E28" s="861"/>
      <c r="F28" s="640"/>
      <c r="G28" s="550">
        <v>3150</v>
      </c>
      <c r="H28" s="529" t="s">
        <v>2988</v>
      </c>
      <c r="I28" s="529" t="s">
        <v>2988</v>
      </c>
      <c r="J28" s="685">
        <v>3150</v>
      </c>
      <c r="K28" s="530">
        <v>0</v>
      </c>
      <c r="L28" s="530" t="s">
        <v>2988</v>
      </c>
      <c r="M28" s="679">
        <v>46023</v>
      </c>
      <c r="N28" s="561">
        <v>232308</v>
      </c>
      <c r="O28" s="561"/>
      <c r="P28" s="549" t="s">
        <v>3076</v>
      </c>
    </row>
    <row r="29" spans="1:16" ht="15" customHeight="1">
      <c r="A29" s="552" t="s">
        <v>276</v>
      </c>
      <c r="B29" s="861" t="s">
        <v>3077</v>
      </c>
      <c r="C29" s="861"/>
      <c r="D29" s="861"/>
      <c r="E29" s="861"/>
      <c r="F29" s="641"/>
      <c r="G29" s="553">
        <v>3150</v>
      </c>
      <c r="H29" s="529" t="s">
        <v>2988</v>
      </c>
      <c r="I29" s="529" t="s">
        <v>2988</v>
      </c>
      <c r="J29" s="686">
        <v>3150</v>
      </c>
      <c r="K29" s="530">
        <v>0</v>
      </c>
      <c r="L29" s="530" t="s">
        <v>2988</v>
      </c>
      <c r="M29" s="679">
        <v>46023</v>
      </c>
      <c r="N29" s="561">
        <v>232309</v>
      </c>
      <c r="O29" s="561"/>
      <c r="P29" s="549" t="s">
        <v>3076</v>
      </c>
    </row>
    <row r="30" spans="1:16" ht="15" customHeight="1">
      <c r="A30" s="551" t="s">
        <v>137</v>
      </c>
      <c r="B30" s="861" t="s">
        <v>3075</v>
      </c>
      <c r="C30" s="861"/>
      <c r="D30" s="861"/>
      <c r="E30" s="861"/>
      <c r="F30" s="551"/>
      <c r="G30" s="769">
        <v>1300</v>
      </c>
      <c r="H30" s="528" t="s">
        <v>2988</v>
      </c>
      <c r="I30" s="529" t="s">
        <v>2988</v>
      </c>
      <c r="J30" s="687">
        <v>1300</v>
      </c>
      <c r="K30" s="530">
        <v>1300</v>
      </c>
      <c r="L30" s="530" t="s">
        <v>2988</v>
      </c>
      <c r="M30" s="679">
        <v>45992</v>
      </c>
      <c r="N30" s="561">
        <v>228331</v>
      </c>
      <c r="O30" s="561">
        <v>2733</v>
      </c>
      <c r="P30" s="567" t="s">
        <v>3078</v>
      </c>
    </row>
    <row r="31" spans="1:16" ht="15" customHeight="1">
      <c r="A31" s="548" t="s">
        <v>137</v>
      </c>
      <c r="B31" s="861" t="s">
        <v>3077</v>
      </c>
      <c r="C31" s="861"/>
      <c r="D31" s="861"/>
      <c r="E31" s="861"/>
      <c r="F31" s="551"/>
      <c r="G31" s="768">
        <v>1500</v>
      </c>
      <c r="H31" s="528" t="s">
        <v>2988</v>
      </c>
      <c r="I31" s="529" t="s">
        <v>2988</v>
      </c>
      <c r="J31" s="683">
        <v>1500</v>
      </c>
      <c r="K31" s="530">
        <v>1500</v>
      </c>
      <c r="L31" s="530" t="s">
        <v>2988</v>
      </c>
      <c r="M31" s="679">
        <v>45992</v>
      </c>
      <c r="N31" s="561">
        <v>228332</v>
      </c>
      <c r="O31" s="561">
        <v>2733</v>
      </c>
      <c r="P31" s="567" t="s">
        <v>3078</v>
      </c>
    </row>
    <row r="32" spans="1:16" ht="15" customHeight="1">
      <c r="A32" s="548" t="s">
        <v>149</v>
      </c>
      <c r="B32" s="861" t="s">
        <v>3075</v>
      </c>
      <c r="C32" s="861"/>
      <c r="D32" s="861"/>
      <c r="E32" s="861"/>
      <c r="F32" s="551"/>
      <c r="G32" s="767">
        <v>1300</v>
      </c>
      <c r="H32" s="528" t="s">
        <v>2988</v>
      </c>
      <c r="I32" s="529" t="s">
        <v>2988</v>
      </c>
      <c r="J32" s="687">
        <v>1300</v>
      </c>
      <c r="K32" s="530">
        <v>1300</v>
      </c>
      <c r="L32" s="530" t="s">
        <v>2988</v>
      </c>
      <c r="M32" s="679">
        <v>45992</v>
      </c>
      <c r="N32" s="560">
        <v>228334</v>
      </c>
      <c r="O32" s="560">
        <v>2734</v>
      </c>
      <c r="P32" s="567" t="s">
        <v>3078</v>
      </c>
    </row>
    <row r="33" spans="1:16" ht="15" customHeight="1">
      <c r="A33" s="548" t="s">
        <v>3079</v>
      </c>
      <c r="B33" s="861" t="s">
        <v>3077</v>
      </c>
      <c r="C33" s="861"/>
      <c r="D33" s="861"/>
      <c r="E33" s="861"/>
      <c r="F33" s="551"/>
      <c r="G33" s="768">
        <v>1500</v>
      </c>
      <c r="H33" s="528" t="s">
        <v>2988</v>
      </c>
      <c r="I33" s="529" t="s">
        <v>2988</v>
      </c>
      <c r="J33" s="683">
        <v>1500</v>
      </c>
      <c r="K33" s="532">
        <v>1500</v>
      </c>
      <c r="L33" s="530" t="s">
        <v>2988</v>
      </c>
      <c r="M33" s="681">
        <v>46082</v>
      </c>
      <c r="N33" s="561">
        <v>236332</v>
      </c>
      <c r="O33" s="561">
        <v>2830</v>
      </c>
      <c r="P33" s="567" t="s">
        <v>3078</v>
      </c>
    </row>
    <row r="34" spans="1:16" ht="15" customHeight="1">
      <c r="A34" s="548" t="s">
        <v>161</v>
      </c>
      <c r="B34" s="861" t="s">
        <v>3075</v>
      </c>
      <c r="C34" s="861"/>
      <c r="D34" s="861"/>
      <c r="E34" s="861"/>
      <c r="F34" s="551"/>
      <c r="G34" s="767">
        <v>1300</v>
      </c>
      <c r="H34" s="533" t="s">
        <v>2988</v>
      </c>
      <c r="I34" s="534" t="s">
        <v>2988</v>
      </c>
      <c r="J34" s="687">
        <v>1300</v>
      </c>
      <c r="K34" s="535">
        <v>1300</v>
      </c>
      <c r="L34" s="530" t="s">
        <v>2988</v>
      </c>
      <c r="M34" s="679">
        <v>45992</v>
      </c>
      <c r="N34" s="560">
        <v>228335</v>
      </c>
      <c r="O34" s="560">
        <v>2735</v>
      </c>
      <c r="P34" s="567" t="s">
        <v>3078</v>
      </c>
    </row>
    <row r="35" spans="1:16" ht="15" customHeight="1">
      <c r="A35" s="548" t="s">
        <v>161</v>
      </c>
      <c r="B35" s="861" t="s">
        <v>3077</v>
      </c>
      <c r="C35" s="861"/>
      <c r="D35" s="861"/>
      <c r="E35" s="861"/>
      <c r="F35" s="551"/>
      <c r="G35" s="768">
        <v>1500</v>
      </c>
      <c r="H35" s="528" t="s">
        <v>2988</v>
      </c>
      <c r="I35" s="529" t="s">
        <v>2988</v>
      </c>
      <c r="J35" s="683">
        <v>1500</v>
      </c>
      <c r="K35" s="535">
        <v>1500</v>
      </c>
      <c r="L35" s="530" t="s">
        <v>2988</v>
      </c>
      <c r="M35" s="679">
        <v>46079</v>
      </c>
      <c r="N35" s="560" t="s">
        <v>3080</v>
      </c>
      <c r="O35" s="560">
        <v>2784</v>
      </c>
      <c r="P35" s="567" t="s">
        <v>3078</v>
      </c>
    </row>
    <row r="36" spans="1:16" ht="15" customHeight="1">
      <c r="A36" s="555" t="s">
        <v>121</v>
      </c>
      <c r="B36" s="622" t="s">
        <v>3075</v>
      </c>
      <c r="C36" s="622"/>
      <c r="D36" s="548"/>
      <c r="E36" s="548"/>
      <c r="F36" s="548"/>
      <c r="G36" s="554">
        <v>1000</v>
      </c>
      <c r="H36" s="623" t="s">
        <v>2988</v>
      </c>
      <c r="I36" s="548" t="s">
        <v>2988</v>
      </c>
      <c r="J36" s="683">
        <v>1000</v>
      </c>
      <c r="K36" s="532">
        <v>1000</v>
      </c>
      <c r="L36" s="548" t="s">
        <v>2988</v>
      </c>
      <c r="M36" s="682">
        <v>46107</v>
      </c>
      <c r="N36" s="560">
        <v>240955</v>
      </c>
      <c r="O36" s="560">
        <v>2845</v>
      </c>
      <c r="P36" s="556"/>
    </row>
    <row r="37" spans="1:16" ht="15" customHeight="1">
      <c r="A37" s="548" t="s">
        <v>309</v>
      </c>
      <c r="B37" s="548" t="s">
        <v>3081</v>
      </c>
      <c r="C37" s="548"/>
      <c r="D37" s="548"/>
      <c r="E37" s="548"/>
      <c r="F37" s="548"/>
      <c r="G37" s="554">
        <v>700</v>
      </c>
      <c r="H37" s="644" t="s">
        <v>2988</v>
      </c>
      <c r="I37" s="548" t="s">
        <v>2988</v>
      </c>
      <c r="J37" s="683">
        <v>700</v>
      </c>
      <c r="K37" s="532">
        <v>700</v>
      </c>
      <c r="L37" s="548" t="s">
        <v>2988</v>
      </c>
      <c r="M37" s="677">
        <v>46138</v>
      </c>
      <c r="N37" s="560">
        <v>243440</v>
      </c>
      <c r="O37" s="560">
        <v>2871</v>
      </c>
      <c r="P37" s="548"/>
    </row>
    <row r="38" spans="1:16" ht="15" customHeight="1">
      <c r="A38" s="548" t="s">
        <v>700</v>
      </c>
      <c r="B38" s="548" t="s">
        <v>77</v>
      </c>
      <c r="C38" s="548"/>
      <c r="D38" s="548"/>
      <c r="E38" s="548"/>
      <c r="F38" s="548"/>
      <c r="G38" s="554">
        <v>700</v>
      </c>
      <c r="H38" s="644" t="s">
        <v>2988</v>
      </c>
      <c r="I38" s="548" t="s">
        <v>2988</v>
      </c>
      <c r="J38" s="683">
        <v>700</v>
      </c>
      <c r="K38" s="532">
        <v>700</v>
      </c>
      <c r="L38" s="548" t="s">
        <v>2988</v>
      </c>
      <c r="M38" s="677">
        <v>46138</v>
      </c>
      <c r="N38" s="560">
        <v>243444</v>
      </c>
      <c r="O38" s="560">
        <v>2899</v>
      </c>
      <c r="P38" s="548"/>
    </row>
    <row r="39" spans="1:16" ht="15" customHeight="1">
      <c r="A39" s="642" t="s">
        <v>320</v>
      </c>
      <c r="B39" s="642" t="s">
        <v>3082</v>
      </c>
      <c r="C39" s="642"/>
      <c r="D39" s="642"/>
      <c r="E39" s="642"/>
      <c r="F39" s="642"/>
      <c r="G39" s="643">
        <v>700</v>
      </c>
      <c r="H39" s="644" t="s">
        <v>2988</v>
      </c>
      <c r="I39" s="642" t="s">
        <v>2988</v>
      </c>
      <c r="J39" s="684">
        <v>700</v>
      </c>
      <c r="K39" s="625">
        <v>700</v>
      </c>
      <c r="L39" s="642" t="s">
        <v>2988</v>
      </c>
      <c r="M39" s="680">
        <v>46138</v>
      </c>
      <c r="N39" s="626">
        <v>243061</v>
      </c>
      <c r="O39" s="560">
        <v>2855</v>
      </c>
      <c r="P39" s="642"/>
    </row>
    <row r="40" spans="1:16" ht="15" customHeight="1">
      <c r="A40" s="642" t="s">
        <v>254</v>
      </c>
      <c r="B40" s="642" t="s">
        <v>3083</v>
      </c>
      <c r="C40" s="642"/>
      <c r="D40" s="642"/>
      <c r="E40" s="642"/>
      <c r="F40" s="642"/>
      <c r="G40" s="643">
        <v>700</v>
      </c>
      <c r="H40" s="644" t="s">
        <v>2988</v>
      </c>
      <c r="I40" s="642" t="s">
        <v>2988</v>
      </c>
      <c r="J40" s="684">
        <v>700</v>
      </c>
      <c r="K40" s="625">
        <v>700</v>
      </c>
      <c r="L40" s="642" t="s">
        <v>2988</v>
      </c>
      <c r="M40" s="680">
        <v>46107</v>
      </c>
      <c r="N40" s="626">
        <v>239646</v>
      </c>
      <c r="O40" s="626">
        <v>2839</v>
      </c>
      <c r="P40" s="642"/>
    </row>
    <row r="41" spans="1:16" s="548" customFormat="1" ht="15" customHeight="1">
      <c r="A41" s="548" t="s">
        <v>700</v>
      </c>
      <c r="B41" s="548" t="s">
        <v>3084</v>
      </c>
      <c r="G41" s="646">
        <v>1125</v>
      </c>
      <c r="H41" s="623" t="s">
        <v>2988</v>
      </c>
      <c r="I41" s="647" t="s">
        <v>2988</v>
      </c>
      <c r="J41" s="532">
        <v>1125</v>
      </c>
      <c r="K41" s="532">
        <v>1125</v>
      </c>
      <c r="L41" s="548" t="s">
        <v>2988</v>
      </c>
      <c r="M41" s="677">
        <v>46159</v>
      </c>
      <c r="N41" s="560">
        <v>247235</v>
      </c>
      <c r="O41" s="626">
        <v>2839</v>
      </c>
    </row>
    <row r="42" spans="1:16" ht="15" customHeight="1">
      <c r="A42" s="548" t="s">
        <v>521</v>
      </c>
      <c r="B42" s="548" t="s">
        <v>3075</v>
      </c>
      <c r="C42" s="548"/>
      <c r="D42" s="548"/>
      <c r="E42" s="548"/>
      <c r="F42" s="548"/>
      <c r="G42" s="646">
        <v>1300</v>
      </c>
      <c r="H42" s="623" t="s">
        <v>2988</v>
      </c>
      <c r="I42" s="647" t="s">
        <v>2988</v>
      </c>
      <c r="J42" s="683">
        <v>1300</v>
      </c>
      <c r="K42" s="532">
        <v>1300</v>
      </c>
      <c r="L42" s="548" t="s">
        <v>2988</v>
      </c>
      <c r="M42" s="677">
        <v>46113</v>
      </c>
      <c r="N42" s="560">
        <v>243982</v>
      </c>
      <c r="O42" s="560">
        <v>2864</v>
      </c>
      <c r="P42" s="548"/>
    </row>
    <row r="43" spans="1:16" ht="15" customHeight="1">
      <c r="A43" s="548" t="s">
        <v>3085</v>
      </c>
      <c r="B43" s="548" t="s">
        <v>3086</v>
      </c>
      <c r="C43" s="548"/>
      <c r="D43" s="548"/>
      <c r="E43" s="548"/>
      <c r="F43" s="548"/>
      <c r="G43" s="646">
        <v>700</v>
      </c>
      <c r="H43" s="623" t="s">
        <v>2988</v>
      </c>
      <c r="I43" s="647" t="s">
        <v>2988</v>
      </c>
      <c r="J43" s="683">
        <v>700</v>
      </c>
      <c r="K43" s="532">
        <v>700</v>
      </c>
      <c r="L43" s="548" t="s">
        <v>3064</v>
      </c>
      <c r="M43" s="677"/>
      <c r="N43" s="560">
        <v>241963</v>
      </c>
      <c r="O43" s="560"/>
      <c r="P43" s="548"/>
    </row>
    <row r="44" spans="1:16" ht="15" customHeight="1">
      <c r="A44" s="548" t="s">
        <v>3085</v>
      </c>
      <c r="B44" s="548" t="s">
        <v>3087</v>
      </c>
      <c r="C44" s="548"/>
      <c r="D44" s="548"/>
      <c r="E44" s="548"/>
      <c r="F44" s="548"/>
      <c r="G44" s="646">
        <v>625</v>
      </c>
      <c r="H44" s="623" t="s">
        <v>2988</v>
      </c>
      <c r="I44" s="647" t="s">
        <v>2988</v>
      </c>
      <c r="J44" s="683">
        <v>625</v>
      </c>
      <c r="K44" s="532">
        <v>625</v>
      </c>
      <c r="L44" s="548" t="s">
        <v>3064</v>
      </c>
      <c r="M44" s="677"/>
      <c r="N44" s="560">
        <v>247697</v>
      </c>
      <c r="O44" s="560"/>
      <c r="P44" s="548"/>
    </row>
    <row r="45" spans="1:16" ht="15" customHeight="1">
      <c r="A45" s="548" t="s">
        <v>3085</v>
      </c>
      <c r="B45" s="548" t="s">
        <v>3088</v>
      </c>
      <c r="C45" s="548"/>
      <c r="D45" s="548"/>
      <c r="E45" s="548"/>
      <c r="F45" s="548"/>
      <c r="G45" s="646">
        <v>1300</v>
      </c>
      <c r="H45" s="623" t="s">
        <v>3089</v>
      </c>
      <c r="I45" s="647" t="s">
        <v>2988</v>
      </c>
      <c r="J45" s="683">
        <v>1300</v>
      </c>
      <c r="K45" s="532">
        <v>1300</v>
      </c>
      <c r="L45" s="548" t="s">
        <v>3064</v>
      </c>
      <c r="M45" s="677"/>
      <c r="N45" s="560">
        <v>241963</v>
      </c>
      <c r="O45" s="560"/>
      <c r="P45" s="548"/>
    </row>
    <row r="46" spans="1:16" ht="15" customHeight="1">
      <c r="A46" s="548" t="s">
        <v>521</v>
      </c>
      <c r="B46" s="548" t="s">
        <v>3069</v>
      </c>
      <c r="C46" s="548"/>
      <c r="D46" s="548"/>
      <c r="E46" s="548"/>
      <c r="F46" s="548"/>
      <c r="G46" s="646">
        <v>1125</v>
      </c>
      <c r="H46" s="623" t="s">
        <v>3089</v>
      </c>
      <c r="I46" s="647" t="s">
        <v>2988</v>
      </c>
      <c r="J46" s="683">
        <v>1125</v>
      </c>
      <c r="K46" s="532">
        <v>1125</v>
      </c>
      <c r="L46" s="548" t="s">
        <v>2988</v>
      </c>
      <c r="M46" s="677">
        <v>46143</v>
      </c>
      <c r="N46" s="560">
        <v>245268</v>
      </c>
      <c r="O46" s="560">
        <v>2864</v>
      </c>
      <c r="P46" s="548"/>
    </row>
    <row r="47" spans="1:16" ht="15" customHeight="1">
      <c r="A47" s="548" t="s">
        <v>796</v>
      </c>
      <c r="B47" s="548" t="s">
        <v>3090</v>
      </c>
      <c r="C47" s="548"/>
      <c r="D47" s="548"/>
      <c r="E47" s="548"/>
      <c r="F47" s="548"/>
      <c r="G47" s="646">
        <v>750</v>
      </c>
      <c r="H47" s="623" t="s">
        <v>3089</v>
      </c>
      <c r="I47" s="647" t="s">
        <v>2988</v>
      </c>
      <c r="J47" s="683">
        <v>750</v>
      </c>
      <c r="K47" s="532">
        <v>750</v>
      </c>
      <c r="L47" s="548" t="s">
        <v>3064</v>
      </c>
      <c r="M47" s="677"/>
      <c r="N47" s="560">
        <v>248558</v>
      </c>
      <c r="O47" s="560"/>
      <c r="P47" s="548"/>
    </row>
  </sheetData>
  <autoFilter ref="A3:P18" xr:uid="{DF1C0CCA-C397-4B54-A905-C302D7B0758A}">
    <filterColumn colId="1" showButton="0"/>
    <filterColumn colId="2" hiddenButton="1" showButton="0"/>
    <filterColumn colId="3" showButton="0"/>
  </autoFilter>
  <mergeCells count="33">
    <mergeCell ref="B34:E34"/>
    <mergeCell ref="B33:E33"/>
    <mergeCell ref="B35:E35"/>
    <mergeCell ref="B28:E28"/>
    <mergeCell ref="B29:E29"/>
    <mergeCell ref="B26:E26"/>
    <mergeCell ref="B27:E27"/>
    <mergeCell ref="B30:E30"/>
    <mergeCell ref="B31:E31"/>
    <mergeCell ref="B32:E32"/>
    <mergeCell ref="B24:E24"/>
    <mergeCell ref="B25:E25"/>
    <mergeCell ref="B8:E8"/>
    <mergeCell ref="B9:E9"/>
    <mergeCell ref="B10:E10"/>
    <mergeCell ref="B13:E13"/>
    <mergeCell ref="B11:E11"/>
    <mergeCell ref="B12:E12"/>
    <mergeCell ref="B22:E22"/>
    <mergeCell ref="B23:E23"/>
    <mergeCell ref="B15:E15"/>
    <mergeCell ref="B16:E16"/>
    <mergeCell ref="B14:E14"/>
    <mergeCell ref="B21:E21"/>
    <mergeCell ref="B19:E19"/>
    <mergeCell ref="B20:E20"/>
    <mergeCell ref="B18:E18"/>
    <mergeCell ref="B17:E17"/>
    <mergeCell ref="B3:E3"/>
    <mergeCell ref="B4:E4"/>
    <mergeCell ref="B5:E5"/>
    <mergeCell ref="B6:E6"/>
    <mergeCell ref="B7:E7"/>
  </mergeCells>
  <pageMargins left="0.7" right="0.7" top="0.75" bottom="0.75" header="0.3" footer="0.3"/>
  <legacy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D7D06C-5ED9-4A8B-BA8E-E9A601EFAFAE}">
  <dimension ref="A1:O41"/>
  <sheetViews>
    <sheetView workbookViewId="0">
      <selection activeCell="C7" sqref="C7"/>
    </sheetView>
  </sheetViews>
  <sheetFormatPr defaultColWidth="9.140625" defaultRowHeight="14.45"/>
  <cols>
    <col min="1" max="1" width="13.85546875" style="8" customWidth="1"/>
    <col min="2" max="2" width="19" style="306" customWidth="1"/>
    <col min="3" max="3" width="62.140625" style="299" customWidth="1"/>
  </cols>
  <sheetData>
    <row r="1" spans="1:15" s="306" customFormat="1" ht="37.5" customHeight="1">
      <c r="A1" s="313" t="s">
        <v>3091</v>
      </c>
      <c r="B1" s="313" t="s">
        <v>3092</v>
      </c>
      <c r="C1" s="314" t="s">
        <v>3093</v>
      </c>
      <c r="D1" s="307" t="s">
        <v>3094</v>
      </c>
      <c r="E1" s="307" t="s">
        <v>3095</v>
      </c>
      <c r="F1" s="307" t="s">
        <v>3096</v>
      </c>
      <c r="G1" s="307" t="s">
        <v>3097</v>
      </c>
      <c r="H1" s="307" t="s">
        <v>3098</v>
      </c>
      <c r="I1" s="307" t="s">
        <v>3099</v>
      </c>
      <c r="J1" s="307" t="s">
        <v>3100</v>
      </c>
      <c r="K1" s="307" t="s">
        <v>3101</v>
      </c>
      <c r="L1" s="307" t="s">
        <v>3102</v>
      </c>
      <c r="M1" s="307" t="s">
        <v>3103</v>
      </c>
      <c r="N1" s="307" t="s">
        <v>3104</v>
      </c>
      <c r="O1" s="307" t="s">
        <v>3105</v>
      </c>
    </row>
    <row r="2" spans="1:15">
      <c r="A2" s="865" t="s">
        <v>3106</v>
      </c>
      <c r="B2" s="862" t="s">
        <v>838</v>
      </c>
      <c r="C2" s="345" t="s">
        <v>3107</v>
      </c>
      <c r="D2" s="308" t="s">
        <v>3108</v>
      </c>
      <c r="E2" s="308" t="s">
        <v>3108</v>
      </c>
      <c r="F2" s="308" t="s">
        <v>3108</v>
      </c>
      <c r="G2" s="308" t="s">
        <v>3108</v>
      </c>
      <c r="H2" s="308" t="s">
        <v>3108</v>
      </c>
      <c r="I2" s="308" t="s">
        <v>3108</v>
      </c>
      <c r="J2" s="308" t="s">
        <v>3108</v>
      </c>
      <c r="K2" s="308" t="s">
        <v>3108</v>
      </c>
      <c r="L2" s="308" t="s">
        <v>3108</v>
      </c>
      <c r="M2" s="308" t="s">
        <v>3108</v>
      </c>
      <c r="N2" s="308" t="s">
        <v>3108</v>
      </c>
      <c r="O2" s="309" t="s">
        <v>3108</v>
      </c>
    </row>
    <row r="3" spans="1:15">
      <c r="A3" s="866"/>
      <c r="B3" s="863"/>
      <c r="C3" s="318" t="s">
        <v>3109</v>
      </c>
      <c r="D3" s="322" t="s">
        <v>3108</v>
      </c>
      <c r="E3" s="305" t="s">
        <v>3108</v>
      </c>
      <c r="F3" s="305" t="s">
        <v>3108</v>
      </c>
      <c r="G3" s="305" t="s">
        <v>3108</v>
      </c>
      <c r="H3" s="305" t="s">
        <v>3108</v>
      </c>
      <c r="I3" s="305" t="s">
        <v>3108</v>
      </c>
      <c r="J3" s="305" t="s">
        <v>3108</v>
      </c>
      <c r="K3" s="305" t="s">
        <v>3108</v>
      </c>
      <c r="L3" s="305" t="s">
        <v>3108</v>
      </c>
      <c r="M3" s="305" t="s">
        <v>3108</v>
      </c>
      <c r="N3" s="305" t="s">
        <v>3108</v>
      </c>
      <c r="O3" s="310" t="s">
        <v>3108</v>
      </c>
    </row>
    <row r="4" spans="1:15">
      <c r="A4" s="866"/>
      <c r="B4" s="864" t="s">
        <v>839</v>
      </c>
      <c r="C4" s="343" t="s">
        <v>3107</v>
      </c>
      <c r="D4" s="322" t="s">
        <v>3108</v>
      </c>
      <c r="E4" s="305" t="s">
        <v>3108</v>
      </c>
      <c r="F4" s="305" t="s">
        <v>3108</v>
      </c>
      <c r="G4" s="305" t="s">
        <v>3108</v>
      </c>
      <c r="H4" s="305" t="s">
        <v>3108</v>
      </c>
      <c r="I4" s="305" t="s">
        <v>3108</v>
      </c>
      <c r="J4" s="305" t="s">
        <v>3108</v>
      </c>
      <c r="K4" s="305" t="s">
        <v>3108</v>
      </c>
      <c r="L4" s="305" t="s">
        <v>3108</v>
      </c>
      <c r="M4" s="305" t="s">
        <v>3108</v>
      </c>
      <c r="N4" s="305" t="s">
        <v>3108</v>
      </c>
      <c r="O4" s="310" t="s">
        <v>3108</v>
      </c>
    </row>
    <row r="5" spans="1:15">
      <c r="A5" s="866"/>
      <c r="B5" s="863"/>
      <c r="C5" s="318" t="s">
        <v>3110</v>
      </c>
      <c r="D5" s="322" t="s">
        <v>3108</v>
      </c>
      <c r="E5" s="305" t="s">
        <v>3108</v>
      </c>
      <c r="F5" s="305" t="s">
        <v>3108</v>
      </c>
      <c r="G5" s="305" t="s">
        <v>3108</v>
      </c>
      <c r="H5" s="305" t="s">
        <v>3108</v>
      </c>
      <c r="I5" s="305" t="s">
        <v>3108</v>
      </c>
      <c r="J5" s="305" t="s">
        <v>3108</v>
      </c>
      <c r="K5" s="305" t="s">
        <v>3108</v>
      </c>
      <c r="L5" s="305" t="s">
        <v>3108</v>
      </c>
      <c r="M5" s="305" t="s">
        <v>3108</v>
      </c>
      <c r="N5" s="305" t="s">
        <v>3108</v>
      </c>
      <c r="O5" s="310" t="s">
        <v>3108</v>
      </c>
    </row>
    <row r="6" spans="1:15">
      <c r="A6" s="866"/>
      <c r="B6" s="864" t="s">
        <v>840</v>
      </c>
      <c r="C6" s="343" t="s">
        <v>3107</v>
      </c>
      <c r="D6" s="322" t="s">
        <v>3108</v>
      </c>
      <c r="E6" s="305" t="s">
        <v>3108</v>
      </c>
      <c r="F6" s="305" t="s">
        <v>3108</v>
      </c>
      <c r="G6" s="305" t="s">
        <v>3108</v>
      </c>
      <c r="H6" s="305" t="s">
        <v>3108</v>
      </c>
      <c r="I6" s="305" t="s">
        <v>3108</v>
      </c>
      <c r="J6" s="305" t="s">
        <v>3108</v>
      </c>
      <c r="K6" s="305" t="s">
        <v>3108</v>
      </c>
      <c r="L6" s="305" t="s">
        <v>3108</v>
      </c>
      <c r="M6" s="305" t="s">
        <v>3108</v>
      </c>
      <c r="N6" s="305" t="s">
        <v>3108</v>
      </c>
      <c r="O6" s="310" t="s">
        <v>3108</v>
      </c>
    </row>
    <row r="7" spans="1:15">
      <c r="A7" s="866"/>
      <c r="B7" s="863"/>
      <c r="C7" s="318" t="s">
        <v>3111</v>
      </c>
      <c r="D7" s="322" t="s">
        <v>3108</v>
      </c>
      <c r="E7" s="305" t="s">
        <v>3108</v>
      </c>
      <c r="F7" s="305" t="s">
        <v>3108</v>
      </c>
      <c r="G7" s="305" t="s">
        <v>3108</v>
      </c>
      <c r="H7" s="305" t="s">
        <v>3108</v>
      </c>
      <c r="I7" s="305" t="s">
        <v>3108</v>
      </c>
      <c r="J7" s="305" t="s">
        <v>3108</v>
      </c>
      <c r="K7" s="305" t="s">
        <v>3108</v>
      </c>
      <c r="L7" s="305" t="s">
        <v>3108</v>
      </c>
      <c r="M7" s="305" t="s">
        <v>3108</v>
      </c>
      <c r="N7" s="305" t="s">
        <v>3108</v>
      </c>
      <c r="O7" s="310" t="s">
        <v>3108</v>
      </c>
    </row>
    <row r="8" spans="1:15">
      <c r="A8" s="866"/>
      <c r="B8" s="344" t="s">
        <v>841</v>
      </c>
      <c r="C8" s="343" t="s">
        <v>3107</v>
      </c>
      <c r="D8" s="322" t="s">
        <v>3108</v>
      </c>
      <c r="E8" s="305" t="s">
        <v>3108</v>
      </c>
      <c r="F8" s="305" t="s">
        <v>3108</v>
      </c>
      <c r="G8" s="305" t="s">
        <v>3108</v>
      </c>
      <c r="H8" s="305" t="s">
        <v>3108</v>
      </c>
      <c r="I8" s="305" t="s">
        <v>3108</v>
      </c>
      <c r="J8" s="305" t="s">
        <v>3108</v>
      </c>
      <c r="K8" s="305" t="s">
        <v>3108</v>
      </c>
      <c r="L8" s="305" t="s">
        <v>3108</v>
      </c>
      <c r="M8" s="305" t="s">
        <v>3108</v>
      </c>
      <c r="N8" s="305" t="s">
        <v>3108</v>
      </c>
      <c r="O8" s="310" t="s">
        <v>3108</v>
      </c>
    </row>
    <row r="9" spans="1:15">
      <c r="A9" s="866"/>
      <c r="B9" s="864" t="s">
        <v>842</v>
      </c>
      <c r="C9" s="343" t="s">
        <v>3107</v>
      </c>
      <c r="D9" s="322" t="s">
        <v>3108</v>
      </c>
      <c r="E9" s="305" t="s">
        <v>3108</v>
      </c>
      <c r="F9" s="305" t="s">
        <v>3108</v>
      </c>
      <c r="G9" s="305" t="s">
        <v>3108</v>
      </c>
      <c r="H9" s="305" t="s">
        <v>3108</v>
      </c>
      <c r="I9" s="305" t="s">
        <v>3108</v>
      </c>
      <c r="J9" s="305" t="s">
        <v>3108</v>
      </c>
      <c r="K9" s="305" t="s">
        <v>3108</v>
      </c>
      <c r="L9" s="305" t="s">
        <v>3108</v>
      </c>
      <c r="M9" s="305" t="s">
        <v>3108</v>
      </c>
      <c r="N9" s="305" t="s">
        <v>3108</v>
      </c>
      <c r="O9" s="310" t="s">
        <v>3108</v>
      </c>
    </row>
    <row r="10" spans="1:15">
      <c r="A10" s="866"/>
      <c r="B10" s="876"/>
      <c r="C10" s="346" t="s">
        <v>3112</v>
      </c>
      <c r="D10" s="316" t="s">
        <v>3108</v>
      </c>
      <c r="E10" s="316" t="s">
        <v>3108</v>
      </c>
      <c r="F10" s="316" t="s">
        <v>3108</v>
      </c>
      <c r="G10" s="316" t="s">
        <v>3108</v>
      </c>
      <c r="H10" s="316" t="s">
        <v>3108</v>
      </c>
      <c r="I10" s="316" t="s">
        <v>3108</v>
      </c>
      <c r="J10" s="316" t="s">
        <v>3108</v>
      </c>
      <c r="K10" s="316" t="s">
        <v>3108</v>
      </c>
      <c r="L10" s="316" t="s">
        <v>3108</v>
      </c>
      <c r="M10" s="316" t="s">
        <v>3108</v>
      </c>
      <c r="N10" s="316" t="s">
        <v>3108</v>
      </c>
      <c r="O10" s="317" t="s">
        <v>3108</v>
      </c>
    </row>
    <row r="11" spans="1:15">
      <c r="A11" s="867" t="s">
        <v>3113</v>
      </c>
      <c r="B11" s="337" t="s">
        <v>838</v>
      </c>
      <c r="C11" s="320" t="s">
        <v>3107</v>
      </c>
      <c r="D11" s="321" t="s">
        <v>3108</v>
      </c>
      <c r="E11" s="308" t="s">
        <v>3108</v>
      </c>
      <c r="F11" s="308" t="s">
        <v>3108</v>
      </c>
      <c r="G11" s="308" t="s">
        <v>3108</v>
      </c>
      <c r="H11" s="308" t="s">
        <v>3108</v>
      </c>
      <c r="I11" s="308" t="s">
        <v>3108</v>
      </c>
      <c r="J11" s="308" t="s">
        <v>3108</v>
      </c>
      <c r="K11" s="308" t="s">
        <v>3108</v>
      </c>
      <c r="L11" s="308" t="s">
        <v>3108</v>
      </c>
      <c r="M11" s="308" t="s">
        <v>3108</v>
      </c>
      <c r="N11" s="308" t="s">
        <v>3108</v>
      </c>
      <c r="O11" s="309" t="s">
        <v>3108</v>
      </c>
    </row>
    <row r="12" spans="1:15">
      <c r="A12" s="868"/>
      <c r="B12" s="877" t="s">
        <v>839</v>
      </c>
      <c r="C12" s="324" t="s">
        <v>3107</v>
      </c>
      <c r="D12" s="322" t="s">
        <v>3108</v>
      </c>
      <c r="E12" s="305" t="s">
        <v>3108</v>
      </c>
      <c r="F12" s="305" t="s">
        <v>3108</v>
      </c>
      <c r="G12" s="305" t="s">
        <v>3108</v>
      </c>
      <c r="H12" s="305" t="s">
        <v>3108</v>
      </c>
      <c r="I12" s="305" t="s">
        <v>3108</v>
      </c>
      <c r="J12" s="305" t="s">
        <v>3108</v>
      </c>
      <c r="K12" s="305" t="s">
        <v>3108</v>
      </c>
      <c r="L12" s="305" t="s">
        <v>3108</v>
      </c>
      <c r="M12" s="305" t="s">
        <v>3108</v>
      </c>
      <c r="N12" s="305" t="s">
        <v>3108</v>
      </c>
      <c r="O12" s="310" t="s">
        <v>3108</v>
      </c>
    </row>
    <row r="13" spans="1:15">
      <c r="A13" s="868"/>
      <c r="B13" s="878"/>
      <c r="C13" s="323" t="s">
        <v>3110</v>
      </c>
      <c r="D13" s="305" t="s">
        <v>3108</v>
      </c>
      <c r="E13" s="305" t="s">
        <v>3108</v>
      </c>
      <c r="F13" s="305" t="s">
        <v>3108</v>
      </c>
      <c r="G13" s="305" t="s">
        <v>3108</v>
      </c>
      <c r="H13" s="305" t="s">
        <v>3108</v>
      </c>
      <c r="I13" s="305" t="s">
        <v>3108</v>
      </c>
      <c r="J13" s="305" t="s">
        <v>3108</v>
      </c>
      <c r="K13" s="305" t="s">
        <v>3108</v>
      </c>
      <c r="L13" s="305" t="s">
        <v>3108</v>
      </c>
      <c r="M13" s="305" t="s">
        <v>3108</v>
      </c>
      <c r="N13" s="305" t="s">
        <v>3108</v>
      </c>
      <c r="O13" s="310" t="s">
        <v>3108</v>
      </c>
    </row>
    <row r="14" spans="1:15">
      <c r="A14" s="868"/>
      <c r="B14" s="338" t="s">
        <v>840</v>
      </c>
      <c r="C14" s="320" t="s">
        <v>3107</v>
      </c>
      <c r="D14" s="305" t="s">
        <v>3108</v>
      </c>
      <c r="E14" s="305" t="s">
        <v>3108</v>
      </c>
      <c r="F14" s="305" t="s">
        <v>3108</v>
      </c>
      <c r="G14" s="305" t="s">
        <v>3108</v>
      </c>
      <c r="H14" s="305" t="s">
        <v>3108</v>
      </c>
      <c r="I14" s="305" t="s">
        <v>3108</v>
      </c>
      <c r="J14" s="305" t="s">
        <v>3108</v>
      </c>
      <c r="K14" s="305" t="s">
        <v>3108</v>
      </c>
      <c r="L14" s="305" t="s">
        <v>3108</v>
      </c>
      <c r="M14" s="305" t="s">
        <v>3108</v>
      </c>
      <c r="N14" s="305" t="s">
        <v>3108</v>
      </c>
      <c r="O14" s="310" t="s">
        <v>3108</v>
      </c>
    </row>
    <row r="15" spans="1:15">
      <c r="A15" s="868"/>
      <c r="B15" s="879" t="s">
        <v>841</v>
      </c>
      <c r="C15" s="320" t="s">
        <v>3107</v>
      </c>
      <c r="D15" s="305" t="s">
        <v>3108</v>
      </c>
      <c r="E15" s="305" t="s">
        <v>3108</v>
      </c>
      <c r="F15" s="305" t="s">
        <v>3108</v>
      </c>
      <c r="G15" s="305" t="s">
        <v>3108</v>
      </c>
      <c r="H15" s="305" t="s">
        <v>3108</v>
      </c>
      <c r="I15" s="305" t="s">
        <v>3108</v>
      </c>
      <c r="J15" s="305" t="s">
        <v>3108</v>
      </c>
      <c r="K15" s="305" t="s">
        <v>3108</v>
      </c>
      <c r="L15" s="305" t="s">
        <v>3108</v>
      </c>
      <c r="M15" s="305" t="s">
        <v>3108</v>
      </c>
      <c r="N15" s="305" t="s">
        <v>3108</v>
      </c>
      <c r="O15" s="310" t="s">
        <v>3108</v>
      </c>
    </row>
    <row r="16" spans="1:15">
      <c r="A16" s="868"/>
      <c r="B16" s="878"/>
      <c r="C16" s="319" t="s">
        <v>3114</v>
      </c>
      <c r="D16" s="305" t="s">
        <v>3108</v>
      </c>
      <c r="E16" s="305" t="s">
        <v>3108</v>
      </c>
      <c r="F16" s="305" t="s">
        <v>3108</v>
      </c>
      <c r="G16" s="305" t="s">
        <v>3108</v>
      </c>
      <c r="H16" s="305" t="s">
        <v>3108</v>
      </c>
      <c r="I16" s="305" t="s">
        <v>3108</v>
      </c>
      <c r="J16" s="305" t="s">
        <v>3108</v>
      </c>
      <c r="K16" s="305" t="s">
        <v>3108</v>
      </c>
      <c r="L16" s="305" t="s">
        <v>3108</v>
      </c>
      <c r="M16" s="305" t="s">
        <v>3108</v>
      </c>
      <c r="N16" s="305" t="s">
        <v>3108</v>
      </c>
      <c r="O16" s="310" t="s">
        <v>3108</v>
      </c>
    </row>
    <row r="17" spans="1:15">
      <c r="A17" s="868"/>
      <c r="B17" s="339" t="s">
        <v>842</v>
      </c>
      <c r="C17" s="330" t="s">
        <v>3107</v>
      </c>
      <c r="D17" s="316" t="s">
        <v>3108</v>
      </c>
      <c r="E17" s="316" t="s">
        <v>3108</v>
      </c>
      <c r="F17" s="316" t="s">
        <v>3108</v>
      </c>
      <c r="G17" s="316" t="s">
        <v>3108</v>
      </c>
      <c r="H17" s="316" t="s">
        <v>3108</v>
      </c>
      <c r="I17" s="316" t="s">
        <v>3108</v>
      </c>
      <c r="J17" s="316" t="s">
        <v>3108</v>
      </c>
      <c r="K17" s="316" t="s">
        <v>3108</v>
      </c>
      <c r="L17" s="316" t="s">
        <v>3108</v>
      </c>
      <c r="M17" s="316" t="s">
        <v>3108</v>
      </c>
      <c r="N17" s="316" t="s">
        <v>3108</v>
      </c>
      <c r="O17" s="317" t="s">
        <v>3108</v>
      </c>
    </row>
    <row r="18" spans="1:15">
      <c r="A18" s="869" t="s">
        <v>3115</v>
      </c>
      <c r="B18" s="886" t="s">
        <v>838</v>
      </c>
      <c r="C18" s="331" t="s">
        <v>3107</v>
      </c>
      <c r="D18" s="308" t="s">
        <v>3108</v>
      </c>
      <c r="E18" s="308" t="s">
        <v>3108</v>
      </c>
      <c r="F18" s="308" t="s">
        <v>3108</v>
      </c>
      <c r="G18" s="308" t="s">
        <v>3108</v>
      </c>
      <c r="H18" s="308" t="s">
        <v>3108</v>
      </c>
      <c r="I18" s="308" t="s">
        <v>3108</v>
      </c>
      <c r="J18" s="308" t="s">
        <v>3108</v>
      </c>
      <c r="K18" s="308" t="s">
        <v>3108</v>
      </c>
      <c r="L18" s="308" t="s">
        <v>3108</v>
      </c>
      <c r="M18" s="308" t="s">
        <v>3108</v>
      </c>
      <c r="N18" s="308" t="s">
        <v>3108</v>
      </c>
      <c r="O18" s="309" t="s">
        <v>3108</v>
      </c>
    </row>
    <row r="19" spans="1:15">
      <c r="A19" s="870"/>
      <c r="B19" s="887"/>
      <c r="C19" s="325" t="s">
        <v>3116</v>
      </c>
      <c r="D19" s="305" t="s">
        <v>3108</v>
      </c>
      <c r="E19" s="305" t="s">
        <v>3108</v>
      </c>
      <c r="F19" s="305" t="s">
        <v>3108</v>
      </c>
      <c r="G19" s="305" t="s">
        <v>3108</v>
      </c>
      <c r="H19" s="305" t="s">
        <v>3108</v>
      </c>
      <c r="I19" s="305" t="s">
        <v>3108</v>
      </c>
      <c r="J19" s="305" t="s">
        <v>3108</v>
      </c>
      <c r="K19" s="305" t="s">
        <v>3108</v>
      </c>
      <c r="L19" s="305" t="s">
        <v>3108</v>
      </c>
      <c r="M19" s="305" t="s">
        <v>3108</v>
      </c>
      <c r="N19" s="305" t="s">
        <v>3108</v>
      </c>
      <c r="O19" s="310" t="s">
        <v>3108</v>
      </c>
    </row>
    <row r="20" spans="1:15">
      <c r="A20" s="870"/>
      <c r="B20" s="888" t="s">
        <v>839</v>
      </c>
      <c r="C20" s="332" t="s">
        <v>3107</v>
      </c>
      <c r="D20" s="305" t="s">
        <v>3108</v>
      </c>
      <c r="E20" s="305" t="s">
        <v>3108</v>
      </c>
      <c r="F20" s="305" t="s">
        <v>3108</v>
      </c>
      <c r="G20" s="305" t="s">
        <v>3108</v>
      </c>
      <c r="H20" s="305" t="s">
        <v>3108</v>
      </c>
      <c r="I20" s="305" t="s">
        <v>3108</v>
      </c>
      <c r="J20" s="305" t="s">
        <v>3108</v>
      </c>
      <c r="K20" s="305" t="s">
        <v>3108</v>
      </c>
      <c r="L20" s="305" t="s">
        <v>3108</v>
      </c>
      <c r="M20" s="305" t="s">
        <v>3108</v>
      </c>
      <c r="N20" s="305" t="s">
        <v>3108</v>
      </c>
      <c r="O20" s="310" t="s">
        <v>3108</v>
      </c>
    </row>
    <row r="21" spans="1:15">
      <c r="A21" s="870"/>
      <c r="B21" s="887"/>
      <c r="C21" s="325" t="s">
        <v>3110</v>
      </c>
      <c r="D21" s="305" t="s">
        <v>3108</v>
      </c>
      <c r="E21" s="305" t="s">
        <v>3108</v>
      </c>
      <c r="F21" s="305" t="s">
        <v>3108</v>
      </c>
      <c r="G21" s="305" t="s">
        <v>3108</v>
      </c>
      <c r="H21" s="305" t="s">
        <v>3108</v>
      </c>
      <c r="I21" s="305" t="s">
        <v>3108</v>
      </c>
      <c r="J21" s="305" t="s">
        <v>3108</v>
      </c>
      <c r="K21" s="305" t="s">
        <v>3108</v>
      </c>
      <c r="L21" s="305" t="s">
        <v>3108</v>
      </c>
      <c r="M21" s="305" t="s">
        <v>3108</v>
      </c>
      <c r="N21" s="305" t="s">
        <v>3108</v>
      </c>
      <c r="O21" s="310" t="s">
        <v>3108</v>
      </c>
    </row>
    <row r="22" spans="1:15">
      <c r="A22" s="870"/>
      <c r="B22" s="340" t="s">
        <v>840</v>
      </c>
      <c r="C22" s="332" t="s">
        <v>3107</v>
      </c>
      <c r="D22" s="305" t="s">
        <v>3108</v>
      </c>
      <c r="E22" s="305" t="s">
        <v>3108</v>
      </c>
      <c r="F22" s="305" t="s">
        <v>3108</v>
      </c>
      <c r="G22" s="305" t="s">
        <v>3108</v>
      </c>
      <c r="H22" s="305" t="s">
        <v>3108</v>
      </c>
      <c r="I22" s="305" t="s">
        <v>3108</v>
      </c>
      <c r="J22" s="305" t="s">
        <v>3108</v>
      </c>
      <c r="K22" s="305" t="s">
        <v>3108</v>
      </c>
      <c r="L22" s="305" t="s">
        <v>3108</v>
      </c>
      <c r="M22" s="305" t="s">
        <v>3108</v>
      </c>
      <c r="N22" s="305" t="s">
        <v>3108</v>
      </c>
      <c r="O22" s="310" t="s">
        <v>3108</v>
      </c>
    </row>
    <row r="23" spans="1:15">
      <c r="A23" s="870"/>
      <c r="B23" s="340" t="s">
        <v>841</v>
      </c>
      <c r="C23" s="332" t="s">
        <v>3107</v>
      </c>
      <c r="D23" s="305" t="s">
        <v>3108</v>
      </c>
      <c r="E23" s="305" t="s">
        <v>3108</v>
      </c>
      <c r="F23" s="305" t="s">
        <v>3108</v>
      </c>
      <c r="G23" s="305" t="s">
        <v>3108</v>
      </c>
      <c r="H23" s="305" t="s">
        <v>3108</v>
      </c>
      <c r="I23" s="305" t="s">
        <v>3108</v>
      </c>
      <c r="J23" s="305" t="s">
        <v>3108</v>
      </c>
      <c r="K23" s="305" t="s">
        <v>3108</v>
      </c>
      <c r="L23" s="305" t="s">
        <v>3108</v>
      </c>
      <c r="M23" s="305" t="s">
        <v>3108</v>
      </c>
      <c r="N23" s="305" t="s">
        <v>3108</v>
      </c>
      <c r="O23" s="310" t="s">
        <v>3108</v>
      </c>
    </row>
    <row r="24" spans="1:15">
      <c r="A24" s="870"/>
      <c r="B24" s="888" t="s">
        <v>842</v>
      </c>
      <c r="C24" s="332" t="s">
        <v>3107</v>
      </c>
      <c r="D24" s="305" t="s">
        <v>3108</v>
      </c>
      <c r="E24" s="305" t="s">
        <v>3108</v>
      </c>
      <c r="F24" s="305" t="s">
        <v>3108</v>
      </c>
      <c r="G24" s="305" t="s">
        <v>3108</v>
      </c>
      <c r="H24" s="305" t="s">
        <v>3108</v>
      </c>
      <c r="I24" s="305" t="s">
        <v>3108</v>
      </c>
      <c r="J24" s="305" t="s">
        <v>3108</v>
      </c>
      <c r="K24" s="305" t="s">
        <v>3108</v>
      </c>
      <c r="L24" s="305" t="s">
        <v>3108</v>
      </c>
      <c r="M24" s="305" t="s">
        <v>3108</v>
      </c>
      <c r="N24" s="305" t="s">
        <v>3108</v>
      </c>
      <c r="O24" s="310" t="s">
        <v>3108</v>
      </c>
    </row>
    <row r="25" spans="1:15">
      <c r="A25" s="870"/>
      <c r="B25" s="889"/>
      <c r="C25" s="326" t="s">
        <v>3117</v>
      </c>
      <c r="D25" s="316" t="s">
        <v>3108</v>
      </c>
      <c r="E25" s="316" t="s">
        <v>3108</v>
      </c>
      <c r="F25" s="316" t="s">
        <v>3108</v>
      </c>
      <c r="G25" s="316" t="s">
        <v>3108</v>
      </c>
      <c r="H25" s="316" t="s">
        <v>3108</v>
      </c>
      <c r="I25" s="316" t="s">
        <v>3108</v>
      </c>
      <c r="J25" s="316" t="s">
        <v>3108</v>
      </c>
      <c r="K25" s="316" t="s">
        <v>3108</v>
      </c>
      <c r="L25" s="316" t="s">
        <v>3108</v>
      </c>
      <c r="M25" s="316" t="s">
        <v>3108</v>
      </c>
      <c r="N25" s="316" t="s">
        <v>3108</v>
      </c>
      <c r="O25" s="317" t="s">
        <v>3108</v>
      </c>
    </row>
    <row r="26" spans="1:15">
      <c r="A26" s="871" t="s">
        <v>3118</v>
      </c>
      <c r="B26" s="890" t="s">
        <v>838</v>
      </c>
      <c r="C26" s="333" t="s">
        <v>3107</v>
      </c>
      <c r="D26" s="308" t="s">
        <v>3108</v>
      </c>
      <c r="E26" s="308" t="s">
        <v>3108</v>
      </c>
      <c r="F26" s="308" t="s">
        <v>3108</v>
      </c>
      <c r="G26" s="308" t="s">
        <v>3108</v>
      </c>
      <c r="H26" s="308" t="s">
        <v>3108</v>
      </c>
      <c r="I26" s="308" t="s">
        <v>3108</v>
      </c>
      <c r="J26" s="308" t="s">
        <v>3108</v>
      </c>
      <c r="K26" s="308" t="s">
        <v>3108</v>
      </c>
      <c r="L26" s="308" t="s">
        <v>3108</v>
      </c>
      <c r="M26" s="308" t="s">
        <v>3108</v>
      </c>
      <c r="N26" s="308" t="s">
        <v>3108</v>
      </c>
      <c r="O26" s="309" t="s">
        <v>3108</v>
      </c>
    </row>
    <row r="27" spans="1:15">
      <c r="A27" s="872"/>
      <c r="B27" s="881"/>
      <c r="C27" s="327" t="s">
        <v>3119</v>
      </c>
      <c r="D27" s="305" t="s">
        <v>3108</v>
      </c>
      <c r="E27" s="305" t="s">
        <v>3108</v>
      </c>
      <c r="F27" s="305" t="s">
        <v>3108</v>
      </c>
      <c r="G27" s="305" t="s">
        <v>3108</v>
      </c>
      <c r="H27" s="305" t="s">
        <v>3108</v>
      </c>
      <c r="I27" s="305" t="s">
        <v>3108</v>
      </c>
      <c r="J27" s="305" t="s">
        <v>3108</v>
      </c>
      <c r="K27" s="305" t="s">
        <v>3108</v>
      </c>
      <c r="L27" s="305" t="s">
        <v>3108</v>
      </c>
      <c r="M27" s="305" t="s">
        <v>3108</v>
      </c>
      <c r="N27" s="305" t="s">
        <v>3108</v>
      </c>
      <c r="O27" s="310" t="s">
        <v>3108</v>
      </c>
    </row>
    <row r="28" spans="1:15">
      <c r="A28" s="872"/>
      <c r="B28" s="881"/>
      <c r="C28" s="327" t="s">
        <v>3120</v>
      </c>
      <c r="D28" s="305" t="s">
        <v>3108</v>
      </c>
      <c r="E28" s="305" t="s">
        <v>3108</v>
      </c>
      <c r="F28" s="305" t="s">
        <v>3108</v>
      </c>
      <c r="G28" s="305" t="s">
        <v>3108</v>
      </c>
      <c r="H28" s="305" t="s">
        <v>3108</v>
      </c>
      <c r="I28" s="305" t="s">
        <v>3108</v>
      </c>
      <c r="J28" s="305" t="s">
        <v>3108</v>
      </c>
      <c r="K28" s="305" t="s">
        <v>3108</v>
      </c>
      <c r="L28" s="305" t="s">
        <v>3108</v>
      </c>
      <c r="M28" s="305" t="s">
        <v>3108</v>
      </c>
      <c r="N28" s="305" t="s">
        <v>3108</v>
      </c>
      <c r="O28" s="310" t="s">
        <v>3108</v>
      </c>
    </row>
    <row r="29" spans="1:15">
      <c r="A29" s="872"/>
      <c r="B29" s="891"/>
      <c r="C29" s="327" t="s">
        <v>3121</v>
      </c>
      <c r="D29" s="305" t="s">
        <v>3108</v>
      </c>
      <c r="E29" s="305" t="s">
        <v>3108</v>
      </c>
      <c r="F29" s="305" t="s">
        <v>3108</v>
      </c>
      <c r="G29" s="305" t="s">
        <v>3108</v>
      </c>
      <c r="H29" s="305" t="s">
        <v>3108</v>
      </c>
      <c r="I29" s="305" t="s">
        <v>3108</v>
      </c>
      <c r="J29" s="305" t="s">
        <v>3108</v>
      </c>
      <c r="K29" s="305" t="s">
        <v>3108</v>
      </c>
      <c r="L29" s="305" t="s">
        <v>3108</v>
      </c>
      <c r="M29" s="305" t="s">
        <v>3108</v>
      </c>
      <c r="N29" s="305" t="s">
        <v>3108</v>
      </c>
      <c r="O29" s="310" t="s">
        <v>3108</v>
      </c>
    </row>
    <row r="30" spans="1:15">
      <c r="A30" s="872"/>
      <c r="B30" s="880" t="s">
        <v>839</v>
      </c>
      <c r="C30" s="334" t="s">
        <v>3107</v>
      </c>
      <c r="D30" s="305" t="s">
        <v>3108</v>
      </c>
      <c r="E30" s="305" t="s">
        <v>3108</v>
      </c>
      <c r="F30" s="305" t="s">
        <v>3108</v>
      </c>
      <c r="G30" s="305" t="s">
        <v>3108</v>
      </c>
      <c r="H30" s="305" t="s">
        <v>3108</v>
      </c>
      <c r="I30" s="305" t="s">
        <v>3108</v>
      </c>
      <c r="J30" s="305" t="s">
        <v>3108</v>
      </c>
      <c r="K30" s="305" t="s">
        <v>3108</v>
      </c>
      <c r="L30" s="305" t="s">
        <v>3108</v>
      </c>
      <c r="M30" s="305" t="s">
        <v>3108</v>
      </c>
      <c r="N30" s="305" t="s">
        <v>3108</v>
      </c>
      <c r="O30" s="310" t="s">
        <v>3108</v>
      </c>
    </row>
    <row r="31" spans="1:15">
      <c r="A31" s="872"/>
      <c r="B31" s="891"/>
      <c r="C31" s="327" t="s">
        <v>3110</v>
      </c>
      <c r="D31" s="305" t="s">
        <v>3108</v>
      </c>
      <c r="E31" s="305" t="s">
        <v>3108</v>
      </c>
      <c r="F31" s="305" t="s">
        <v>3108</v>
      </c>
      <c r="G31" s="305" t="s">
        <v>3108</v>
      </c>
      <c r="H31" s="305" t="s">
        <v>3108</v>
      </c>
      <c r="I31" s="305" t="s">
        <v>3108</v>
      </c>
      <c r="J31" s="305" t="s">
        <v>3108</v>
      </c>
      <c r="K31" s="305" t="s">
        <v>3108</v>
      </c>
      <c r="L31" s="305" t="s">
        <v>3108</v>
      </c>
      <c r="M31" s="305" t="s">
        <v>3108</v>
      </c>
      <c r="N31" s="305" t="s">
        <v>3108</v>
      </c>
      <c r="O31" s="310" t="s">
        <v>3108</v>
      </c>
    </row>
    <row r="32" spans="1:15">
      <c r="A32" s="872"/>
      <c r="B32" s="341" t="s">
        <v>840</v>
      </c>
      <c r="C32" s="334" t="s">
        <v>3107</v>
      </c>
      <c r="D32" s="305" t="s">
        <v>3108</v>
      </c>
      <c r="E32" s="305" t="s">
        <v>3108</v>
      </c>
      <c r="F32" s="305" t="s">
        <v>3108</v>
      </c>
      <c r="G32" s="305" t="s">
        <v>3108</v>
      </c>
      <c r="H32" s="305" t="s">
        <v>3108</v>
      </c>
      <c r="I32" s="305" t="s">
        <v>3108</v>
      </c>
      <c r="J32" s="305" t="s">
        <v>3108</v>
      </c>
      <c r="K32" s="305" t="s">
        <v>3108</v>
      </c>
      <c r="L32" s="305" t="s">
        <v>3108</v>
      </c>
      <c r="M32" s="305" t="s">
        <v>3108</v>
      </c>
      <c r="N32" s="305" t="s">
        <v>3108</v>
      </c>
      <c r="O32" s="310" t="s">
        <v>3108</v>
      </c>
    </row>
    <row r="33" spans="1:15">
      <c r="A33" s="872"/>
      <c r="B33" s="880" t="s">
        <v>841</v>
      </c>
      <c r="C33" s="334" t="s">
        <v>3107</v>
      </c>
      <c r="D33" s="305" t="s">
        <v>3108</v>
      </c>
      <c r="E33" s="305" t="s">
        <v>3108</v>
      </c>
      <c r="F33" s="305" t="s">
        <v>3108</v>
      </c>
      <c r="G33" s="305" t="s">
        <v>3108</v>
      </c>
      <c r="H33" s="305" t="s">
        <v>3108</v>
      </c>
      <c r="I33" s="305" t="s">
        <v>3108</v>
      </c>
      <c r="J33" s="305" t="s">
        <v>3108</v>
      </c>
      <c r="K33" s="305" t="s">
        <v>3108</v>
      </c>
      <c r="L33" s="305" t="s">
        <v>3108</v>
      </c>
      <c r="M33" s="305" t="s">
        <v>3108</v>
      </c>
      <c r="N33" s="305" t="s">
        <v>3108</v>
      </c>
      <c r="O33" s="310" t="s">
        <v>3108</v>
      </c>
    </row>
    <row r="34" spans="1:15">
      <c r="A34" s="872"/>
      <c r="B34" s="891"/>
      <c r="C34" s="327" t="s">
        <v>3114</v>
      </c>
      <c r="D34" s="305" t="s">
        <v>3108</v>
      </c>
      <c r="E34" s="305" t="s">
        <v>3108</v>
      </c>
      <c r="F34" s="305" t="s">
        <v>3108</v>
      </c>
      <c r="G34" s="305" t="s">
        <v>3108</v>
      </c>
      <c r="H34" s="305" t="s">
        <v>3108</v>
      </c>
      <c r="I34" s="305" t="s">
        <v>3108</v>
      </c>
      <c r="J34" s="305" t="s">
        <v>3108</v>
      </c>
      <c r="K34" s="305" t="s">
        <v>3108</v>
      </c>
      <c r="L34" s="305" t="s">
        <v>3108</v>
      </c>
      <c r="M34" s="305" t="s">
        <v>3108</v>
      </c>
      <c r="N34" s="305" t="s">
        <v>3108</v>
      </c>
      <c r="O34" s="310" t="s">
        <v>3108</v>
      </c>
    </row>
    <row r="35" spans="1:15">
      <c r="A35" s="872"/>
      <c r="B35" s="880" t="s">
        <v>842</v>
      </c>
      <c r="C35" s="334" t="s">
        <v>3107</v>
      </c>
      <c r="D35" s="305" t="s">
        <v>3108</v>
      </c>
      <c r="E35" s="305" t="s">
        <v>3108</v>
      </c>
      <c r="F35" s="305" t="s">
        <v>3108</v>
      </c>
      <c r="G35" s="305" t="s">
        <v>3108</v>
      </c>
      <c r="H35" s="305" t="s">
        <v>3108</v>
      </c>
      <c r="I35" s="305" t="s">
        <v>3108</v>
      </c>
      <c r="J35" s="305" t="s">
        <v>3108</v>
      </c>
      <c r="K35" s="305" t="s">
        <v>3108</v>
      </c>
      <c r="L35" s="305" t="s">
        <v>3108</v>
      </c>
      <c r="M35" s="305" t="s">
        <v>3108</v>
      </c>
      <c r="N35" s="305" t="s">
        <v>3108</v>
      </c>
      <c r="O35" s="310" t="s">
        <v>3108</v>
      </c>
    </row>
    <row r="36" spans="1:15">
      <c r="A36" s="872"/>
      <c r="B36" s="881"/>
      <c r="C36" s="327" t="s">
        <v>3122</v>
      </c>
      <c r="D36" s="305" t="s">
        <v>3108</v>
      </c>
      <c r="E36" s="305" t="s">
        <v>3108</v>
      </c>
      <c r="F36" s="305" t="s">
        <v>3108</v>
      </c>
      <c r="G36" s="305" t="s">
        <v>3108</v>
      </c>
      <c r="H36" s="305" t="s">
        <v>3108</v>
      </c>
      <c r="I36" s="305" t="s">
        <v>3108</v>
      </c>
      <c r="J36" s="305" t="s">
        <v>3108</v>
      </c>
      <c r="K36" s="305" t="s">
        <v>3108</v>
      </c>
      <c r="L36" s="305" t="s">
        <v>3108</v>
      </c>
      <c r="M36" s="305" t="s">
        <v>3108</v>
      </c>
      <c r="N36" s="305" t="s">
        <v>3108</v>
      </c>
      <c r="O36" s="310" t="s">
        <v>3108</v>
      </c>
    </row>
    <row r="37" spans="1:15">
      <c r="A37" s="873"/>
      <c r="B37" s="882"/>
      <c r="C37" s="328" t="s">
        <v>3123</v>
      </c>
      <c r="D37" s="311" t="s">
        <v>3108</v>
      </c>
      <c r="E37" s="311" t="s">
        <v>3108</v>
      </c>
      <c r="F37" s="311" t="s">
        <v>3108</v>
      </c>
      <c r="G37" s="311" t="s">
        <v>3108</v>
      </c>
      <c r="H37" s="311" t="s">
        <v>3108</v>
      </c>
      <c r="I37" s="311" t="s">
        <v>3108</v>
      </c>
      <c r="J37" s="311" t="s">
        <v>3108</v>
      </c>
      <c r="K37" s="311" t="s">
        <v>3108</v>
      </c>
      <c r="L37" s="311" t="s">
        <v>3108</v>
      </c>
      <c r="M37" s="311" t="s">
        <v>3108</v>
      </c>
      <c r="N37" s="311" t="s">
        <v>3108</v>
      </c>
      <c r="O37" s="312" t="s">
        <v>3108</v>
      </c>
    </row>
    <row r="38" spans="1:15">
      <c r="A38" s="874" t="s">
        <v>3124</v>
      </c>
      <c r="B38" s="342" t="s">
        <v>838</v>
      </c>
      <c r="C38" s="335" t="s">
        <v>3107</v>
      </c>
      <c r="D38" s="315" t="s">
        <v>3108</v>
      </c>
      <c r="E38" s="315" t="s">
        <v>3108</v>
      </c>
      <c r="F38" s="315" t="s">
        <v>3108</v>
      </c>
      <c r="G38" s="315" t="s">
        <v>3108</v>
      </c>
      <c r="H38" s="315" t="s">
        <v>3108</v>
      </c>
      <c r="I38" s="315" t="s">
        <v>3108</v>
      </c>
      <c r="J38" s="315" t="s">
        <v>3108</v>
      </c>
      <c r="K38" s="315" t="s">
        <v>3108</v>
      </c>
      <c r="L38" s="315" t="s">
        <v>3108</v>
      </c>
      <c r="M38" s="315" t="s">
        <v>3108</v>
      </c>
      <c r="N38" s="315" t="s">
        <v>3108</v>
      </c>
      <c r="O38" s="315" t="s">
        <v>3108</v>
      </c>
    </row>
    <row r="39" spans="1:15">
      <c r="A39" s="874"/>
      <c r="B39" s="883" t="s">
        <v>839</v>
      </c>
      <c r="C39" s="336" t="s">
        <v>3107</v>
      </c>
      <c r="D39" s="305" t="s">
        <v>3108</v>
      </c>
      <c r="E39" s="305" t="s">
        <v>3108</v>
      </c>
      <c r="F39" s="305" t="s">
        <v>3108</v>
      </c>
      <c r="G39" s="305" t="s">
        <v>3108</v>
      </c>
      <c r="H39" s="305" t="s">
        <v>3108</v>
      </c>
      <c r="I39" s="305" t="s">
        <v>3108</v>
      </c>
      <c r="J39" s="305" t="s">
        <v>3108</v>
      </c>
      <c r="K39" s="305" t="s">
        <v>3108</v>
      </c>
      <c r="L39" s="305" t="s">
        <v>3108</v>
      </c>
      <c r="M39" s="305" t="s">
        <v>3108</v>
      </c>
      <c r="N39" s="305" t="s">
        <v>3108</v>
      </c>
      <c r="O39" s="305" t="s">
        <v>3108</v>
      </c>
    </row>
    <row r="40" spans="1:15">
      <c r="A40" s="874"/>
      <c r="B40" s="884"/>
      <c r="C40" s="329" t="s">
        <v>3110</v>
      </c>
      <c r="D40" s="305" t="s">
        <v>3108</v>
      </c>
      <c r="E40" s="305" t="s">
        <v>3108</v>
      </c>
      <c r="F40" s="305" t="s">
        <v>3108</v>
      </c>
      <c r="G40" s="305" t="s">
        <v>3108</v>
      </c>
      <c r="H40" s="305" t="s">
        <v>3108</v>
      </c>
      <c r="I40" s="305" t="s">
        <v>3108</v>
      </c>
      <c r="J40" s="305" t="s">
        <v>3108</v>
      </c>
      <c r="K40" s="305" t="s">
        <v>3108</v>
      </c>
      <c r="L40" s="305" t="s">
        <v>3108</v>
      </c>
      <c r="M40" s="305" t="s">
        <v>3108</v>
      </c>
      <c r="N40" s="305" t="s">
        <v>3108</v>
      </c>
      <c r="O40" s="305" t="s">
        <v>3108</v>
      </c>
    </row>
    <row r="41" spans="1:15">
      <c r="A41" s="875"/>
      <c r="B41" s="885"/>
      <c r="C41" s="329" t="s">
        <v>3125</v>
      </c>
      <c r="D41" s="305" t="s">
        <v>3108</v>
      </c>
      <c r="E41" s="305" t="s">
        <v>3108</v>
      </c>
      <c r="F41" s="305" t="s">
        <v>3108</v>
      </c>
      <c r="G41" s="305" t="s">
        <v>3108</v>
      </c>
      <c r="H41" s="305" t="s">
        <v>3108</v>
      </c>
      <c r="I41" s="305" t="s">
        <v>3108</v>
      </c>
      <c r="J41" s="305" t="s">
        <v>3108</v>
      </c>
      <c r="K41" s="305" t="s">
        <v>3108</v>
      </c>
      <c r="L41" s="305" t="s">
        <v>3108</v>
      </c>
      <c r="M41" s="305" t="s">
        <v>3108</v>
      </c>
      <c r="N41" s="305" t="s">
        <v>3108</v>
      </c>
      <c r="O41" s="305" t="s">
        <v>3108</v>
      </c>
    </row>
  </sheetData>
  <mergeCells count="19">
    <mergeCell ref="A18:A25"/>
    <mergeCell ref="A26:A37"/>
    <mergeCell ref="A38:A41"/>
    <mergeCell ref="B9:B10"/>
    <mergeCell ref="B12:B13"/>
    <mergeCell ref="B15:B16"/>
    <mergeCell ref="B35:B37"/>
    <mergeCell ref="B39:B41"/>
    <mergeCell ref="B18:B19"/>
    <mergeCell ref="B20:B21"/>
    <mergeCell ref="B24:B25"/>
    <mergeCell ref="B26:B29"/>
    <mergeCell ref="B30:B31"/>
    <mergeCell ref="B33:B34"/>
    <mergeCell ref="B2:B3"/>
    <mergeCell ref="B4:B5"/>
    <mergeCell ref="B6:B7"/>
    <mergeCell ref="A2:A10"/>
    <mergeCell ref="A11:A17"/>
  </mergeCell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2D633F-E3D0-4C32-B338-77ACD9051510}">
  <dimension ref="A1:V48"/>
  <sheetViews>
    <sheetView workbookViewId="0">
      <selection activeCell="G9" sqref="G9"/>
    </sheetView>
  </sheetViews>
  <sheetFormatPr defaultRowHeight="15" customHeight="1" outlineLevelCol="1"/>
  <cols>
    <col min="2" max="2" width="9" bestFit="1" customWidth="1"/>
    <col min="3" max="3" width="0" hidden="1" customWidth="1"/>
    <col min="4" max="4" width="25.42578125" customWidth="1"/>
    <col min="5" max="5" width="8.5703125" customWidth="1"/>
    <col min="6" max="6" width="20.5703125" customWidth="1"/>
    <col min="7" max="7" width="28.5703125" customWidth="1"/>
    <col min="8" max="8" width="15.5703125" bestFit="1" customWidth="1"/>
    <col min="9" max="15" width="9.5703125" style="1" hidden="1" customWidth="1" outlineLevel="1"/>
    <col min="16" max="16" width="11" style="1" customWidth="1" collapsed="1"/>
    <col min="17" max="17" width="11.42578125" style="1" bestFit="1" customWidth="1"/>
    <col min="18" max="18" width="18.5703125" style="1" customWidth="1"/>
    <col min="19" max="19" width="14.5703125" style="1" customWidth="1"/>
    <col min="20" max="20" width="17" style="1" customWidth="1"/>
    <col min="21" max="21" width="38.5703125" style="1" customWidth="1"/>
    <col min="22" max="22" width="62.42578125" style="4" customWidth="1"/>
  </cols>
  <sheetData>
    <row r="1" spans="1:22" ht="43.15">
      <c r="A1" t="s">
        <v>3126</v>
      </c>
      <c r="B1" s="2" t="s">
        <v>50</v>
      </c>
      <c r="C1" s="2" t="s">
        <v>51</v>
      </c>
      <c r="D1" s="2" t="s">
        <v>52</v>
      </c>
      <c r="E1" s="3" t="s">
        <v>53</v>
      </c>
      <c r="F1" s="2" t="s">
        <v>54</v>
      </c>
      <c r="G1" s="2" t="s">
        <v>55</v>
      </c>
      <c r="H1" s="2" t="s">
        <v>56</v>
      </c>
      <c r="I1" s="6" t="s">
        <v>60</v>
      </c>
      <c r="J1" s="6" t="s">
        <v>61</v>
      </c>
      <c r="K1" s="6" t="s">
        <v>62</v>
      </c>
      <c r="L1" s="6" t="s">
        <v>63</v>
      </c>
      <c r="M1" s="6" t="s">
        <v>64</v>
      </c>
      <c r="N1" s="6" t="s">
        <v>65</v>
      </c>
      <c r="O1" s="7" t="s">
        <v>6</v>
      </c>
      <c r="P1" s="6" t="s">
        <v>66</v>
      </c>
      <c r="Q1" s="6" t="s">
        <v>67</v>
      </c>
      <c r="R1" s="6" t="s">
        <v>68</v>
      </c>
      <c r="S1" s="6" t="s">
        <v>70</v>
      </c>
      <c r="T1" s="6" t="s">
        <v>71</v>
      </c>
      <c r="U1" s="2" t="s">
        <v>72</v>
      </c>
      <c r="V1" s="3" t="s">
        <v>73</v>
      </c>
    </row>
    <row r="2" spans="1:22" ht="15" customHeight="1">
      <c r="A2">
        <v>1</v>
      </c>
      <c r="B2" t="s">
        <v>74</v>
      </c>
      <c r="C2" t="s">
        <v>3127</v>
      </c>
      <c r="D2" t="s">
        <v>76</v>
      </c>
      <c r="E2" t="s">
        <v>896</v>
      </c>
      <c r="F2" t="s">
        <v>98</v>
      </c>
      <c r="G2" s="5" t="s">
        <v>99</v>
      </c>
      <c r="H2" t="s">
        <v>3128</v>
      </c>
      <c r="I2" s="1" t="s">
        <v>82</v>
      </c>
      <c r="J2" s="1" t="s">
        <v>82</v>
      </c>
      <c r="K2" s="1" t="s">
        <v>82</v>
      </c>
      <c r="L2" s="1" t="s">
        <v>82</v>
      </c>
      <c r="M2" s="1" t="s">
        <v>82</v>
      </c>
      <c r="N2" s="1" t="s">
        <v>82</v>
      </c>
      <c r="O2" s="1" t="s">
        <v>82</v>
      </c>
    </row>
    <row r="3" spans="1:22" ht="14.45">
      <c r="A3">
        <v>2</v>
      </c>
      <c r="B3" s="18" t="s">
        <v>1361</v>
      </c>
      <c r="C3" t="s">
        <v>97</v>
      </c>
      <c r="D3" t="s">
        <v>76</v>
      </c>
      <c r="E3" t="s">
        <v>896</v>
      </c>
      <c r="F3" t="s">
        <v>98</v>
      </c>
      <c r="G3" s="5" t="s">
        <v>99</v>
      </c>
      <c r="H3" t="s">
        <v>3129</v>
      </c>
      <c r="I3" s="1" t="s">
        <v>82</v>
      </c>
      <c r="J3" s="1" t="s">
        <v>82</v>
      </c>
      <c r="K3" s="1" t="s">
        <v>82</v>
      </c>
      <c r="L3" s="1" t="s">
        <v>82</v>
      </c>
      <c r="M3" s="1" t="s">
        <v>82</v>
      </c>
      <c r="N3" s="1" t="s">
        <v>82</v>
      </c>
      <c r="O3" s="1" t="s">
        <v>82</v>
      </c>
    </row>
    <row r="4" spans="1:22" ht="14.45">
      <c r="A4">
        <v>3</v>
      </c>
      <c r="B4" t="s">
        <v>1424</v>
      </c>
      <c r="C4" t="s">
        <v>97</v>
      </c>
      <c r="D4" t="s">
        <v>76</v>
      </c>
      <c r="E4" t="s">
        <v>896</v>
      </c>
      <c r="F4" t="s">
        <v>98</v>
      </c>
      <c r="G4" s="5" t="s">
        <v>99</v>
      </c>
      <c r="H4" t="s">
        <v>3129</v>
      </c>
      <c r="I4" s="1" t="s">
        <v>82</v>
      </c>
      <c r="J4" s="1" t="s">
        <v>82</v>
      </c>
      <c r="K4" s="1" t="s">
        <v>82</v>
      </c>
      <c r="L4" s="1" t="s">
        <v>82</v>
      </c>
      <c r="M4" s="1" t="s">
        <v>82</v>
      </c>
      <c r="N4" s="1" t="s">
        <v>82</v>
      </c>
      <c r="O4" s="1" t="s">
        <v>82</v>
      </c>
    </row>
    <row r="5" spans="1:22" ht="14.45">
      <c r="A5">
        <v>4</v>
      </c>
      <c r="B5" s="18" t="s">
        <v>3130</v>
      </c>
      <c r="C5" t="s">
        <v>294</v>
      </c>
      <c r="D5" t="s">
        <v>271</v>
      </c>
      <c r="E5" t="s">
        <v>896</v>
      </c>
      <c r="F5" t="s">
        <v>3131</v>
      </c>
      <c r="H5" t="s">
        <v>3129</v>
      </c>
      <c r="I5" s="1" t="s">
        <v>82</v>
      </c>
      <c r="J5" s="1" t="s">
        <v>82</v>
      </c>
      <c r="K5" s="1" t="s">
        <v>82</v>
      </c>
      <c r="L5" s="1" t="s">
        <v>82</v>
      </c>
      <c r="M5" s="1" t="s">
        <v>82</v>
      </c>
      <c r="N5" s="1" t="s">
        <v>82</v>
      </c>
      <c r="O5" s="1" t="s">
        <v>82</v>
      </c>
    </row>
    <row r="6" spans="1:22" ht="14.45">
      <c r="A6">
        <v>5</v>
      </c>
      <c r="B6" s="18" t="s">
        <v>3132</v>
      </c>
      <c r="C6" t="s">
        <v>294</v>
      </c>
      <c r="D6" t="s">
        <v>271</v>
      </c>
      <c r="E6" t="s">
        <v>896</v>
      </c>
      <c r="F6" t="s">
        <v>3131</v>
      </c>
      <c r="H6" t="s">
        <v>3129</v>
      </c>
      <c r="I6" s="1" t="s">
        <v>82</v>
      </c>
      <c r="J6" s="1" t="s">
        <v>82</v>
      </c>
      <c r="K6" s="1" t="s">
        <v>82</v>
      </c>
      <c r="L6" s="1" t="s">
        <v>82</v>
      </c>
      <c r="M6" s="1" t="s">
        <v>82</v>
      </c>
      <c r="N6" s="1" t="s">
        <v>82</v>
      </c>
      <c r="O6" s="1" t="s">
        <v>82</v>
      </c>
    </row>
    <row r="7" spans="1:22" ht="14.45">
      <c r="A7">
        <v>6</v>
      </c>
      <c r="B7" t="s">
        <v>830</v>
      </c>
      <c r="C7" t="s">
        <v>294</v>
      </c>
      <c r="D7" t="s">
        <v>76</v>
      </c>
      <c r="E7" t="s">
        <v>896</v>
      </c>
      <c r="F7" t="s">
        <v>98</v>
      </c>
      <c r="G7" s="5" t="s">
        <v>99</v>
      </c>
      <c r="H7" t="s">
        <v>3128</v>
      </c>
      <c r="I7" s="1" t="s">
        <v>82</v>
      </c>
      <c r="J7" s="1" t="s">
        <v>82</v>
      </c>
      <c r="K7" s="1" t="s">
        <v>82</v>
      </c>
      <c r="L7" s="1" t="s">
        <v>82</v>
      </c>
      <c r="M7" s="1" t="s">
        <v>82</v>
      </c>
      <c r="N7" s="1" t="s">
        <v>82</v>
      </c>
      <c r="O7" s="1" t="s">
        <v>82</v>
      </c>
    </row>
    <row r="8" spans="1:22" ht="14.45">
      <c r="A8">
        <v>7</v>
      </c>
      <c r="B8" s="17" t="s">
        <v>126</v>
      </c>
      <c r="C8" t="s">
        <v>3133</v>
      </c>
      <c r="D8" t="s">
        <v>271</v>
      </c>
      <c r="E8" t="s">
        <v>896</v>
      </c>
      <c r="F8" t="s">
        <v>3134</v>
      </c>
      <c r="G8" s="5" t="s">
        <v>3135</v>
      </c>
      <c r="H8" t="s">
        <v>3136</v>
      </c>
      <c r="I8" s="1" t="s">
        <v>82</v>
      </c>
      <c r="J8" s="1" t="s">
        <v>82</v>
      </c>
      <c r="K8" s="1" t="s">
        <v>82</v>
      </c>
      <c r="L8" s="1" t="s">
        <v>82</v>
      </c>
      <c r="M8" s="1" t="s">
        <v>82</v>
      </c>
      <c r="N8" s="1" t="s">
        <v>82</v>
      </c>
      <c r="O8" s="1" t="s">
        <v>82</v>
      </c>
    </row>
    <row r="9" spans="1:22" ht="14.45">
      <c r="A9">
        <v>8</v>
      </c>
      <c r="B9" s="17" t="s">
        <v>3137</v>
      </c>
      <c r="C9" t="s">
        <v>3133</v>
      </c>
      <c r="D9" t="s">
        <v>271</v>
      </c>
      <c r="E9" t="s">
        <v>896</v>
      </c>
      <c r="F9" t="s">
        <v>3134</v>
      </c>
      <c r="G9" s="5" t="s">
        <v>3135</v>
      </c>
      <c r="H9" t="s">
        <v>3136</v>
      </c>
      <c r="I9" s="1" t="s">
        <v>82</v>
      </c>
      <c r="J9" s="1" t="s">
        <v>82</v>
      </c>
      <c r="K9" s="1" t="s">
        <v>82</v>
      </c>
      <c r="L9" s="1" t="s">
        <v>82</v>
      </c>
      <c r="M9" s="1" t="s">
        <v>82</v>
      </c>
      <c r="N9" s="1" t="s">
        <v>82</v>
      </c>
      <c r="O9" s="1" t="s">
        <v>82</v>
      </c>
    </row>
    <row r="10" spans="1:22" ht="14.45">
      <c r="A10">
        <v>9</v>
      </c>
      <c r="B10" t="s">
        <v>796</v>
      </c>
      <c r="C10" t="s">
        <v>3133</v>
      </c>
      <c r="D10" t="s">
        <v>271</v>
      </c>
      <c r="E10" t="s">
        <v>896</v>
      </c>
      <c r="F10" t="s">
        <v>3134</v>
      </c>
      <c r="G10" s="5" t="s">
        <v>3135</v>
      </c>
      <c r="H10" t="s">
        <v>3136</v>
      </c>
      <c r="I10" s="1" t="s">
        <v>82</v>
      </c>
      <c r="J10" s="1" t="s">
        <v>82</v>
      </c>
      <c r="K10" s="1" t="s">
        <v>82</v>
      </c>
      <c r="L10" s="1" t="s">
        <v>82</v>
      </c>
      <c r="M10" s="1" t="s">
        <v>82</v>
      </c>
      <c r="N10" s="1" t="s">
        <v>82</v>
      </c>
      <c r="O10" s="1" t="s">
        <v>82</v>
      </c>
    </row>
    <row r="11" spans="1:22" ht="14.45">
      <c r="A11">
        <v>10</v>
      </c>
      <c r="B11" s="17" t="s">
        <v>133</v>
      </c>
      <c r="C11" t="s">
        <v>3133</v>
      </c>
      <c r="D11" t="s">
        <v>271</v>
      </c>
      <c r="E11" t="s">
        <v>896</v>
      </c>
      <c r="F11" t="s">
        <v>3138</v>
      </c>
      <c r="H11" t="s">
        <v>3136</v>
      </c>
      <c r="I11" s="1" t="s">
        <v>82</v>
      </c>
      <c r="J11" s="1" t="s">
        <v>82</v>
      </c>
      <c r="K11" s="1" t="s">
        <v>82</v>
      </c>
      <c r="L11" s="1" t="s">
        <v>82</v>
      </c>
      <c r="M11" s="1" t="s">
        <v>82</v>
      </c>
      <c r="N11" s="1" t="s">
        <v>82</v>
      </c>
      <c r="O11" s="1" t="s">
        <v>82</v>
      </c>
    </row>
    <row r="12" spans="1:22" ht="14.45">
      <c r="A12">
        <v>11</v>
      </c>
      <c r="B12" t="s">
        <v>3139</v>
      </c>
      <c r="C12" t="s">
        <v>3140</v>
      </c>
      <c r="D12" t="s">
        <v>3141</v>
      </c>
      <c r="E12" t="s">
        <v>896</v>
      </c>
      <c r="F12" t="s">
        <v>3142</v>
      </c>
      <c r="H12" t="s">
        <v>3136</v>
      </c>
      <c r="I12" s="1" t="s">
        <v>82</v>
      </c>
      <c r="J12" s="1" t="s">
        <v>82</v>
      </c>
      <c r="K12" s="1" t="s">
        <v>82</v>
      </c>
      <c r="L12" s="1" t="s">
        <v>82</v>
      </c>
      <c r="M12" s="1" t="s">
        <v>82</v>
      </c>
      <c r="N12" s="1" t="s">
        <v>82</v>
      </c>
      <c r="O12" s="1" t="s">
        <v>82</v>
      </c>
    </row>
    <row r="13" spans="1:22" ht="14.45">
      <c r="A13">
        <v>12</v>
      </c>
      <c r="B13" s="18" t="s">
        <v>570</v>
      </c>
      <c r="D13" t="s">
        <v>181</v>
      </c>
      <c r="E13" t="s">
        <v>896</v>
      </c>
      <c r="F13" t="s">
        <v>182</v>
      </c>
      <c r="G13" s="5" t="s">
        <v>183</v>
      </c>
      <c r="H13" t="s">
        <v>3136</v>
      </c>
      <c r="I13" s="1" t="s">
        <v>82</v>
      </c>
      <c r="J13" s="1" t="s">
        <v>82</v>
      </c>
      <c r="K13" s="1" t="s">
        <v>82</v>
      </c>
      <c r="L13" s="1" t="s">
        <v>82</v>
      </c>
      <c r="M13" s="1" t="s">
        <v>82</v>
      </c>
      <c r="N13" s="1" t="s">
        <v>82</v>
      </c>
      <c r="O13" s="1" t="s">
        <v>82</v>
      </c>
    </row>
    <row r="14" spans="1:22" ht="14.45">
      <c r="A14">
        <v>13</v>
      </c>
      <c r="B14" s="18" t="s">
        <v>179</v>
      </c>
      <c r="D14" t="s">
        <v>3143</v>
      </c>
      <c r="G14" s="5"/>
    </row>
    <row r="15" spans="1:22" ht="14.45">
      <c r="A15">
        <v>13</v>
      </c>
      <c r="B15" t="s">
        <v>2831</v>
      </c>
      <c r="C15" t="s">
        <v>203</v>
      </c>
      <c r="D15" t="s">
        <v>204</v>
      </c>
      <c r="E15" t="s">
        <v>896</v>
      </c>
      <c r="F15" t="s">
        <v>205</v>
      </c>
      <c r="G15" s="5" t="s">
        <v>206</v>
      </c>
      <c r="H15" t="s">
        <v>3136</v>
      </c>
      <c r="I15" s="1" t="s">
        <v>82</v>
      </c>
      <c r="J15" s="1" t="s">
        <v>82</v>
      </c>
      <c r="K15" s="1" t="s">
        <v>82</v>
      </c>
      <c r="L15" s="1" t="s">
        <v>82</v>
      </c>
      <c r="M15" s="1" t="s">
        <v>82</v>
      </c>
      <c r="N15" s="1" t="s">
        <v>82</v>
      </c>
      <c r="O15" s="1" t="s">
        <v>82</v>
      </c>
    </row>
    <row r="16" spans="1:22" ht="14.45">
      <c r="A16">
        <v>14</v>
      </c>
      <c r="B16" t="s">
        <v>992</v>
      </c>
      <c r="C16" t="s">
        <v>203</v>
      </c>
      <c r="D16" t="s">
        <v>204</v>
      </c>
      <c r="E16" t="s">
        <v>896</v>
      </c>
      <c r="F16" t="s">
        <v>205</v>
      </c>
      <c r="G16" s="5" t="s">
        <v>206</v>
      </c>
      <c r="H16" t="s">
        <v>3144</v>
      </c>
      <c r="I16" s="1" t="s">
        <v>82</v>
      </c>
      <c r="J16" s="1" t="s">
        <v>82</v>
      </c>
      <c r="K16" s="1" t="s">
        <v>82</v>
      </c>
      <c r="L16" s="1" t="s">
        <v>82</v>
      </c>
      <c r="M16" s="1" t="s">
        <v>82</v>
      </c>
      <c r="N16" s="1" t="s">
        <v>82</v>
      </c>
      <c r="O16" s="1" t="s">
        <v>82</v>
      </c>
    </row>
    <row r="17" spans="1:22" ht="14.45">
      <c r="A17">
        <v>15</v>
      </c>
      <c r="B17" s="18" t="s">
        <v>252</v>
      </c>
      <c r="C17" t="s">
        <v>255</v>
      </c>
      <c r="D17" t="s">
        <v>256</v>
      </c>
      <c r="E17" t="s">
        <v>896</v>
      </c>
      <c r="F17" t="s">
        <v>257</v>
      </c>
      <c r="G17" s="5" t="s">
        <v>258</v>
      </c>
      <c r="H17" t="s">
        <v>3128</v>
      </c>
      <c r="I17" s="1" t="s">
        <v>82</v>
      </c>
      <c r="J17" s="1" t="s">
        <v>82</v>
      </c>
      <c r="K17" s="1" t="s">
        <v>82</v>
      </c>
      <c r="L17" s="1" t="s">
        <v>82</v>
      </c>
      <c r="M17" s="1" t="s">
        <v>82</v>
      </c>
      <c r="N17" s="1" t="s">
        <v>82</v>
      </c>
      <c r="O17" s="1" t="s">
        <v>82</v>
      </c>
      <c r="P17" s="1">
        <v>44959</v>
      </c>
      <c r="V17" s="4" t="s">
        <v>3145</v>
      </c>
    </row>
    <row r="18" spans="1:22" ht="14.45">
      <c r="A18">
        <v>16</v>
      </c>
      <c r="B18" s="17" t="s">
        <v>3146</v>
      </c>
      <c r="C18" t="s">
        <v>270</v>
      </c>
      <c r="D18" t="s">
        <v>271</v>
      </c>
      <c r="E18" t="s">
        <v>896</v>
      </c>
      <c r="F18" t="s">
        <v>317</v>
      </c>
      <c r="G18" s="5" t="s">
        <v>318</v>
      </c>
      <c r="H18" t="s">
        <v>3128</v>
      </c>
      <c r="I18" s="1" t="s">
        <v>82</v>
      </c>
      <c r="J18" s="1" t="s">
        <v>82</v>
      </c>
      <c r="K18" s="1" t="s">
        <v>82</v>
      </c>
      <c r="L18" s="1" t="s">
        <v>82</v>
      </c>
      <c r="M18" s="1" t="s">
        <v>82</v>
      </c>
      <c r="N18" s="1" t="s">
        <v>82</v>
      </c>
      <c r="O18" s="1" t="s">
        <v>82</v>
      </c>
      <c r="V18" s="4" t="s">
        <v>3147</v>
      </c>
    </row>
    <row r="19" spans="1:22" ht="14.45">
      <c r="A19">
        <v>17</v>
      </c>
      <c r="B19" t="s">
        <v>1391</v>
      </c>
      <c r="C19" t="s">
        <v>270</v>
      </c>
      <c r="D19" t="s">
        <v>271</v>
      </c>
      <c r="E19" t="s">
        <v>896</v>
      </c>
      <c r="F19" t="s">
        <v>317</v>
      </c>
      <c r="G19" s="5" t="s">
        <v>318</v>
      </c>
      <c r="H19" t="s">
        <v>3128</v>
      </c>
      <c r="I19" s="1" t="s">
        <v>82</v>
      </c>
      <c r="J19" s="1" t="s">
        <v>82</v>
      </c>
      <c r="K19" s="1" t="s">
        <v>82</v>
      </c>
      <c r="L19" s="1" t="s">
        <v>82</v>
      </c>
      <c r="M19" s="1" t="s">
        <v>82</v>
      </c>
      <c r="N19" s="1" t="s">
        <v>82</v>
      </c>
      <c r="O19" s="1" t="s">
        <v>82</v>
      </c>
    </row>
    <row r="20" spans="1:22" ht="14.45">
      <c r="A20">
        <v>18</v>
      </c>
      <c r="B20" t="s">
        <v>267</v>
      </c>
      <c r="C20" t="s">
        <v>270</v>
      </c>
      <c r="D20" t="s">
        <v>271</v>
      </c>
      <c r="E20" t="s">
        <v>896</v>
      </c>
      <c r="F20" t="s">
        <v>317</v>
      </c>
      <c r="G20" s="5" t="s">
        <v>318</v>
      </c>
      <c r="H20" t="s">
        <v>3128</v>
      </c>
      <c r="I20" s="1" t="s">
        <v>82</v>
      </c>
      <c r="J20" s="1" t="s">
        <v>82</v>
      </c>
      <c r="K20" s="1" t="s">
        <v>82</v>
      </c>
      <c r="L20" s="1" t="s">
        <v>82</v>
      </c>
      <c r="M20" s="1" t="s">
        <v>82</v>
      </c>
      <c r="N20" s="1" t="s">
        <v>82</v>
      </c>
      <c r="O20" s="1" t="s">
        <v>82</v>
      </c>
    </row>
    <row r="21" spans="1:22" ht="14.45">
      <c r="A21">
        <v>19</v>
      </c>
      <c r="B21" s="17" t="s">
        <v>614</v>
      </c>
      <c r="C21" t="s">
        <v>270</v>
      </c>
      <c r="D21" t="s">
        <v>271</v>
      </c>
      <c r="E21" t="s">
        <v>896</v>
      </c>
      <c r="F21" t="s">
        <v>317</v>
      </c>
      <c r="G21" s="5" t="s">
        <v>318</v>
      </c>
      <c r="H21" t="s">
        <v>3128</v>
      </c>
      <c r="I21" s="1" t="s">
        <v>82</v>
      </c>
      <c r="J21" s="1" t="s">
        <v>82</v>
      </c>
      <c r="K21" s="1" t="s">
        <v>82</v>
      </c>
      <c r="L21" s="1" t="s">
        <v>82</v>
      </c>
      <c r="M21" s="1" t="s">
        <v>82</v>
      </c>
      <c r="N21" s="1" t="s">
        <v>82</v>
      </c>
      <c r="O21" s="1" t="s">
        <v>82</v>
      </c>
    </row>
    <row r="22" spans="1:22" ht="14.45">
      <c r="A22">
        <v>20</v>
      </c>
      <c r="B22" t="s">
        <v>3148</v>
      </c>
      <c r="C22" t="s">
        <v>294</v>
      </c>
      <c r="D22" t="s">
        <v>3149</v>
      </c>
      <c r="E22" t="s">
        <v>896</v>
      </c>
      <c r="F22" s="16" t="s">
        <v>116</v>
      </c>
      <c r="H22" t="s">
        <v>3136</v>
      </c>
      <c r="I22" s="1" t="s">
        <v>82</v>
      </c>
      <c r="J22" s="1" t="s">
        <v>82</v>
      </c>
      <c r="K22" s="1" t="s">
        <v>82</v>
      </c>
      <c r="L22" s="1" t="s">
        <v>82</v>
      </c>
      <c r="M22" s="1" t="s">
        <v>82</v>
      </c>
      <c r="N22" s="1" t="s">
        <v>82</v>
      </c>
      <c r="O22" s="1" t="s">
        <v>82</v>
      </c>
    </row>
    <row r="23" spans="1:22" ht="14.45">
      <c r="A23">
        <v>21</v>
      </c>
      <c r="B23" s="18" t="s">
        <v>1748</v>
      </c>
      <c r="C23" t="s">
        <v>294</v>
      </c>
      <c r="D23" t="s">
        <v>115</v>
      </c>
      <c r="E23" t="s">
        <v>896</v>
      </c>
      <c r="F23" t="s">
        <v>116</v>
      </c>
      <c r="G23" s="5" t="s">
        <v>117</v>
      </c>
      <c r="H23" t="s">
        <v>3128</v>
      </c>
      <c r="I23" s="1" t="s">
        <v>82</v>
      </c>
      <c r="J23" s="1" t="s">
        <v>82</v>
      </c>
      <c r="K23" s="1" t="s">
        <v>82</v>
      </c>
      <c r="L23" s="1" t="s">
        <v>82</v>
      </c>
      <c r="M23" s="1" t="s">
        <v>82</v>
      </c>
      <c r="N23" s="1" t="s">
        <v>82</v>
      </c>
      <c r="O23" s="1" t="s">
        <v>82</v>
      </c>
    </row>
    <row r="24" spans="1:22" ht="14.45">
      <c r="A24">
        <v>22</v>
      </c>
      <c r="B24" s="18" t="s">
        <v>630</v>
      </c>
      <c r="C24" t="s">
        <v>294</v>
      </c>
      <c r="D24" t="s">
        <v>115</v>
      </c>
      <c r="E24" t="s">
        <v>896</v>
      </c>
      <c r="F24" t="s">
        <v>116</v>
      </c>
      <c r="G24" s="5" t="s">
        <v>117</v>
      </c>
      <c r="H24" t="s">
        <v>3128</v>
      </c>
      <c r="I24" s="1" t="s">
        <v>82</v>
      </c>
      <c r="J24" s="1" t="s">
        <v>82</v>
      </c>
      <c r="K24" s="1" t="s">
        <v>82</v>
      </c>
      <c r="L24" s="1" t="s">
        <v>82</v>
      </c>
      <c r="M24" s="1" t="s">
        <v>82</v>
      </c>
      <c r="N24" s="1" t="s">
        <v>82</v>
      </c>
      <c r="O24" s="1" t="s">
        <v>82</v>
      </c>
    </row>
    <row r="25" spans="1:22" ht="14.45">
      <c r="A25">
        <v>23</v>
      </c>
      <c r="B25" s="18" t="s">
        <v>946</v>
      </c>
      <c r="C25" t="s">
        <v>294</v>
      </c>
      <c r="D25" t="s">
        <v>115</v>
      </c>
      <c r="E25" t="s">
        <v>896</v>
      </c>
      <c r="F25" t="s">
        <v>116</v>
      </c>
      <c r="G25" s="5" t="s">
        <v>117</v>
      </c>
      <c r="H25" t="s">
        <v>3136</v>
      </c>
      <c r="I25" s="1" t="s">
        <v>82</v>
      </c>
      <c r="J25" s="1" t="s">
        <v>82</v>
      </c>
      <c r="K25" s="1" t="s">
        <v>82</v>
      </c>
      <c r="L25" s="1" t="s">
        <v>82</v>
      </c>
      <c r="M25" s="1" t="s">
        <v>82</v>
      </c>
      <c r="N25" s="1" t="s">
        <v>82</v>
      </c>
      <c r="O25" s="1" t="s">
        <v>82</v>
      </c>
    </row>
    <row r="26" spans="1:22" ht="14.45">
      <c r="A26">
        <v>24</v>
      </c>
      <c r="B26" s="18" t="s">
        <v>951</v>
      </c>
      <c r="C26" t="s">
        <v>294</v>
      </c>
      <c r="D26" t="s">
        <v>115</v>
      </c>
      <c r="E26" t="s">
        <v>896</v>
      </c>
      <c r="F26" t="s">
        <v>116</v>
      </c>
      <c r="G26" s="5" t="s">
        <v>117</v>
      </c>
      <c r="H26" t="s">
        <v>3128</v>
      </c>
      <c r="I26" s="1" t="s">
        <v>82</v>
      </c>
      <c r="J26" s="1" t="s">
        <v>82</v>
      </c>
      <c r="K26" s="1" t="s">
        <v>82</v>
      </c>
      <c r="L26" s="1" t="s">
        <v>82</v>
      </c>
      <c r="M26" s="1" t="s">
        <v>82</v>
      </c>
      <c r="N26" s="1" t="s">
        <v>82</v>
      </c>
      <c r="O26" s="1" t="s">
        <v>82</v>
      </c>
    </row>
    <row r="27" spans="1:22" ht="14.45">
      <c r="A27">
        <v>25</v>
      </c>
      <c r="B27" t="s">
        <v>1198</v>
      </c>
      <c r="C27" t="s">
        <v>294</v>
      </c>
      <c r="D27" t="s">
        <v>115</v>
      </c>
      <c r="E27" t="s">
        <v>896</v>
      </c>
      <c r="F27" t="s">
        <v>116</v>
      </c>
      <c r="G27" s="5" t="s">
        <v>117</v>
      </c>
      <c r="H27" t="s">
        <v>3128</v>
      </c>
      <c r="I27" s="1" t="s">
        <v>82</v>
      </c>
      <c r="J27" s="1" t="s">
        <v>82</v>
      </c>
      <c r="K27" s="1" t="s">
        <v>82</v>
      </c>
      <c r="L27" s="1" t="s">
        <v>82</v>
      </c>
      <c r="M27" s="1" t="s">
        <v>82</v>
      </c>
      <c r="N27" s="1" t="s">
        <v>82</v>
      </c>
      <c r="O27" s="1" t="s">
        <v>82</v>
      </c>
    </row>
    <row r="28" spans="1:22" ht="14.45">
      <c r="A28">
        <v>26</v>
      </c>
      <c r="B28" t="s">
        <v>3150</v>
      </c>
      <c r="C28" t="s">
        <v>332</v>
      </c>
      <c r="D28" t="s">
        <v>181</v>
      </c>
      <c r="E28" t="s">
        <v>896</v>
      </c>
      <c r="F28" t="s">
        <v>3151</v>
      </c>
      <c r="G28" s="5" t="s">
        <v>3152</v>
      </c>
      <c r="H28" t="s">
        <v>3144</v>
      </c>
      <c r="I28" s="1" t="s">
        <v>82</v>
      </c>
      <c r="J28" s="1" t="s">
        <v>82</v>
      </c>
      <c r="K28" s="1" t="s">
        <v>82</v>
      </c>
      <c r="L28" s="1" t="s">
        <v>82</v>
      </c>
      <c r="M28" s="1" t="s">
        <v>82</v>
      </c>
      <c r="N28" s="1" t="s">
        <v>82</v>
      </c>
      <c r="O28" s="1" t="s">
        <v>82</v>
      </c>
    </row>
    <row r="29" spans="1:22" ht="14.45">
      <c r="A29">
        <v>27</v>
      </c>
      <c r="B29" t="s">
        <v>671</v>
      </c>
      <c r="C29" t="s">
        <v>332</v>
      </c>
      <c r="D29" t="s">
        <v>181</v>
      </c>
      <c r="E29" t="s">
        <v>896</v>
      </c>
      <c r="F29" t="s">
        <v>340</v>
      </c>
      <c r="G29" s="5" t="s">
        <v>341</v>
      </c>
      <c r="H29" t="s">
        <v>3144</v>
      </c>
      <c r="I29" s="1" t="s">
        <v>82</v>
      </c>
      <c r="J29" s="1" t="s">
        <v>82</v>
      </c>
      <c r="K29" s="1" t="s">
        <v>82</v>
      </c>
      <c r="L29" s="1" t="s">
        <v>82</v>
      </c>
      <c r="M29" s="1" t="s">
        <v>82</v>
      </c>
      <c r="N29" s="1" t="s">
        <v>82</v>
      </c>
      <c r="O29" s="1" t="s">
        <v>82</v>
      </c>
    </row>
    <row r="30" spans="1:22" ht="14.45">
      <c r="A30">
        <v>28</v>
      </c>
      <c r="B30" t="s">
        <v>1314</v>
      </c>
      <c r="C30" t="s">
        <v>332</v>
      </c>
      <c r="D30" t="s">
        <v>181</v>
      </c>
      <c r="E30" t="s">
        <v>896</v>
      </c>
      <c r="F30" t="s">
        <v>340</v>
      </c>
      <c r="G30" s="5" t="s">
        <v>341</v>
      </c>
      <c r="H30" t="s">
        <v>3144</v>
      </c>
      <c r="I30" s="1" t="s">
        <v>82</v>
      </c>
      <c r="J30" s="1" t="s">
        <v>82</v>
      </c>
      <c r="K30" s="1" t="s">
        <v>82</v>
      </c>
      <c r="L30" s="1" t="s">
        <v>82</v>
      </c>
      <c r="M30" s="1" t="s">
        <v>82</v>
      </c>
      <c r="N30" s="1" t="s">
        <v>82</v>
      </c>
      <c r="O30" s="1" t="s">
        <v>82</v>
      </c>
    </row>
    <row r="31" spans="1:22" ht="14.45">
      <c r="A31">
        <v>29</v>
      </c>
      <c r="B31" t="s">
        <v>330</v>
      </c>
      <c r="C31" t="s">
        <v>332</v>
      </c>
      <c r="D31" t="s">
        <v>181</v>
      </c>
      <c r="E31" t="s">
        <v>896</v>
      </c>
      <c r="F31" t="s">
        <v>340</v>
      </c>
      <c r="G31" s="5" t="s">
        <v>341</v>
      </c>
      <c r="H31" t="s">
        <v>3144</v>
      </c>
      <c r="I31" s="1" t="s">
        <v>82</v>
      </c>
      <c r="J31" s="1" t="s">
        <v>82</v>
      </c>
      <c r="K31" s="1" t="s">
        <v>82</v>
      </c>
      <c r="L31" s="1" t="s">
        <v>82</v>
      </c>
      <c r="M31" s="1" t="s">
        <v>82</v>
      </c>
      <c r="N31" s="1" t="s">
        <v>82</v>
      </c>
      <c r="O31" s="1" t="s">
        <v>82</v>
      </c>
    </row>
    <row r="32" spans="1:22" ht="14.45">
      <c r="A32">
        <v>30</v>
      </c>
      <c r="B32" t="s">
        <v>3153</v>
      </c>
      <c r="C32" t="s">
        <v>3154</v>
      </c>
      <c r="D32" t="s">
        <v>192</v>
      </c>
      <c r="E32" t="s">
        <v>896</v>
      </c>
      <c r="F32" t="s">
        <v>3155</v>
      </c>
      <c r="G32" s="5" t="s">
        <v>3156</v>
      </c>
      <c r="H32" t="s">
        <v>3144</v>
      </c>
      <c r="I32" s="1" t="s">
        <v>82</v>
      </c>
      <c r="J32" s="1" t="s">
        <v>82</v>
      </c>
      <c r="K32" s="1" t="s">
        <v>82</v>
      </c>
      <c r="L32" s="1" t="s">
        <v>82</v>
      </c>
      <c r="M32" s="1" t="s">
        <v>82</v>
      </c>
      <c r="N32" s="1" t="s">
        <v>82</v>
      </c>
      <c r="O32" s="1" t="s">
        <v>82</v>
      </c>
    </row>
    <row r="33" spans="1:22" ht="14.45">
      <c r="A33">
        <v>31</v>
      </c>
      <c r="B33" t="s">
        <v>3157</v>
      </c>
      <c r="C33" t="s">
        <v>3154</v>
      </c>
      <c r="D33" t="s">
        <v>192</v>
      </c>
      <c r="E33" t="s">
        <v>896</v>
      </c>
      <c r="F33" t="s">
        <v>3155</v>
      </c>
      <c r="G33" s="5" t="s">
        <v>3156</v>
      </c>
      <c r="H33" t="s">
        <v>3144</v>
      </c>
      <c r="I33" s="1" t="s">
        <v>82</v>
      </c>
      <c r="J33" s="1" t="s">
        <v>82</v>
      </c>
      <c r="K33" s="1" t="s">
        <v>82</v>
      </c>
      <c r="L33" s="1" t="s">
        <v>82</v>
      </c>
      <c r="M33" s="1" t="s">
        <v>82</v>
      </c>
      <c r="N33" s="1" t="s">
        <v>82</v>
      </c>
      <c r="O33" s="1" t="s">
        <v>82</v>
      </c>
    </row>
    <row r="34" spans="1:22" ht="14.45">
      <c r="A34">
        <v>32</v>
      </c>
      <c r="B34" t="s">
        <v>3158</v>
      </c>
      <c r="C34" t="s">
        <v>3154</v>
      </c>
      <c r="D34" t="s">
        <v>192</v>
      </c>
      <c r="E34" t="s">
        <v>896</v>
      </c>
      <c r="F34" t="s">
        <v>3155</v>
      </c>
      <c r="G34" s="5" t="s">
        <v>3156</v>
      </c>
      <c r="H34" t="s">
        <v>3144</v>
      </c>
      <c r="I34" s="1" t="s">
        <v>82</v>
      </c>
      <c r="J34" s="1" t="s">
        <v>82</v>
      </c>
      <c r="K34" s="1" t="s">
        <v>82</v>
      </c>
      <c r="L34" s="1" t="s">
        <v>82</v>
      </c>
      <c r="M34" s="1" t="s">
        <v>82</v>
      </c>
      <c r="N34" s="1" t="s">
        <v>82</v>
      </c>
      <c r="O34" s="1" t="s">
        <v>82</v>
      </c>
    </row>
    <row r="35" spans="1:22" ht="14.45">
      <c r="A35">
        <v>33</v>
      </c>
      <c r="B35" t="s">
        <v>3159</v>
      </c>
      <c r="C35" t="s">
        <v>365</v>
      </c>
      <c r="D35" t="s">
        <v>3149</v>
      </c>
      <c r="E35" t="s">
        <v>896</v>
      </c>
      <c r="F35" t="s">
        <v>3160</v>
      </c>
      <c r="H35" t="s">
        <v>3136</v>
      </c>
      <c r="I35" s="1" t="s">
        <v>82</v>
      </c>
      <c r="J35" s="1" t="s">
        <v>82</v>
      </c>
      <c r="K35" s="1" t="s">
        <v>82</v>
      </c>
      <c r="L35" s="1" t="s">
        <v>82</v>
      </c>
      <c r="M35" s="1" t="s">
        <v>82</v>
      </c>
      <c r="N35" s="1" t="s">
        <v>82</v>
      </c>
      <c r="O35" s="1" t="s">
        <v>82</v>
      </c>
    </row>
    <row r="36" spans="1:22" ht="14.45">
      <c r="A36">
        <v>34</v>
      </c>
      <c r="B36" s="18" t="s">
        <v>363</v>
      </c>
      <c r="C36" t="s">
        <v>365</v>
      </c>
      <c r="D36" t="s">
        <v>366</v>
      </c>
      <c r="E36" t="s">
        <v>896</v>
      </c>
      <c r="F36" t="s">
        <v>367</v>
      </c>
      <c r="G36" s="5" t="s">
        <v>368</v>
      </c>
      <c r="H36" t="s">
        <v>3129</v>
      </c>
      <c r="I36" s="1" t="s">
        <v>82</v>
      </c>
      <c r="J36" s="1" t="s">
        <v>82</v>
      </c>
      <c r="K36" s="1" t="s">
        <v>82</v>
      </c>
      <c r="L36" s="1" t="s">
        <v>82</v>
      </c>
      <c r="M36" s="1" t="s">
        <v>82</v>
      </c>
      <c r="N36" s="1" t="s">
        <v>82</v>
      </c>
      <c r="O36" s="1" t="s">
        <v>82</v>
      </c>
    </row>
    <row r="37" spans="1:22" ht="14.45">
      <c r="A37">
        <v>35</v>
      </c>
      <c r="B37" t="s">
        <v>3161</v>
      </c>
      <c r="C37" t="s">
        <v>3162</v>
      </c>
      <c r="D37" t="s">
        <v>3163</v>
      </c>
      <c r="E37" t="s">
        <v>896</v>
      </c>
      <c r="F37" t="s">
        <v>3164</v>
      </c>
      <c r="G37" s="5" t="s">
        <v>3165</v>
      </c>
      <c r="H37" t="s">
        <v>3144</v>
      </c>
      <c r="I37" s="1" t="s">
        <v>82</v>
      </c>
      <c r="J37" s="1" t="s">
        <v>82</v>
      </c>
      <c r="K37" s="1" t="s">
        <v>82</v>
      </c>
      <c r="L37" s="1" t="s">
        <v>82</v>
      </c>
      <c r="M37" s="1" t="s">
        <v>82</v>
      </c>
      <c r="N37" s="1" t="s">
        <v>82</v>
      </c>
      <c r="O37" s="1" t="s">
        <v>82</v>
      </c>
    </row>
    <row r="38" spans="1:22" ht="14.45">
      <c r="A38">
        <v>36</v>
      </c>
      <c r="B38" t="s">
        <v>3166</v>
      </c>
      <c r="C38" t="s">
        <v>3162</v>
      </c>
      <c r="D38" t="s">
        <v>3163</v>
      </c>
      <c r="E38" t="s">
        <v>896</v>
      </c>
      <c r="F38" t="s">
        <v>3164</v>
      </c>
      <c r="G38" s="5" t="s">
        <v>3165</v>
      </c>
      <c r="H38" t="s">
        <v>3144</v>
      </c>
      <c r="I38" s="1" t="s">
        <v>82</v>
      </c>
      <c r="J38" s="1" t="s">
        <v>82</v>
      </c>
      <c r="K38" s="1" t="s">
        <v>82</v>
      </c>
      <c r="L38" s="1" t="s">
        <v>82</v>
      </c>
      <c r="M38" s="1" t="s">
        <v>82</v>
      </c>
      <c r="N38" s="1" t="s">
        <v>82</v>
      </c>
      <c r="O38" s="1" t="s">
        <v>82</v>
      </c>
    </row>
    <row r="39" spans="1:22" ht="15" customHeight="1">
      <c r="A39" t="s">
        <v>3167</v>
      </c>
    </row>
    <row r="40" spans="1:22" ht="15" customHeight="1">
      <c r="A40" t="s">
        <v>80</v>
      </c>
      <c r="B40" t="s">
        <v>1665</v>
      </c>
      <c r="D40" t="s">
        <v>3168</v>
      </c>
      <c r="E40" t="s">
        <v>896</v>
      </c>
      <c r="F40" t="s">
        <v>3169</v>
      </c>
      <c r="G40" s="5" t="s">
        <v>3170</v>
      </c>
    </row>
    <row r="41" spans="1:22" ht="15" customHeight="1">
      <c r="A41" t="s">
        <v>80</v>
      </c>
      <c r="B41" t="s">
        <v>309</v>
      </c>
      <c r="D41" t="s">
        <v>76</v>
      </c>
      <c r="E41" t="s">
        <v>896</v>
      </c>
      <c r="F41" t="s">
        <v>3171</v>
      </c>
      <c r="G41" s="5" t="s">
        <v>3172</v>
      </c>
    </row>
    <row r="42" spans="1:22" ht="15" customHeight="1">
      <c r="A42" t="s">
        <v>80</v>
      </c>
      <c r="B42" t="s">
        <v>671</v>
      </c>
      <c r="C42" t="s">
        <v>332</v>
      </c>
      <c r="D42" t="s">
        <v>181</v>
      </c>
      <c r="E42" t="s">
        <v>896</v>
      </c>
      <c r="F42" t="s">
        <v>340</v>
      </c>
      <c r="G42" s="5" t="s">
        <v>341</v>
      </c>
      <c r="H42" t="s">
        <v>3144</v>
      </c>
    </row>
    <row r="43" spans="1:22" ht="15" customHeight="1">
      <c r="A43" t="s">
        <v>80</v>
      </c>
      <c r="B43" t="s">
        <v>199</v>
      </c>
      <c r="D43" t="s">
        <v>672</v>
      </c>
      <c r="E43" t="s">
        <v>896</v>
      </c>
      <c r="F43" t="s">
        <v>672</v>
      </c>
      <c r="G43" t="s">
        <v>672</v>
      </c>
      <c r="H43" t="s">
        <v>672</v>
      </c>
    </row>
    <row r="44" spans="1:22" ht="15" customHeight="1">
      <c r="A44" t="s">
        <v>80</v>
      </c>
      <c r="B44" t="s">
        <v>3173</v>
      </c>
      <c r="D44" t="s">
        <v>3174</v>
      </c>
      <c r="E44" t="s">
        <v>896</v>
      </c>
      <c r="F44" s="5" t="s">
        <v>3175</v>
      </c>
    </row>
    <row r="45" spans="1:22" ht="15" customHeight="1">
      <c r="A45" t="s">
        <v>80</v>
      </c>
      <c r="B45" t="s">
        <v>412</v>
      </c>
      <c r="D45" t="s">
        <v>3174</v>
      </c>
      <c r="E45" t="s">
        <v>896</v>
      </c>
      <c r="F45" s="5" t="s">
        <v>3175</v>
      </c>
    </row>
    <row r="46" spans="1:22" ht="15" customHeight="1">
      <c r="A46" t="s">
        <v>80</v>
      </c>
      <c r="B46" t="s">
        <v>417</v>
      </c>
      <c r="D46" t="s">
        <v>3174</v>
      </c>
      <c r="E46" t="s">
        <v>896</v>
      </c>
      <c r="F46" s="5" t="s">
        <v>3175</v>
      </c>
    </row>
    <row r="47" spans="1:22" ht="15" customHeight="1">
      <c r="A47" t="s">
        <v>80</v>
      </c>
      <c r="B47" t="s">
        <v>424</v>
      </c>
      <c r="D47" t="s">
        <v>3174</v>
      </c>
      <c r="E47" t="s">
        <v>896</v>
      </c>
      <c r="F47" s="5" t="s">
        <v>3175</v>
      </c>
    </row>
    <row r="48" spans="1:22" ht="27" customHeight="1">
      <c r="A48" t="s">
        <v>80</v>
      </c>
      <c r="B48" t="s">
        <v>3176</v>
      </c>
      <c r="D48" t="s">
        <v>181</v>
      </c>
      <c r="E48" t="s">
        <v>896</v>
      </c>
      <c r="F48" t="s">
        <v>182</v>
      </c>
      <c r="P48" s="1">
        <v>45505</v>
      </c>
      <c r="V48" s="88" t="s">
        <v>3177</v>
      </c>
    </row>
  </sheetData>
  <autoFilter ref="B1:W38" xr:uid="{852D633F-E3D0-4C32-B338-77ACD9051510}"/>
  <conditionalFormatting sqref="I1:T38 I45:T1048576">
    <cfRule type="timePeriod" dxfId="2" priority="1" timePeriod="today">
      <formula>FLOOR(I1,1)=TODAY()</formula>
    </cfRule>
    <cfRule type="timePeriod" dxfId="1" priority="2" timePeriod="thisWeek">
      <formula>AND(TODAY()-ROUNDDOWN(I1,0)&lt;=WEEKDAY(TODAY())-1,ROUNDDOWN(I1,0)-TODAY()&lt;=7-WEEKDAY(TODAY()))</formula>
    </cfRule>
    <cfRule type="containsText" dxfId="0" priority="3" operator="containsText" text="Complete">
      <formula>NOT(ISERROR(SEARCH("Complete",I1)))</formula>
    </cfRule>
  </conditionalFormatting>
  <hyperlinks>
    <hyperlink ref="G37" r:id="rId1" display="mailto:MagantiSA@bv.com" xr:uid="{9DA004F5-C52F-4206-8B0B-11C29A4679E8}"/>
    <hyperlink ref="G38" r:id="rId2" display="mailto:MagantiSA@bv.com" xr:uid="{AAEEC61F-88F1-4BA7-A973-FBD82E36BA2E}"/>
    <hyperlink ref="G8" r:id="rId3" display="mailto:akrebs@syska.com" xr:uid="{1F63C92F-42B1-43E6-8A8E-E64FA98B4324}"/>
    <hyperlink ref="G9" r:id="rId4" display="mailto:akrebs@syska.com" xr:uid="{EC2B8179-186A-422D-907B-76B6E5BDC602}"/>
    <hyperlink ref="G10" r:id="rId5" display="mailto:akrebs@syska.com" xr:uid="{5C7BC864-ADCD-49EF-B12B-9BA35A0A1D13}"/>
    <hyperlink ref="G2" r:id="rId6" display="mailto:hhernandez@ha-ny.com" xr:uid="{A1D0A8A8-8F67-44DF-95D7-F40FD7D4073B}"/>
    <hyperlink ref="G3" r:id="rId7" display="mailto:hhernandez@ha-ny.com" xr:uid="{B823033E-DA18-45A9-BA5F-15A187E7E59A}"/>
    <hyperlink ref="G4" r:id="rId8" display="mailto:hhernandez@ha-ny.com" xr:uid="{0E7945D0-2CEA-4A0C-B377-35BA4F35E8B0}"/>
    <hyperlink ref="G7" r:id="rId9" display="mailto:hhernandez@ha-ny.com" xr:uid="{450DEA55-6388-4FF6-8DE6-EA2E332C59D5}"/>
    <hyperlink ref="G29" r:id="rId10" display="mailto:Blake.Giles@jacobs.com" xr:uid="{21E616B3-C8A9-45D6-88F4-5114D9D0E554}"/>
    <hyperlink ref="G30" r:id="rId11" display="mailto:Blake.Giles@jacobs.com" xr:uid="{742A79AA-BCCC-46DE-891A-29EB85808110}"/>
    <hyperlink ref="G31" r:id="rId12" display="mailto:Blake.Giles@jacobs.com" xr:uid="{7E006208-5E75-40F6-8EA3-E778139D1F53}"/>
    <hyperlink ref="G15" r:id="rId13" display="mailto:cmendell@esdglobal.com" xr:uid="{1DE833AF-B3F0-462D-80E6-95DBAADA9A16}"/>
    <hyperlink ref="G16" r:id="rId14" display="mailto:cmendell@esdglobal.com" xr:uid="{988FB60B-882D-407B-BE2A-992EB401DD80}"/>
    <hyperlink ref="G32" r:id="rId15" display="mailto:cmussery@burnsmcd.com" xr:uid="{6277B107-BDF8-4948-BD00-E267E24B1971}"/>
    <hyperlink ref="G33" r:id="rId16" display="mailto:cmussery@burnsmcd.com" xr:uid="{FC19B122-650F-4A5E-A0E7-FD326597BBC4}"/>
    <hyperlink ref="G34" r:id="rId17" display="mailto:cmussery@burnsmcd.com" xr:uid="{ABB22BF2-BC9A-4C34-9366-44047FFFC238}"/>
    <hyperlink ref="G18" r:id="rId18" display="mailto:clay@syska.com" xr:uid="{3D7C3AED-1C1C-43EE-8ECE-395B90B18B00}"/>
    <hyperlink ref="G19" r:id="rId19" display="mailto:clay@syska.com" xr:uid="{3FAF2AD6-FF90-4335-A005-3E14733266E1}"/>
    <hyperlink ref="G20" r:id="rId20" display="mailto:clay@syska.com" xr:uid="{C00F9296-C472-4BC9-B71E-FB3D8B0F3F14}"/>
    <hyperlink ref="G21" r:id="rId21" display="mailto:clay@syska.com" xr:uid="{A3482AAF-53F4-4F6E-A3ED-FADE4DB1BE8B}"/>
    <hyperlink ref="G28" r:id="rId22" display="mailto:Howard.Way@jacobs.com" xr:uid="{32AC6743-C0ED-4430-813A-9C0D2F818B81}"/>
    <hyperlink ref="G36" r:id="rId23" display="mailto:lalexander@pagethink.com" xr:uid="{828D849B-8342-4F7A-8145-1C7865AC3F76}"/>
    <hyperlink ref="G17" r:id="rId24" display="mailto:LPercy@morrisonhershfield.com" xr:uid="{03AAC909-389B-4D29-A957-BDE161FAF860}"/>
    <hyperlink ref="G23" r:id="rId25" display="mailto:RSims@swansonrink.com" xr:uid="{26B50EC7-041A-4FD7-A327-FAEEEF7AA43F}"/>
    <hyperlink ref="G24" r:id="rId26" display="mailto:RSims@swansonrink.com" xr:uid="{F01ADE2C-A624-47F5-93DB-E3C789FC77BF}"/>
    <hyperlink ref="G25" r:id="rId27" display="mailto:RSims@swansonrink.com" xr:uid="{608A76BD-6DC3-40AC-983C-979663A09CB3}"/>
    <hyperlink ref="G26" r:id="rId28" display="mailto:RSims@swansonrink.com" xr:uid="{B28AFD71-30C2-4E87-917C-BF323A01F443}"/>
    <hyperlink ref="G27" r:id="rId29" display="mailto:RSims@swansonrink.com" xr:uid="{8AE03977-C3B5-4258-AF6F-452F363C96E2}"/>
    <hyperlink ref="G13" r:id="rId30" display="mailto:Kristin.McCue@jacobs.com" xr:uid="{BD3D512A-706F-4A19-92A3-49C658EA728D}"/>
    <hyperlink ref="G40" r:id="rId31" xr:uid="{64D280B7-ED4F-4794-85CB-3074F622DC06}"/>
    <hyperlink ref="G42" r:id="rId32" display="mailto:Blake.Giles@jacobs.com" xr:uid="{D008D85C-7AB1-46FF-BAD0-32C9006481E7}"/>
    <hyperlink ref="G41" r:id="rId33" xr:uid="{7A53119E-6B6A-4C3B-9CD3-A1A3379A6F86}"/>
    <hyperlink ref="F44" r:id="rId34" xr:uid="{E652D9ED-10E7-4569-86D2-AE7F72646B17}"/>
    <hyperlink ref="F45" r:id="rId35" xr:uid="{D628A4A6-C4CB-4168-B9C7-BA2EDDBD402B}"/>
    <hyperlink ref="F46" r:id="rId36" xr:uid="{6B07F53C-FC96-4142-B9DF-B1E97397381F}"/>
    <hyperlink ref="F47" r:id="rId37" xr:uid="{69A916D4-CD24-49CE-B879-D2E7B8760A25}"/>
  </hyperlink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F9A5FB-3C77-4F35-84B2-F60241D75ED8}">
  <dimension ref="A1:H5"/>
  <sheetViews>
    <sheetView workbookViewId="0">
      <selection activeCell="C9" sqref="C9"/>
    </sheetView>
  </sheetViews>
  <sheetFormatPr defaultRowHeight="14.45"/>
  <cols>
    <col min="1" max="1" width="18" customWidth="1"/>
    <col min="2" max="2" width="21.85546875" customWidth="1"/>
    <col min="3" max="3" width="16" customWidth="1"/>
    <col min="4" max="4" width="14.28515625" customWidth="1"/>
    <col min="5" max="7" width="13.28515625" customWidth="1"/>
    <col min="8" max="8" width="14.7109375" customWidth="1"/>
  </cols>
  <sheetData>
    <row r="1" spans="1:8" s="4" customFormat="1" ht="34.5" customHeight="1">
      <c r="A1" s="21" t="s">
        <v>3178</v>
      </c>
      <c r="B1" s="21" t="s">
        <v>3093</v>
      </c>
      <c r="C1" s="21" t="s">
        <v>3179</v>
      </c>
      <c r="D1" s="21" t="s">
        <v>3180</v>
      </c>
      <c r="E1" s="21" t="s">
        <v>3181</v>
      </c>
      <c r="F1" s="21" t="s">
        <v>3182</v>
      </c>
      <c r="G1" s="21" t="s">
        <v>3183</v>
      </c>
      <c r="H1" s="21" t="s">
        <v>3184</v>
      </c>
    </row>
    <row r="2" spans="1:8">
      <c r="A2" t="s">
        <v>3185</v>
      </c>
      <c r="B2" t="s">
        <v>3186</v>
      </c>
      <c r="C2" t="s">
        <v>3187</v>
      </c>
      <c r="D2" s="1">
        <v>45899</v>
      </c>
      <c r="E2" t="s">
        <v>3188</v>
      </c>
      <c r="F2" t="s">
        <v>3188</v>
      </c>
      <c r="G2" t="s">
        <v>3188</v>
      </c>
      <c r="H2" t="s">
        <v>3188</v>
      </c>
    </row>
    <row r="3" spans="1:8">
      <c r="A3" t="s">
        <v>3185</v>
      </c>
      <c r="B3" t="s">
        <v>3189</v>
      </c>
      <c r="C3" t="s">
        <v>3190</v>
      </c>
      <c r="D3" s="1">
        <v>45905</v>
      </c>
      <c r="E3" t="s">
        <v>3188</v>
      </c>
      <c r="F3" t="s">
        <v>3188</v>
      </c>
      <c r="G3" t="s">
        <v>3188</v>
      </c>
      <c r="H3" t="s">
        <v>3188</v>
      </c>
    </row>
    <row r="4" spans="1:8">
      <c r="A4" t="s">
        <v>3191</v>
      </c>
      <c r="B4" t="s">
        <v>3192</v>
      </c>
      <c r="C4" t="s">
        <v>3193</v>
      </c>
      <c r="D4" s="1">
        <v>45920</v>
      </c>
      <c r="E4" t="s">
        <v>3188</v>
      </c>
      <c r="F4" t="s">
        <v>3188</v>
      </c>
      <c r="G4" t="s">
        <v>3188</v>
      </c>
      <c r="H4" t="s">
        <v>3188</v>
      </c>
    </row>
    <row r="5" spans="1:8">
      <c r="A5" t="s">
        <v>3191</v>
      </c>
      <c r="B5" t="s">
        <v>3194</v>
      </c>
      <c r="C5" t="s">
        <v>3195</v>
      </c>
      <c r="D5" s="1">
        <v>45931</v>
      </c>
      <c r="E5" t="s">
        <v>3188</v>
      </c>
      <c r="F5" t="s">
        <v>3188</v>
      </c>
      <c r="G5" t="s">
        <v>3188</v>
      </c>
      <c r="H5" t="s">
        <v>3188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Catherine Hannon</dc:creator>
  <cp:keywords/>
  <dc:description/>
  <cp:lastModifiedBy/>
  <cp:revision/>
  <dcterms:created xsi:type="dcterms:W3CDTF">2022-10-19T19:01:40Z</dcterms:created>
  <dcterms:modified xsi:type="dcterms:W3CDTF">2026-09-10T16:03:53Z</dcterms:modified>
  <cp:category/>
  <cp:contentStatus/>
</cp:coreProperties>
</file>